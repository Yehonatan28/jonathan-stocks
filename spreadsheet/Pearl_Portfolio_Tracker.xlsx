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הוראות" sheetId="1" state="visible" r:id="rId1"/>
    <sheet name="דשבורד" sheetId="2" state="visible" r:id="rId2"/>
    <sheet name="תיק" sheetId="3" state="visible" r:id="rId3"/>
    <sheet name="עסקאות" sheetId="4" state="visible" r:id="rId4"/>
    <sheet name="מעקב" sheetId="5" state="visible" r:id="rId5"/>
    <sheet name="דיבידנדים" sheetId="6" state="visible" r:id="rId6"/>
    <sheet name="ביצועים" sheetId="7" state="visible" r:id="rId7"/>
    <sheet name="הגדרות" sheetId="8" state="visible" r:id="rId8"/>
  </sheets>
  <definedNames>
    <definedName name="RiskPct">'הגדרות'!$B$4</definedName>
    <definedName name="MaxHeat">'הגדרות'!$B$5</definedName>
    <definedName name="NearStop">'הגדרות'!$B$6</definedName>
    <definedName name="PartialR">'הגדרות'!$B$7</definedName>
    <definedName name="MaxPos">'הגדרות'!$B$8</definedName>
    <definedName name="EntryZone">'הגדרות'!$B$9</definedName>
    <definedName name="FxManual">'הגדרות'!$B$10</definedName>
    <definedName name="Fx">'הגדרות'!$B$11</definedName>
    <definedName name="DivYear">'הגדרות'!$B$12</definedName>
    <definedName name="PerfStart">'הגדרות'!$B$13</definedName>
    <definedName name="SectorList">'הגדרות'!$A$16:$A$28</definedName>
    <definedName name="Cash">'דשבורד'!$C$8</definedName>
    <definedName name="Equity">'דשבורד'!$C$5</definedName>
  </definedNames>
  <calcPr calcId="124519" fullCalcOnLoad="1"/>
</workbook>
</file>

<file path=xl/styles.xml><?xml version="1.0" encoding="utf-8"?>
<styleSheet xmlns="http://schemas.openxmlformats.org/spreadsheetml/2006/main">
  <numFmts count="12">
    <numFmt numFmtId="164" formatCode="0.0%;[Red]-0.0%;&quot;-&quot;"/>
    <numFmt numFmtId="165" formatCode="0.0&quot;R&quot;"/>
    <numFmt numFmtId="166" formatCode="0.000"/>
    <numFmt numFmtId="167" formatCode="yyyy-mm-dd"/>
    <numFmt numFmtId="168" formatCode="mm/yyyy"/>
    <numFmt numFmtId="169" formatCode="dd/mm/yyyy"/>
    <numFmt numFmtId="170" formatCode="#,##0.##;[Red]-#,##0.##;&quot;-&quot;"/>
    <numFmt numFmtId="171" formatCode="$#,##0.00;[Red]-$#,##0.00;&quot;-&quot;"/>
    <numFmt numFmtId="172" formatCode="$#,##0;[Red]-$#,##0;&quot;-&quot;"/>
    <numFmt numFmtId="173" formatCode="0.0&quot;R&quot;;[Red]-0.0&quot;R&quot;;&quot;-&quot;"/>
    <numFmt numFmtId="174" formatCode="₪#,##0"/>
    <numFmt numFmtId="175" formatCode="0.0&quot;:1&quot;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5A6B85"/>
      <sz val="10"/>
    </font>
    <font>
      <name val="Arial"/>
      <b val="1"/>
      <color rgb="000F1B2D"/>
      <sz val="13"/>
    </font>
    <font>
      <name val="Arial"/>
      <b val="1"/>
      <sz val="10"/>
    </font>
    <font>
      <name val="Arial"/>
      <sz val="10"/>
    </font>
    <font>
      <name val="Arial"/>
      <b val="1"/>
      <color rgb="000000FF"/>
      <sz val="10"/>
    </font>
    <font>
      <name val="Arial"/>
      <color rgb="000000FF"/>
      <sz val="10"/>
    </font>
    <font>
      <name val="Arial"/>
      <color rgb="005A6B85"/>
      <sz val="9"/>
    </font>
    <font>
      <name val="Arial"/>
      <color rgb="00000000"/>
      <sz val="10"/>
    </font>
    <font>
      <name val="Arial"/>
      <b val="1"/>
      <color rgb="000F1B2D"/>
      <sz val="12"/>
    </font>
    <font>
      <name val="Arial"/>
      <b val="1"/>
      <color rgb="000F1B2D"/>
      <sz val="10"/>
    </font>
    <font>
      <name val="Arial"/>
      <b val="1"/>
      <color rgb="00FFFFFF"/>
      <sz val="10"/>
    </font>
    <font>
      <name val="Arial"/>
      <color rgb="00A0A0A0"/>
      <sz val="8"/>
    </font>
    <font>
      <name val="Arial"/>
      <b val="1"/>
      <color rgb="00FFFFFF"/>
      <sz val="11"/>
    </font>
    <font>
      <name val="Arial"/>
      <color rgb="005A6B85"/>
      <sz val="10"/>
    </font>
    <font>
      <name val="Arial"/>
      <b val="1"/>
      <color rgb="00008000"/>
      <sz val="10"/>
    </font>
    <font>
      <name val="Arial"/>
      <color rgb="00FFFFFF"/>
      <sz val="8"/>
    </font>
  </fonts>
  <fills count="6">
    <fill>
      <patternFill/>
    </fill>
    <fill>
      <patternFill patternType="gray125"/>
    </fill>
    <fill>
      <patternFill patternType="solid">
        <fgColor rgb="000F1B2D"/>
      </patternFill>
    </fill>
    <fill>
      <patternFill patternType="solid">
        <fgColor rgb="00C9A227"/>
      </patternFill>
    </fill>
    <fill>
      <patternFill patternType="solid">
        <fgColor rgb="00FFF6D5"/>
      </patternFill>
    </fill>
    <fill>
      <patternFill patternType="solid">
        <fgColor rgb="00F4F6F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right" vertical="center" indent="1"/>
    </xf>
    <xf numFmtId="0" fontId="2" fillId="0" borderId="0" applyAlignment="1" pivotButton="0" quotePrefix="0" xfId="0">
      <alignment horizontal="right" vertical="center" indent="1"/>
    </xf>
    <xf numFmtId="0" fontId="3" fillId="0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right" vertical="center" wrapText="1"/>
    </xf>
    <xf numFmtId="0" fontId="6" fillId="4" borderId="0" pivotButton="0" quotePrefix="0" xfId="0"/>
    <xf numFmtId="0" fontId="3" fillId="3" borderId="0" pivotButton="0" quotePrefix="0" xfId="0"/>
    <xf numFmtId="0" fontId="14" fillId="3" borderId="0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right" vertical="center" indent="1"/>
    </xf>
    <xf numFmtId="172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174" fontId="3" fillId="5" borderId="1" applyAlignment="1" pivotButton="0" quotePrefix="0" xfId="0">
      <alignment horizontal="center" vertical="center" wrapText="1"/>
    </xf>
    <xf numFmtId="1" fontId="3" fillId="5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2" fillId="2" borderId="0" applyAlignment="1" pivotButton="0" quotePrefix="0" xfId="0">
      <alignment horizontal="center" vertical="center" wrapText="1"/>
    </xf>
    <xf numFmtId="0" fontId="5" fillId="0" borderId="1" pivotButton="0" quotePrefix="0" xfId="0"/>
    <xf numFmtId="172" fontId="5" fillId="0" borderId="1" pivotButton="0" quotePrefix="0" xfId="0"/>
    <xf numFmtId="164" fontId="5" fillId="0" borderId="1" pivotButton="0" quotePrefix="0" xfId="0"/>
    <xf numFmtId="0" fontId="4" fillId="0" borderId="1" applyAlignment="1" pivotButton="0" quotePrefix="0" xfId="0">
      <alignment horizontal="right" vertical="center" indent="1"/>
    </xf>
    <xf numFmtId="0" fontId="5" fillId="0" borderId="1" applyAlignment="1" pivotButton="0" quotePrefix="0" xfId="0">
      <alignment horizontal="right" vertical="center" indent="1"/>
    </xf>
    <xf numFmtId="0" fontId="11" fillId="3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70" fontId="9" fillId="0" borderId="1" applyAlignment="1" pivotButton="0" quotePrefix="0" xfId="0">
      <alignment horizontal="center" vertical="center"/>
    </xf>
    <xf numFmtId="171" fontId="9" fillId="0" borderId="1" applyAlignment="1" pivotButton="0" quotePrefix="0" xfId="0">
      <alignment horizontal="center" vertical="center"/>
    </xf>
    <xf numFmtId="171" fontId="7" fillId="4" borderId="1" applyAlignment="1" pivotButton="0" quotePrefix="0" xfId="0">
      <alignment horizontal="center" vertical="center"/>
    </xf>
    <xf numFmtId="172" fontId="9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  <xf numFmtId="173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right" vertical="center" indent="1"/>
    </xf>
    <xf numFmtId="0" fontId="14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172" fontId="12" fillId="2" borderId="1" applyAlignment="1" pivotButton="0" quotePrefix="0" xfId="0">
      <alignment horizontal="center" vertical="center" wrapText="1"/>
    </xf>
    <xf numFmtId="164" fontId="12" fillId="2" borderId="1" applyAlignment="1" pivotButton="0" quotePrefix="0" xfId="0">
      <alignment horizontal="center" vertical="center" wrapText="1"/>
    </xf>
    <xf numFmtId="169" fontId="7" fillId="4" borderId="1" applyAlignment="1" pivotButton="0" quotePrefix="0" xfId="0">
      <alignment horizontal="center" vertical="center"/>
    </xf>
    <xf numFmtId="170" fontId="7" fillId="4" borderId="1" applyAlignment="1" pivotButton="0" quotePrefix="0" xfId="0">
      <alignment horizontal="center" vertical="center"/>
    </xf>
    <xf numFmtId="171" fontId="4" fillId="0" borderId="1" applyAlignment="1" pivotButton="0" quotePrefix="0" xfId="0">
      <alignment horizontal="center" vertical="center"/>
    </xf>
    <xf numFmtId="175" fontId="9" fillId="0" borderId="1" applyAlignment="1" pivotButton="0" quotePrefix="0" xfId="0">
      <alignment horizontal="center" vertical="center"/>
    </xf>
    <xf numFmtId="3" fontId="9" fillId="0" borderId="1" applyAlignment="1" pivotButton="0" quotePrefix="0" xfId="0">
      <alignment horizontal="center" vertical="center"/>
    </xf>
    <xf numFmtId="0" fontId="16" fillId="0" borderId="0" pivotButton="0" quotePrefix="0" xfId="0"/>
    <xf numFmtId="0" fontId="16" fillId="0" borderId="1" applyAlignment="1" pivotButton="0" quotePrefix="0" xfId="0">
      <alignment horizontal="center" vertical="center"/>
    </xf>
    <xf numFmtId="172" fontId="12" fillId="2" borderId="0" applyAlignment="1" pivotButton="0" quotePrefix="0" xfId="0">
      <alignment horizontal="center" vertical="center" wrapText="1"/>
    </xf>
    <xf numFmtId="172" fontId="5" fillId="0" borderId="0" pivotButton="0" quotePrefix="0" xfId="0"/>
    <xf numFmtId="0" fontId="17" fillId="0" borderId="0" pivotButton="0" quotePrefix="0" xfId="0"/>
    <xf numFmtId="168" fontId="9" fillId="0" borderId="1" applyAlignment="1" pivotButton="0" quotePrefix="0" xfId="0">
      <alignment horizontal="center" vertical="center"/>
    </xf>
    <xf numFmtId="172" fontId="7" fillId="4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/>
    </xf>
    <xf numFmtId="0" fontId="8" fillId="0" borderId="0" pivotButton="0" quotePrefix="0" xfId="0"/>
    <xf numFmtId="165" fontId="7" fillId="4" borderId="1" applyAlignment="1" pivotButton="0" quotePrefix="0" xfId="0">
      <alignment horizontal="center"/>
    </xf>
    <xf numFmtId="166" fontId="7" fillId="4" borderId="1" applyAlignment="1" pivotButton="0" quotePrefix="0" xfId="0">
      <alignment horizontal="center"/>
    </xf>
    <xf numFmtId="166" fontId="9" fillId="0" borderId="1" applyAlignment="1" pivotButton="0" quotePrefix="0" xfId="0">
      <alignment horizontal="center"/>
    </xf>
    <xf numFmtId="1" fontId="7" fillId="4" borderId="1" applyAlignment="1" pivotButton="0" quotePrefix="0" xfId="0">
      <alignment horizontal="center"/>
    </xf>
    <xf numFmtId="168" fontId="7" fillId="4" borderId="1" applyAlignment="1" pivotButton="0" quotePrefix="0" xfId="0">
      <alignment horizontal="center"/>
    </xf>
    <xf numFmtId="0" fontId="7" fillId="4" borderId="1" pivotButton="0" quotePrefix="0" xfId="0"/>
  </cellXfs>
  <cellStyles count="1">
    <cellStyle name="Normal" xfId="0" builtinId="0" hidden="0"/>
  </cellStyles>
  <dxfs count="13">
    <dxf>
      <font>
        <b val="1"/>
        <color rgb="001E8449"/>
        <sz val="13"/>
      </font>
    </dxf>
    <dxf>
      <font>
        <b val="1"/>
        <color rgb="00C0392B"/>
        <sz val="13"/>
      </font>
    </dxf>
    <dxf>
      <fill>
        <patternFill patternType="solid">
          <fgColor rgb="00F5B7B1"/>
        </patternFill>
      </fill>
    </dxf>
    <dxf>
      <fill>
        <patternFill patternType="solid">
          <fgColor rgb="00FAD7A0"/>
        </patternFill>
      </fill>
    </dxf>
    <dxf>
      <fill>
        <patternFill patternType="solid">
          <fgColor rgb="00E8EDF5"/>
        </patternFill>
      </fill>
    </dxf>
    <dxf>
      <font>
        <b val="1"/>
        <color rgb="001E8449"/>
      </font>
    </dxf>
    <dxf>
      <font>
        <b val="1"/>
        <color rgb="00C0392B"/>
      </font>
    </dxf>
    <dxf>
      <fill>
        <patternFill patternType="solid">
          <fgColor rgb="00FCF3CF"/>
        </patternFill>
      </fill>
    </dxf>
    <dxf>
      <fill>
        <patternFill patternType="solid">
          <fgColor rgb="00ABEBC6"/>
        </patternFill>
      </fill>
    </dxf>
    <dxf>
      <fill>
        <patternFill patternType="solid">
          <fgColor rgb="00F9E79F"/>
        </patternFill>
      </fill>
    </dxf>
    <dxf>
      <fill>
        <patternFill patternType="solid">
          <fgColor rgb="00FDEDEC"/>
        </patternFill>
      </fill>
    </dxf>
    <dxf>
      <fill>
        <patternFill patternType="solid">
          <fgColor rgb="00E9F7EF"/>
        </patternFill>
      </fill>
    </dxf>
    <dxf>
      <font>
        <b val="1"/>
        <color rgb="001E8449"/>
      </font>
      <fill>
        <patternFill patternType="solid">
          <fgColor rgb="00E9F7E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הרכב התיק</a:t>
            </a:r>
          </a:p>
        </rich>
      </tx>
    </title>
    <plotArea>
      <pieChart>
        <varyColors val="1"/>
        <ser>
          <idx val="0"/>
          <order val="0"/>
          <tx>
            <strRef>
              <f>'תיק'!H4</f>
            </strRef>
          </tx>
          <spPr>
            <a:ln>
              <a:prstDash val="solid"/>
            </a:ln>
          </spPr>
          <cat>
            <numRef>
              <f>'תיק'!$A$5:$A$54</f>
            </numRef>
          </cat>
          <val>
            <numRef>
              <f>'תיק'!$H$5:$H$54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פיזור סקטורים</a:t>
            </a:r>
          </a:p>
        </rich>
      </tx>
    </title>
    <plotArea>
      <pieChart>
        <varyColors val="1"/>
        <ser>
          <idx val="0"/>
          <order val="0"/>
          <tx>
            <strRef>
              <f>'דשבורד'!C11</f>
            </strRef>
          </tx>
          <spPr>
            <a:ln>
              <a:prstDash val="solid"/>
            </a:ln>
          </spPr>
          <cat>
            <numRef>
              <f>'דשבורד'!$B$12:$B$24</f>
            </numRef>
          </cat>
          <val>
            <numRef>
              <f>'דשבורד'!$C$12:$C$24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רווח לא ממומש לפי מניה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'תיק'!J4</f>
            </strRef>
          </tx>
          <spPr>
            <a:ln>
              <a:prstDash val="solid"/>
            </a:ln>
          </spPr>
          <cat>
            <numRef>
              <f>'תיק'!$A$5:$A$14</f>
            </numRef>
          </cat>
          <val>
            <numRef>
              <f>'תיק'!$J$5:$J$14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שווי התיק לאורך זמן</a:t>
            </a:r>
          </a:p>
        </rich>
      </tx>
    </title>
    <plotArea>
      <lineChart>
        <grouping val="standard"/>
        <ser>
          <idx val="0"/>
          <order val="0"/>
          <tx>
            <strRef>
              <f>'ביצועים'!F4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'ביצועים'!$A$5:$A$28</f>
            </numRef>
          </cat>
          <val>
            <numRef>
              <f>'ביצועים'!$F$5:$F$28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תשואה חודשית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'ביצועים'!G4</f>
            </strRef>
          </tx>
          <spPr>
            <a:ln>
              <a:prstDash val="solid"/>
            </a:ln>
          </spPr>
          <cat>
            <numRef>
              <f>'ביצועים'!$A$5:$A$28</f>
            </numRef>
          </cat>
          <val>
            <numRef>
              <f>'ביצועים'!$G$5:$G$28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דיבידנדים לפי חודש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'דיבידנדים'!$B$57:$M$57</f>
            </numRef>
          </cat>
          <val>
            <numRef>
              <f>'דיבידנדים'!$B$55:$M$55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Pearl</author>
  </authors>
  <commentList>
    <comment ref="L5" authorId="0" shapeId="0">
      <text>
        <t>סך ההפסד האפשרי (סיכון להון) אם כל הסטופים ייפגעו, באחוזים מהתיק.</t>
      </text>
    </comment>
    <comment ref="I7" authorId="0" shapeId="0">
      <text>
        <t>קצב הדיבידנדים שהתקבלו עד היום, מנורמל לשנה.</t>
      </text>
    </comment>
  </commentList>
</comments>
</file>

<file path=xl/comments/comment2.xml><?xml version="1.0" encoding="utf-8"?>
<comments xmlns="http://schemas.openxmlformats.org/spreadsheetml/2006/main">
  <authors>
    <author>Pearl</author>
  </authors>
  <commentList>
    <comment ref="G4" authorId="0" shapeId="0">
      <text>
        <t>ב-Google Sheets: GOOGLEFINANCE חי. באקסל: המחיר הידני.</t>
      </text>
    </comment>
    <comment ref="N4" authorId="0" shapeId="0">
      <text>
        <t>כמה דולר לקנות (+) או למכור (−) כדי להגיע למשקל היעד.</t>
      </text>
    </comment>
    <comment ref="R4" authorId="0" shapeId="0">
      <text>
        <t>רווח ביחידות הסיכון המקורי: (מחיר − עלות) ÷ (עלות − סטופ התחלתי). 2R = הרווחת פי 2 ממה שסיכנת.</t>
      </text>
    </comment>
    <comment ref="S4" authorId="0" shapeId="0">
      <text>
        <t>כמה מההון תפסיד אם הסטופ הנוכחי ייפגע. 0 כשהסטופ מעל העלות (העסקה "חינם").</t>
      </text>
    </comment>
  </commentList>
</comments>
</file>

<file path=xl/comments/comment3.xml><?xml version="1.0" encoding="utf-8"?>
<comments xmlns="http://schemas.openxmlformats.org/spreadsheetml/2006/main">
  <authors>
    <author>Pearl</author>
  </authors>
  <commentList>
    <comment ref="F4" authorId="0" shapeId="0">
      <text>
        <t>לדיבידנד: הסכום נטו שהתקבל (אחרי מס במקור). להפקדה/משיכה: הסכום.</t>
      </text>
    </comment>
    <comment ref="H4" authorId="0" shapeId="0">
      <text>
        <t>פלוס = כסף נכנס לחשבון, מינוס = כסף יוצא. הסכום הוא יתרת המזומן.</t>
      </text>
    </comment>
    <comment ref="J4" authorId="0" shapeId="0">
      <text>
        <t>למכירות בלבד: תמורה פחות עמלה פחות כמות × עלות ממוצעת של הקניות עד אותה שורה.</t>
      </text>
    </comment>
  </commentList>
</comments>
</file>

<file path=xl/comments/comment4.xml><?xml version="1.0" encoding="utf-8"?>
<comments xmlns="http://schemas.openxmlformats.org/spreadsheetml/2006/main">
  <authors>
    <author>Pearl</author>
  </authors>
  <commentList>
    <comment ref="K4" authorId="0" shapeId="0">
      <text>
        <t>כמה R מרוויחים ביעד הראשון. מתחת ל-2 — עסקה פחות כדאית.</t>
      </text>
    </comment>
    <comment ref="L4" authorId="0" shapeId="0">
      <text>
        <t>כמות שמגבילה את ההפסד בסטופ ל-% הסיכון לעסקה, בלי לחרוג מגודל הפוזיציה המרבי ומהמזומן הפנוי.</t>
      </text>
    </comment>
  </commentList>
</comments>
</file>

<file path=xl/comments/comment5.xml><?xml version="1.0" encoding="utf-8"?>
<comments xmlns="http://schemas.openxmlformats.org/spreadsheetml/2006/main">
  <authors>
    <author>Pearl</author>
  </authors>
  <commentList>
    <comment ref="G4" authorId="0" shapeId="0">
      <text>
        <t>(שווי סוף − שווי קודם − הפקדות נטו) ÷ (שווי קודם + הפקדות נטו). הפקדות נחשבות בתחילת החודש.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26</row>
      <rowOff>0</rowOff>
    </from>
    <ext cx="46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26</row>
      <rowOff>0</rowOff>
    </from>
    <ext cx="46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26</row>
      <rowOff>0</rowOff>
    </from>
    <ext cx="46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</col>
      <colOff>0</colOff>
      <row>45</row>
      <rowOff>0</rowOff>
    </from>
    <ext cx="720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8</col>
      <colOff>0</colOff>
      <row>45</row>
      <rowOff>0</rowOff>
    </from>
    <ext cx="5040000" cy="32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59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C33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00" customWidth="1" min="3" max="3"/>
  </cols>
  <sheetData>
    <row r="1" ht="34" customHeight="1">
      <c r="A1" s="1" t="inlineStr">
        <is>
          <t>Pearl Portfolio Tracker · מערכת ניהול תיק השקעות</t>
        </is>
      </c>
    </row>
    <row r="2" ht="20" customHeight="1">
      <c r="A2" s="2" t="inlineStr">
        <is>
          <t>ניהול תיק, סיכונים, דיבידנדים וביצועים — בעברית, עם מחירים חיים ב-Google Sheets</t>
        </is>
      </c>
    </row>
    <row r="4" ht="22" customHeight="1">
      <c r="B4" s="3" t="inlineStr">
        <is>
          <t>איך מתחילים</t>
        </is>
      </c>
      <c r="C4" s="4" t="n"/>
    </row>
    <row r="5">
      <c r="B5" s="5" t="inlineStr">
        <is>
          <t>1. הגדרות</t>
        </is>
      </c>
      <c r="C5" s="6" t="inlineStr">
        <is>
          <t>קבע % סיכון לעסקה, תקרת סיכון כוללת לתיק, ושער דולר. מכאן נגזרים גודל פוזיציה והתראות.</t>
        </is>
      </c>
    </row>
    <row r="6">
      <c r="B6" s="5" t="inlineStr">
        <is>
          <t>2. עסקאות</t>
        </is>
      </c>
      <c r="C6" s="6" t="inlineStr">
        <is>
          <t>כל תנועה בשורה אחת: הפקדה, קנייה, מכירה, דיבידנד, משיכה, עמלה. זה המקור היחיד לאמת — כל השאר מחושב מכאן.</t>
        </is>
      </c>
    </row>
    <row r="7">
      <c r="B7" s="5" t="inlineStr">
        <is>
          <t>3. תיק</t>
        </is>
      </c>
      <c r="C7" s="6" t="inlineStr">
        <is>
          <t>רשום כל טיקר פעם אחת (עמודה A), סקטור, סטופ התחלתי וסטופ נוכחי. כמות, עלות ממוצעת, רווח ו-R מחושבים לבד.</t>
        </is>
      </c>
    </row>
    <row r="8">
      <c r="B8" s="5" t="inlineStr">
        <is>
          <t>4. מעקב</t>
        </is>
      </c>
      <c r="C8" s="6" t="inlineStr">
        <is>
          <t>מניות שאתה שוקל: אזור כניסה, סטופ ויעדים. המערכת מחשבת כמה מניות לקנות לפי מדיניות הסיכון ומסמנת כשהמחיר באזור הכניסה.</t>
        </is>
      </c>
    </row>
    <row r="9">
      <c r="B9" s="5" t="inlineStr">
        <is>
          <t>5. ביצועים</t>
        </is>
      </c>
      <c r="C9" s="6" t="inlineStr">
        <is>
          <t>בסוף כל חודש הזן את שווי התיק (או השאר — החודש הנוכחי מתמלא לבד). מקבלים תשואה חודשית ומצטברת מנוטרלת הפקדות.</t>
        </is>
      </c>
    </row>
    <row r="10">
      <c r="B10" s="7" t="inlineStr">
        <is>
          <t>6. דשבורד</t>
        </is>
      </c>
      <c r="C10" s="6" t="inlineStr">
        <is>
          <t>תמונת מצב: שווי, רווח, דיבידנדים, חום התיק (סיכון כולל), התראות פעילות, פיזור סקטורים וגרפים.</t>
        </is>
      </c>
    </row>
    <row r="12" ht="22" customHeight="1">
      <c r="B12" s="8" t="inlineStr">
        <is>
          <t>מקרא צבעים</t>
        </is>
      </c>
      <c r="C12" s="4" t="n"/>
    </row>
    <row r="13">
      <c r="B13" s="5" t="inlineStr">
        <is>
          <t>תא צהוב / טקסט כחול</t>
        </is>
      </c>
      <c r="C13" s="6" t="inlineStr">
        <is>
          <t>שדה קלט — כאן מקלידים.</t>
        </is>
      </c>
    </row>
    <row r="14">
      <c r="B14" s="5" t="inlineStr">
        <is>
          <t>טקסט שחור</t>
        </is>
      </c>
      <c r="C14" s="6" t="inlineStr">
        <is>
          <t>נוסחה — לא לגעת.</t>
        </is>
      </c>
    </row>
    <row r="15">
      <c r="B15" s="5" t="inlineStr">
        <is>
          <t>כותרת זהובה</t>
        </is>
      </c>
      <c r="C15" s="6" t="inlineStr">
        <is>
          <t>עמודת קלט בטבלה.</t>
        </is>
      </c>
    </row>
    <row r="17" ht="22" customHeight="1">
      <c r="B17" s="3" t="inlineStr">
        <is>
          <t>מחירים חיים</t>
        </is>
      </c>
      <c r="C17" s="4" t="n"/>
    </row>
    <row r="18">
      <c r="B18" s="5" t="inlineStr">
        <is>
          <t>Google Sheets</t>
        </is>
      </c>
      <c r="C18" s="6" t="inlineStr">
        <is>
          <t>קובץ ← ייבוא ← העלה את הקובץ. עמודת "מחיר" משתמשת ב-GOOGLEFINANCE ומתעדכנת אוטומטית (עיכוב של עד 20 דק').</t>
        </is>
      </c>
    </row>
    <row r="19">
      <c r="B19" s="5" t="inlineStr">
        <is>
          <t>Excel</t>
        </is>
      </c>
      <c r="C19" s="6" t="inlineStr">
        <is>
          <t>GOOGLEFINANCE לא קיים באקסל, ולכן נלקח המחיר מעמודת "מחיר ידני". עדכן אותה כשתרצה.</t>
        </is>
      </c>
    </row>
    <row r="20">
      <c r="B20" s="5" t="inlineStr">
        <is>
          <t>טיקרים</t>
        </is>
      </c>
      <c r="C20" s="6" t="inlineStr">
        <is>
          <t>מניות ארה"ב: AAPL. ת"א: TLV:TEVA. אם GOOGLEFINANCE לא מזהה טיקר — נלקח המחיר הידני.</t>
        </is>
      </c>
    </row>
    <row r="22" ht="22" customHeight="1">
      <c r="B22" s="3" t="inlineStr">
        <is>
          <t>התראות בטבלת התיק</t>
        </is>
      </c>
      <c r="C22" s="4" t="n"/>
    </row>
    <row r="23">
      <c r="B23" s="5" t="inlineStr">
        <is>
          <t>🔴 סטופ נפגע</t>
        </is>
      </c>
      <c r="C23" s="6" t="inlineStr">
        <is>
          <t>המחיר מתחת לסטופ — לצאת.</t>
        </is>
      </c>
    </row>
    <row r="24">
      <c r="B24" s="5" t="inlineStr">
        <is>
          <t>🟠 אין סטופ</t>
        </is>
      </c>
      <c r="C24" s="6" t="inlineStr">
        <is>
          <t>לפוזיציה לא הוגדר סטופ.</t>
        </is>
      </c>
    </row>
    <row r="25">
      <c r="B25" s="5" t="inlineStr">
        <is>
          <t>🟠 קרוב לסטופ</t>
        </is>
      </c>
      <c r="C25" s="6" t="inlineStr">
        <is>
          <t>נותרו פחות מסף הקרבה (ברירת מחדל 2%) עד הסטופ.</t>
        </is>
      </c>
    </row>
    <row r="26">
      <c r="B26" s="5" t="inlineStr">
        <is>
          <t>🟡 הזז לאיזון</t>
        </is>
      </c>
      <c r="C26" s="6" t="inlineStr">
        <is>
          <t>הרווח עבר 1R והסטופ עדיין מתחת לעלות — אפשר להעלות אותו לנקודת הכניסה ולהסיר סיכון.</t>
        </is>
      </c>
    </row>
    <row r="27">
      <c r="B27" s="5" t="inlineStr">
        <is>
          <t>🟢 מימוש חלקי</t>
        </is>
      </c>
      <c r="C27" s="6" t="inlineStr">
        <is>
          <t>הרווח עבר את סף ה-R למימוש (ברירת מחדל 3R).</t>
        </is>
      </c>
    </row>
    <row r="28">
      <c r="B28" s="5" t="inlineStr">
        <is>
          <t>⚠️ סיכון חורג</t>
        </is>
      </c>
      <c r="C28" s="6" t="inlineStr">
        <is>
          <t>ההפסד האפשרי בפוזיציה גדול מ-% הסיכון לעסקה.</t>
        </is>
      </c>
    </row>
    <row r="29">
      <c r="B29" s="5" t="inlineStr">
        <is>
          <t>✅ תקין</t>
        </is>
      </c>
      <c r="C29" s="6" t="inlineStr">
        <is>
          <t>אין מה לעשות.</t>
        </is>
      </c>
    </row>
    <row r="31" ht="22" customHeight="1">
      <c r="B31" s="3" t="inlineStr">
        <is>
          <t>הערות</t>
        </is>
      </c>
      <c r="C31" s="4" t="n"/>
    </row>
    <row r="32">
      <c r="B32" s="5" t="inlineStr">
        <is>
          <t>עלות ממוצעת</t>
        </is>
      </c>
      <c r="C32" s="6" t="inlineStr">
        <is>
          <t>שיטת ממוצע משוקלל של כל הקניות עד אותה עסקה. רווח ממומש מחושב מול העלות הזו.</t>
        </is>
      </c>
    </row>
    <row r="33">
      <c r="B33" s="5" t="inlineStr">
        <is>
          <t>נתוני דוגמה</t>
        </is>
      </c>
      <c r="C33" s="6" t="inlineStr">
        <is>
          <t>השורות המסומנות "דוגמה" בעסקאות ובתיק — מחק אותן לפני שאתה מזין את התיק האמיתי.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1B2D"/>
    <outlinePr summaryBelow="1" summaryRight="1"/>
    <pageSetUpPr/>
  </sheetPr>
  <dimension ref="A1:L24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6" customWidth="1" min="3" max="3"/>
    <col width="3" customWidth="1" min="4" max="4"/>
    <col width="20" customWidth="1" min="5" max="5"/>
    <col width="16" customWidth="1" min="6" max="6"/>
    <col width="3" customWidth="1" min="7" max="7"/>
    <col width="20" customWidth="1" min="8" max="8"/>
    <col width="16" customWidth="1" min="9" max="9"/>
    <col width="3" customWidth="1" min="10" max="10"/>
    <col width="18" customWidth="1" min="11" max="11"/>
    <col width="14" customWidth="1" min="12" max="12"/>
  </cols>
  <sheetData>
    <row r="1" ht="34" customHeight="1">
      <c r="A1" s="1" t="inlineStr">
        <is>
          <t>🎯 Pearl Portfolio · דשבורד</t>
        </is>
      </c>
    </row>
    <row r="2" ht="20" customHeight="1">
      <c r="A2" s="2" t="inlineStr">
        <is>
          <t>תמונת מצב של התיק — מתעדכן אוטומטית.</t>
        </is>
      </c>
    </row>
    <row r="4">
      <c r="B4" s="9" t="inlineStr">
        <is>
          <t>שווי</t>
        </is>
      </c>
      <c r="E4" s="9" t="inlineStr">
        <is>
          <t>רווח</t>
        </is>
      </c>
      <c r="H4" s="9" t="inlineStr">
        <is>
          <t>הכנסות ועלויות</t>
        </is>
      </c>
      <c r="K4" s="9" t="inlineStr">
        <is>
          <t>סיכון</t>
        </is>
      </c>
    </row>
    <row r="5" ht="26" customHeight="1">
      <c r="B5" s="10" t="inlineStr">
        <is>
          <t>שווי תיק כולל $</t>
        </is>
      </c>
      <c r="C5" s="11">
        <f>C6+C8</f>
        <v/>
      </c>
      <c r="E5" s="10" t="inlineStr">
        <is>
          <t>הון שהופקד נטו $</t>
        </is>
      </c>
      <c r="F5" s="11">
        <f>SUMIFS('עסקאות'!$F$5:$F$1004,'עסקאות'!$B$5:$B$1004,"הפקדה")-SUMIFS('עסקאות'!$F$5:$F$1004,'עסקאות'!$B$5:$B$1004,"משיכה")</f>
        <v/>
      </c>
      <c r="H5" s="10" t="inlineStr">
        <is>
          <t>רווח ממומש $</t>
        </is>
      </c>
      <c r="I5" s="11">
        <f>SUM('עסקאות'!$J$5:$J$1004)</f>
        <v/>
      </c>
      <c r="K5" s="10" t="inlineStr">
        <is>
          <t>חום התיק (סיכון כולל)</t>
        </is>
      </c>
      <c r="L5" s="12">
        <f>IF(C5=0,"",SUM('תיק'!$S$5:$S$54)/C5)</f>
        <v/>
      </c>
    </row>
    <row r="6" ht="26" customHeight="1">
      <c r="B6" s="10" t="inlineStr">
        <is>
          <t>שווי מניות $</t>
        </is>
      </c>
      <c r="C6" s="11">
        <f>SUM('תיק'!$H$5:$H$54)</f>
        <v/>
      </c>
      <c r="E6" s="10" t="inlineStr">
        <is>
          <t>רווח כולל $</t>
        </is>
      </c>
      <c r="F6" s="11">
        <f>C5-F5</f>
        <v/>
      </c>
      <c r="H6" s="10" t="inlineStr">
        <is>
          <t>דיבידנדים מצטברים $</t>
        </is>
      </c>
      <c r="I6" s="11">
        <f>SUMIFS('עסקאות'!$F$5:$F$1004,'עסקאות'!$B$5:$B$1004,"דיבידנד")</f>
        <v/>
      </c>
      <c r="K6" s="10" t="inlineStr">
        <is>
          <t>תקרת חום</t>
        </is>
      </c>
      <c r="L6" s="12">
        <f>MaxHeat</f>
        <v/>
      </c>
    </row>
    <row r="7" ht="26" customHeight="1">
      <c r="B7" s="10" t="inlineStr">
        <is>
          <t>שווי כולל ₪</t>
        </is>
      </c>
      <c r="C7" s="13">
        <f>C5*Fx</f>
        <v/>
      </c>
      <c r="E7" s="10" t="inlineStr">
        <is>
          <t>תשואה כוללת</t>
        </is>
      </c>
      <c r="F7" s="12">
        <f>IF(F5=0,"",F6/F5)</f>
        <v/>
      </c>
      <c r="H7" s="10" t="inlineStr">
        <is>
          <t>דיבידנד שנתי צפוי $</t>
        </is>
      </c>
      <c r="I7" s="11">
        <f>IFERROR(IF(TODAY()-MIN('עסקאות'!$A$5:$A$1004)&lt;30,I6,I6*365/(TODAY()-MIN('עסקאות'!$A$5:$A$1004))),0)</f>
        <v/>
      </c>
      <c r="K7" s="10" t="inlineStr">
        <is>
          <t>פוזיציות פתוחות</t>
        </is>
      </c>
      <c r="L7" s="14">
        <f>COUNTIF('תיק'!$D$5:$D$54,"&gt;0")</f>
        <v/>
      </c>
    </row>
    <row r="8" ht="26" customHeight="1">
      <c r="B8" s="10" t="inlineStr">
        <is>
          <t>מזומן $</t>
        </is>
      </c>
      <c r="C8" s="11">
        <f>SUM('עסקאות'!$H$5:$H$1004)</f>
        <v/>
      </c>
      <c r="E8" s="10" t="inlineStr">
        <is>
          <t>רווח לא ממומש $</t>
        </is>
      </c>
      <c r="F8" s="11">
        <f>SUM('תיק'!$J$5:$J$54)</f>
        <v/>
      </c>
      <c r="H8" s="10" t="inlineStr">
        <is>
          <t>עמלות ששולמו $</t>
        </is>
      </c>
      <c r="I8" s="11">
        <f>SUM('עסקאות'!$G$5:$G$1004)</f>
        <v/>
      </c>
      <c r="K8" s="10" t="inlineStr">
        <is>
          <t>התראות פעילות</t>
        </is>
      </c>
      <c r="L8" s="14">
        <f>COUNTIF('תיק'!$W$5:$W$54,"🔴*")+COUNTIF('תיק'!$W$5:$W$54,"🟠*")+COUNTIF('תיק'!$W$5:$W$54,"🟡*")+COUNTIF('תיק'!$W$5:$W$54,"🟢*")+COUNTIF('תיק'!$W$5:$W$54,"⚠️*")</f>
        <v/>
      </c>
    </row>
    <row r="10">
      <c r="B10" s="15" t="inlineStr">
        <is>
          <t>פיזור לפי סקטור</t>
        </is>
      </c>
      <c r="H10" s="15" t="inlineStr">
        <is>
          <t>התראות לפי פוזיציה</t>
        </is>
      </c>
    </row>
    <row r="11">
      <c r="B11" s="16" t="inlineStr">
        <is>
          <t>סקטור</t>
        </is>
      </c>
      <c r="C11" s="16" t="inlineStr">
        <is>
          <t>שווי $</t>
        </is>
      </c>
      <c r="D11" s="16" t="inlineStr"/>
      <c r="E11" s="16" t="inlineStr">
        <is>
          <t>משקל</t>
        </is>
      </c>
      <c r="H11" s="16" t="inlineStr">
        <is>
          <t>טיקר</t>
        </is>
      </c>
      <c r="I11" s="16" t="inlineStr">
        <is>
          <t>פעולה</t>
        </is>
      </c>
    </row>
    <row r="12">
      <c r="B12" s="17">
        <f>'הגדרות'!A16</f>
        <v/>
      </c>
      <c r="C12" s="18">
        <f>SUMIFS('תיק'!$H$5:$H$54,'תיק'!$C$5:$C$54,B12)</f>
        <v/>
      </c>
      <c r="E12" s="19">
        <f>IF($C$6=0,"",C12/$C$6)</f>
        <v/>
      </c>
      <c r="H12" s="20">
        <f>IFERROR(INDEX('תיק'!$A$5:$A$54,MATCH(1,'תיק'!$X$5:$X$54,0)),"")</f>
        <v/>
      </c>
      <c r="I12" s="21">
        <f>IF(H12="","",INDEX('תיק'!$W$5:$W$54,MATCH(H12,'תיק'!$A$5:$A$54,0)))</f>
        <v/>
      </c>
    </row>
    <row r="13">
      <c r="B13" s="17">
        <f>'הגדרות'!A17</f>
        <v/>
      </c>
      <c r="C13" s="18">
        <f>SUMIFS('תיק'!$H$5:$H$54,'תיק'!$C$5:$C$54,B13)</f>
        <v/>
      </c>
      <c r="E13" s="19">
        <f>IF($C$6=0,"",C13/$C$6)</f>
        <v/>
      </c>
      <c r="H13" s="20">
        <f>IFERROR(INDEX('תיק'!$A$5:$A$54,MATCH(2,'תיק'!$X$5:$X$54,0)),"")</f>
        <v/>
      </c>
      <c r="I13" s="21">
        <f>IF(H13="","",INDEX('תיק'!$W$5:$W$54,MATCH(H13,'תיק'!$A$5:$A$54,0)))</f>
        <v/>
      </c>
    </row>
    <row r="14">
      <c r="B14" s="17">
        <f>'הגדרות'!A18</f>
        <v/>
      </c>
      <c r="C14" s="18">
        <f>SUMIFS('תיק'!$H$5:$H$54,'תיק'!$C$5:$C$54,B14)</f>
        <v/>
      </c>
      <c r="E14" s="19">
        <f>IF($C$6=0,"",C14/$C$6)</f>
        <v/>
      </c>
      <c r="H14" s="20">
        <f>IFERROR(INDEX('תיק'!$A$5:$A$54,MATCH(3,'תיק'!$X$5:$X$54,0)),"")</f>
        <v/>
      </c>
      <c r="I14" s="21">
        <f>IF(H14="","",INDEX('תיק'!$W$5:$W$54,MATCH(H14,'תיק'!$A$5:$A$54,0)))</f>
        <v/>
      </c>
    </row>
    <row r="15">
      <c r="B15" s="17">
        <f>'הגדרות'!A19</f>
        <v/>
      </c>
      <c r="C15" s="18">
        <f>SUMIFS('תיק'!$H$5:$H$54,'תיק'!$C$5:$C$54,B15)</f>
        <v/>
      </c>
      <c r="E15" s="19">
        <f>IF($C$6=0,"",C15/$C$6)</f>
        <v/>
      </c>
      <c r="H15" s="20">
        <f>IFERROR(INDEX('תיק'!$A$5:$A$54,MATCH(4,'תיק'!$X$5:$X$54,0)),"")</f>
        <v/>
      </c>
      <c r="I15" s="21">
        <f>IF(H15="","",INDEX('תיק'!$W$5:$W$54,MATCH(H15,'תיק'!$A$5:$A$54,0)))</f>
        <v/>
      </c>
    </row>
    <row r="16">
      <c r="B16" s="17">
        <f>'הגדרות'!A20</f>
        <v/>
      </c>
      <c r="C16" s="18">
        <f>SUMIFS('תיק'!$H$5:$H$54,'תיק'!$C$5:$C$54,B16)</f>
        <v/>
      </c>
      <c r="E16" s="19">
        <f>IF($C$6=0,"",C16/$C$6)</f>
        <v/>
      </c>
      <c r="H16" s="20">
        <f>IFERROR(INDEX('תיק'!$A$5:$A$54,MATCH(5,'תיק'!$X$5:$X$54,0)),"")</f>
        <v/>
      </c>
      <c r="I16" s="21">
        <f>IF(H16="","",INDEX('תיק'!$W$5:$W$54,MATCH(H16,'תיק'!$A$5:$A$54,0)))</f>
        <v/>
      </c>
    </row>
    <row r="17">
      <c r="B17" s="17">
        <f>'הגדרות'!A21</f>
        <v/>
      </c>
      <c r="C17" s="18">
        <f>SUMIFS('תיק'!$H$5:$H$54,'תיק'!$C$5:$C$54,B17)</f>
        <v/>
      </c>
      <c r="E17" s="19">
        <f>IF($C$6=0,"",C17/$C$6)</f>
        <v/>
      </c>
      <c r="H17" s="20">
        <f>IFERROR(INDEX('תיק'!$A$5:$A$54,MATCH(6,'תיק'!$X$5:$X$54,0)),"")</f>
        <v/>
      </c>
      <c r="I17" s="21">
        <f>IF(H17="","",INDEX('תיק'!$W$5:$W$54,MATCH(H17,'תיק'!$A$5:$A$54,0)))</f>
        <v/>
      </c>
    </row>
    <row r="18">
      <c r="B18" s="17">
        <f>'הגדרות'!A22</f>
        <v/>
      </c>
      <c r="C18" s="18">
        <f>SUMIFS('תיק'!$H$5:$H$54,'תיק'!$C$5:$C$54,B18)</f>
        <v/>
      </c>
      <c r="E18" s="19">
        <f>IF($C$6=0,"",C18/$C$6)</f>
        <v/>
      </c>
      <c r="H18" s="20">
        <f>IFERROR(INDEX('תיק'!$A$5:$A$54,MATCH(7,'תיק'!$X$5:$X$54,0)),"")</f>
        <v/>
      </c>
      <c r="I18" s="21">
        <f>IF(H18="","",INDEX('תיק'!$W$5:$W$54,MATCH(H18,'תיק'!$A$5:$A$54,0)))</f>
        <v/>
      </c>
    </row>
    <row r="19">
      <c r="B19" s="17">
        <f>'הגדרות'!A23</f>
        <v/>
      </c>
      <c r="C19" s="18">
        <f>SUMIFS('תיק'!$H$5:$H$54,'תיק'!$C$5:$C$54,B19)</f>
        <v/>
      </c>
      <c r="E19" s="19">
        <f>IF($C$6=0,"",C19/$C$6)</f>
        <v/>
      </c>
      <c r="H19" s="20">
        <f>IFERROR(INDEX('תיק'!$A$5:$A$54,MATCH(8,'תיק'!$X$5:$X$54,0)),"")</f>
        <v/>
      </c>
      <c r="I19" s="21">
        <f>IF(H19="","",INDEX('תיק'!$W$5:$W$54,MATCH(H19,'תיק'!$A$5:$A$54,0)))</f>
        <v/>
      </c>
    </row>
    <row r="20">
      <c r="B20" s="17">
        <f>'הגדרות'!A24</f>
        <v/>
      </c>
      <c r="C20" s="18">
        <f>SUMIFS('תיק'!$H$5:$H$54,'תיק'!$C$5:$C$54,B20)</f>
        <v/>
      </c>
      <c r="E20" s="19">
        <f>IF($C$6=0,"",C20/$C$6)</f>
        <v/>
      </c>
      <c r="H20" s="20">
        <f>IFERROR(INDEX('תיק'!$A$5:$A$54,MATCH(9,'תיק'!$X$5:$X$54,0)),"")</f>
        <v/>
      </c>
      <c r="I20" s="21">
        <f>IF(H20="","",INDEX('תיק'!$W$5:$W$54,MATCH(H20,'תיק'!$A$5:$A$54,0)))</f>
        <v/>
      </c>
    </row>
    <row r="21">
      <c r="B21" s="17">
        <f>'הגדרות'!A25</f>
        <v/>
      </c>
      <c r="C21" s="18">
        <f>SUMIFS('תיק'!$H$5:$H$54,'תיק'!$C$5:$C$54,B21)</f>
        <v/>
      </c>
      <c r="E21" s="19">
        <f>IF($C$6=0,"",C21/$C$6)</f>
        <v/>
      </c>
      <c r="H21" s="20">
        <f>IFERROR(INDEX('תיק'!$A$5:$A$54,MATCH(10,'תיק'!$X$5:$X$54,0)),"")</f>
        <v/>
      </c>
      <c r="I21" s="21">
        <f>IF(H21="","",INDEX('תיק'!$W$5:$W$54,MATCH(H21,'תיק'!$A$5:$A$54,0)))</f>
        <v/>
      </c>
    </row>
    <row r="22">
      <c r="B22" s="17">
        <f>'הגדרות'!A26</f>
        <v/>
      </c>
      <c r="C22" s="18">
        <f>SUMIFS('תיק'!$H$5:$H$54,'תיק'!$C$5:$C$54,B22)</f>
        <v/>
      </c>
      <c r="E22" s="19">
        <f>IF($C$6=0,"",C22/$C$6)</f>
        <v/>
      </c>
    </row>
    <row r="23">
      <c r="B23" s="17">
        <f>'הגדרות'!A27</f>
        <v/>
      </c>
      <c r="C23" s="18">
        <f>SUMIFS('תיק'!$H$5:$H$54,'תיק'!$C$5:$C$54,B23)</f>
        <v/>
      </c>
      <c r="E23" s="19">
        <f>IF($C$6=0,"",C23/$C$6)</f>
        <v/>
      </c>
    </row>
    <row r="24">
      <c r="B24" s="17">
        <f>'הגדרות'!A28</f>
        <v/>
      </c>
      <c r="C24" s="18">
        <f>SUMIFS('תיק'!$H$5:$H$54,'תיק'!$C$5:$C$54,B24)</f>
        <v/>
      </c>
      <c r="E24" s="19">
        <f>IF($C$6=0,"",C24/$C$6)</f>
        <v/>
      </c>
    </row>
  </sheetData>
  <mergeCells count="17">
    <mergeCell ref="I13:L13"/>
    <mergeCell ref="E4:F4"/>
    <mergeCell ref="A2:L2"/>
    <mergeCell ref="I14:L14"/>
    <mergeCell ref="I17:L17"/>
    <mergeCell ref="I18:L18"/>
    <mergeCell ref="I21:L21"/>
    <mergeCell ref="A1:L1"/>
    <mergeCell ref="I12:L12"/>
    <mergeCell ref="I20:L20"/>
    <mergeCell ref="I16:L16"/>
    <mergeCell ref="I15:L15"/>
    <mergeCell ref="H4:I4"/>
    <mergeCell ref="K4:L4"/>
    <mergeCell ref="I19:L19"/>
    <mergeCell ref="I11:L11"/>
    <mergeCell ref="B4:C4"/>
  </mergeCells>
  <conditionalFormatting sqref="F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7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8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I5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L5">
    <cfRule type="expression" priority="9" dxfId="2">
      <formula>AND(ISNUMBER(L5),L5&gt;MaxHeat)</formula>
    </cfRule>
  </conditionalFormatting>
  <conditionalFormatting sqref="L8">
    <cfRule type="cellIs" priority="10" operator="greaterThan" dxfId="3">
      <formula>0</formula>
    </cfRule>
  </conditionalFormatting>
  <conditionalFormatting sqref="E12:E24">
    <cfRule type="expression" priority="11" dxfId="4">
      <formula>AND(ISNUMBER(E12),E12&gt;0)</formula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X55"/>
  <sheetViews>
    <sheetView showGridLines="0" rightToLeft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9" customWidth="1" min="4" max="4"/>
    <col width="12" customWidth="1" min="5" max="5"/>
    <col width="11" customWidth="1" min="6" max="6"/>
    <col width="11" customWidth="1" min="7" max="7"/>
    <col width="13" customWidth="1" min="8" max="8"/>
    <col width="13" customWidth="1" min="9" max="9"/>
    <col width="14" customWidth="1" min="10" max="10"/>
    <col width="9" customWidth="1" min="11" max="11"/>
    <col width="9" customWidth="1" min="12" max="12"/>
    <col width="9" customWidth="1" min="13" max="13"/>
    <col width="13" customWidth="1" min="14" max="14"/>
    <col width="11" customWidth="1" min="15" max="15"/>
    <col width="11" customWidth="1" min="16" max="16"/>
    <col width="10" customWidth="1" min="17" max="17"/>
    <col width="8" customWidth="1" min="18" max="18"/>
    <col width="12" customWidth="1" min="19" max="19"/>
    <col width="10" customWidth="1" min="20" max="20"/>
    <col width="13" customWidth="1" min="21" max="21"/>
    <col width="12" customWidth="1" min="22" max="22"/>
    <col width="18" customWidth="1" min="23" max="23"/>
    <col hidden="1" width="13" customWidth="1" min="24" max="24"/>
  </cols>
  <sheetData>
    <row r="1" ht="34" customHeight="1">
      <c r="A1" s="1" t="inlineStr">
        <is>
          <t>💼 התיק שלי</t>
        </is>
      </c>
    </row>
    <row r="2" ht="20" customHeight="1">
      <c r="A2" s="2" t="inlineStr">
        <is>
          <t>רשום טיקר, סקטור וסטופים — כל השאר מחושב מיומן העסקאות.</t>
        </is>
      </c>
    </row>
    <row r="4" ht="36" customHeight="1">
      <c r="A4" s="22" t="inlineStr">
        <is>
          <t>טיקר</t>
        </is>
      </c>
      <c r="B4" s="22" t="inlineStr">
        <is>
          <t>שם</t>
        </is>
      </c>
      <c r="C4" s="22" t="inlineStr">
        <is>
          <t>סקטור</t>
        </is>
      </c>
      <c r="D4" s="23" t="inlineStr">
        <is>
          <t>כמות</t>
        </is>
      </c>
      <c r="E4" s="23" t="inlineStr">
        <is>
          <t>עלות ממוצעת $</t>
        </is>
      </c>
      <c r="F4" s="22" t="inlineStr">
        <is>
          <t>מחיר ידני $</t>
        </is>
      </c>
      <c r="G4" s="23" t="inlineStr">
        <is>
          <t>מחיר $</t>
        </is>
      </c>
      <c r="H4" s="23" t="inlineStr">
        <is>
          <t>שווי שוק $</t>
        </is>
      </c>
      <c r="I4" s="23" t="inlineStr">
        <is>
          <t>עלות $</t>
        </is>
      </c>
      <c r="J4" s="23" t="inlineStr">
        <is>
          <t>רווח לא ממומש $</t>
        </is>
      </c>
      <c r="K4" s="23" t="inlineStr">
        <is>
          <t>רווח %</t>
        </is>
      </c>
      <c r="L4" s="23" t="inlineStr">
        <is>
          <t>משקל בתיק</t>
        </is>
      </c>
      <c r="M4" s="22" t="inlineStr">
        <is>
          <t>משקל יעד</t>
        </is>
      </c>
      <c r="N4" s="23" t="inlineStr">
        <is>
          <t>איזון $
(+קנה / −מכור)</t>
        </is>
      </c>
      <c r="O4" s="22" t="inlineStr">
        <is>
          <t>סטופ התחלתי $</t>
        </is>
      </c>
      <c r="P4" s="22" t="inlineStr">
        <is>
          <t>סטופ נוכחי $</t>
        </is>
      </c>
      <c r="Q4" s="23" t="inlineStr">
        <is>
          <t>מרחק לסטופ</t>
        </is>
      </c>
      <c r="R4" s="23" t="inlineStr">
        <is>
          <t>R</t>
        </is>
      </c>
      <c r="S4" s="23" t="inlineStr">
        <is>
          <t>סיכון להון $</t>
        </is>
      </c>
      <c r="T4" s="23" t="inlineStr">
        <is>
          <t>סיכון % מהתיק</t>
        </is>
      </c>
      <c r="U4" s="23" t="inlineStr">
        <is>
          <t>רווח ממומש $</t>
        </is>
      </c>
      <c r="V4" s="23" t="inlineStr">
        <is>
          <t>דיבידנדים $</t>
        </is>
      </c>
      <c r="W4" s="23" t="inlineStr">
        <is>
          <t>פעולה</t>
        </is>
      </c>
      <c r="X4" s="24" t="inlineStr">
        <is>
          <t>#</t>
        </is>
      </c>
    </row>
    <row r="5">
      <c r="A5" s="25" t="inlineStr">
        <is>
          <t>AAPL</t>
        </is>
      </c>
      <c r="B5" s="26" t="inlineStr">
        <is>
          <t>Apple</t>
        </is>
      </c>
      <c r="C5" s="26" t="inlineStr">
        <is>
          <t>טכנולוגיה</t>
        </is>
      </c>
      <c r="D5" s="27">
        <f>IF(A5="","",SUMIFS('עסקאות'!$D$5:$D$1004,'עסקאות'!$C$5:$C$1004,A5,'עסקאות'!$B$5:$B$1004,"קנייה")-SUMIFS('עסקאות'!$D$5:$D$1004,'עסקאות'!$C$5:$C$1004,A5,'עסקאות'!$B$5:$B$1004,"מכירה"))</f>
        <v/>
      </c>
      <c r="E5" s="28">
        <f>IF(A5="","",IFERROR(SUMIFS('עסקאות'!$I$5:$I$1004,'עסקאות'!$C$5:$C$1004,A5)/SUMIFS('עסקאות'!$D$5:$D$1004,'עסקאות'!$C$5:$C$1004,A5,'עסקאות'!$B$5:$B$1004,"קנייה"),0))</f>
        <v/>
      </c>
      <c r="F5" s="29" t="n">
        <v>232</v>
      </c>
      <c r="G5" s="28">
        <f>IF(A5="","",IFERROR(GOOGLEFINANCE(A5),F5))</f>
        <v/>
      </c>
      <c r="H5" s="30">
        <f>IF(A5="",0,D5*G5)</f>
        <v/>
      </c>
      <c r="I5" s="30">
        <f>IF(A5="",0,D5*E5)</f>
        <v/>
      </c>
      <c r="J5" s="30">
        <f>IF(A5="",0,H5-I5)</f>
        <v/>
      </c>
      <c r="K5" s="31">
        <f>IF(I5=0,"",J5/I5)</f>
        <v/>
      </c>
      <c r="L5" s="31">
        <f>IF(Equity=0,"",H5/Equity)</f>
        <v/>
      </c>
      <c r="M5" s="32" t="n">
        <v>0.15</v>
      </c>
      <c r="N5" s="30">
        <f>IF(OR(A5="",M5=""),"",M5*Equity-H5)</f>
        <v/>
      </c>
      <c r="O5" s="29" t="n">
        <v>170</v>
      </c>
      <c r="P5" s="29" t="n">
        <v>205</v>
      </c>
      <c r="Q5" s="31">
        <f>IF(OR(A5="",P5="",G5=0),"",(G5-P5)/G5)</f>
        <v/>
      </c>
      <c r="R5" s="33">
        <f>IF(OR(A5="",O5="",E5&lt;=O5),"",(G5-E5)/(E5-O5))</f>
        <v/>
      </c>
      <c r="S5" s="30">
        <f>IF(OR(A5="",P5=""),0,MAX(0,E5-P5)*D5)</f>
        <v/>
      </c>
      <c r="T5" s="31">
        <f>IF(Equity=0,"",S5/Equity)</f>
        <v/>
      </c>
      <c r="U5" s="30">
        <f>IF(A5="",0,SUMIFS('עסקאות'!$J$5:$J$1004,'עסקאות'!$C$5:$C$1004,A5))</f>
        <v/>
      </c>
      <c r="V5" s="30">
        <f>IF(A5="",0,SUMIFS('עסקאות'!$F$5:$F$1004,'עסקאות'!$C$5:$C$1004,A5,'עסקאות'!$B$5:$B$1004,"דיבידנד"))</f>
        <v/>
      </c>
      <c r="W5" s="34">
        <f>IF(OR(A5="",D5&lt;=0),"",IF(P5="","🟠 אין סטופ",IF(G5&lt;=P5,"🔴 סטופ נפגע",IF(Q5&lt;NearStop,"🟠 קרוב לסטופ",IF(AND(R5&lt;&gt;"",R5&gt;=PartialR),"🟢 מימוש חלקי",IF(AND(R5&lt;&gt;"",R5&gt;=1,P5&lt;E5),"🟡 הזז לאיזון",IF(T5&gt;RiskPct,"⚠️ סיכון חורג","✅ תקין")))))))</f>
        <v/>
      </c>
      <c r="X5" s="24">
        <f>IF(AND(W5&lt;&gt;"",W5&lt;&gt;"✅ תקין"),MAX($X$4:X4)+1,"")</f>
        <v/>
      </c>
    </row>
    <row r="6">
      <c r="A6" s="25" t="inlineStr">
        <is>
          <t>MSFT</t>
        </is>
      </c>
      <c r="B6" s="26" t="inlineStr">
        <is>
          <t>Microsoft</t>
        </is>
      </c>
      <c r="C6" s="26" t="inlineStr">
        <is>
          <t>טכנולוגיה</t>
        </is>
      </c>
      <c r="D6" s="27">
        <f>IF(A6="","",SUMIFS('עסקאות'!$D$5:$D$1004,'עסקאות'!$C$5:$C$1004,A6,'עסקאות'!$B$5:$B$1004,"קנייה")-SUMIFS('עסקאות'!$D$5:$D$1004,'עסקאות'!$C$5:$C$1004,A6,'עסקאות'!$B$5:$B$1004,"מכירה"))</f>
        <v/>
      </c>
      <c r="E6" s="28">
        <f>IF(A6="","",IFERROR(SUMIFS('עסקאות'!$I$5:$I$1004,'עסקאות'!$C$5:$C$1004,A6)/SUMIFS('עסקאות'!$D$5:$D$1004,'עסקאות'!$C$5:$C$1004,A6,'עסקאות'!$B$5:$B$1004,"קנייה"),0))</f>
        <v/>
      </c>
      <c r="F6" s="29" t="n">
        <v>455</v>
      </c>
      <c r="G6" s="28">
        <f>IF(A6="","",IFERROR(GOOGLEFINANCE(A6),F6))</f>
        <v/>
      </c>
      <c r="H6" s="30">
        <f>IF(A6="",0,D6*G6)</f>
        <v/>
      </c>
      <c r="I6" s="30">
        <f>IF(A6="",0,D6*E6)</f>
        <v/>
      </c>
      <c r="J6" s="30">
        <f>IF(A6="",0,H6-I6)</f>
        <v/>
      </c>
      <c r="K6" s="31">
        <f>IF(I6=0,"",J6/I6)</f>
        <v/>
      </c>
      <c r="L6" s="31">
        <f>IF(Equity=0,"",H6/Equity)</f>
        <v/>
      </c>
      <c r="M6" s="32" t="n">
        <v>0.15</v>
      </c>
      <c r="N6" s="30">
        <f>IF(OR(A6="",M6=""),"",M6*Equity-H6)</f>
        <v/>
      </c>
      <c r="O6" s="29" t="n">
        <v>380</v>
      </c>
      <c r="P6" s="29" t="n">
        <v>400</v>
      </c>
      <c r="Q6" s="31">
        <f>IF(OR(A6="",P6="",G6=0),"",(G6-P6)/G6)</f>
        <v/>
      </c>
      <c r="R6" s="33">
        <f>IF(OR(A6="",O6="",E6&lt;=O6),"",(G6-E6)/(E6-O6))</f>
        <v/>
      </c>
      <c r="S6" s="30">
        <f>IF(OR(A6="",P6=""),0,MAX(0,E6-P6)*D6)</f>
        <v/>
      </c>
      <c r="T6" s="31">
        <f>IF(Equity=0,"",S6/Equity)</f>
        <v/>
      </c>
      <c r="U6" s="30">
        <f>IF(A6="",0,SUMIFS('עסקאות'!$J$5:$J$1004,'עסקאות'!$C$5:$C$1004,A6))</f>
        <v/>
      </c>
      <c r="V6" s="30">
        <f>IF(A6="",0,SUMIFS('עסקאות'!$F$5:$F$1004,'עסקאות'!$C$5:$C$1004,A6,'עסקאות'!$B$5:$B$1004,"דיבידנד"))</f>
        <v/>
      </c>
      <c r="W6" s="34">
        <f>IF(OR(A6="",D6&lt;=0),"",IF(P6="","🟠 אין סטופ",IF(G6&lt;=P6,"🔴 סטופ נפגע",IF(Q6&lt;NearStop,"🟠 קרוב לסטופ",IF(AND(R6&lt;&gt;"",R6&gt;=PartialR),"🟢 מימוש חלקי",IF(AND(R6&lt;&gt;"",R6&gt;=1,P6&lt;E6),"🟡 הזז לאיזון",IF(T6&gt;RiskPct,"⚠️ סיכון חורג","✅ תקין")))))))</f>
        <v/>
      </c>
      <c r="X6" s="24">
        <f>IF(AND(W6&lt;&gt;"",W6&lt;&gt;"✅ תקין"),MAX($X$4:X5)+1,"")</f>
        <v/>
      </c>
    </row>
    <row r="7">
      <c r="A7" s="25" t="inlineStr">
        <is>
          <t>NVDA</t>
        </is>
      </c>
      <c r="B7" s="26" t="inlineStr">
        <is>
          <t>Nvidia</t>
        </is>
      </c>
      <c r="C7" s="26" t="inlineStr">
        <is>
          <t>טכנולוגיה</t>
        </is>
      </c>
      <c r="D7" s="27">
        <f>IF(A7="","",SUMIFS('עסקאות'!$D$5:$D$1004,'עסקאות'!$C$5:$C$1004,A7,'עסקאות'!$B$5:$B$1004,"קנייה")-SUMIFS('עסקאות'!$D$5:$D$1004,'עסקאות'!$C$5:$C$1004,A7,'עסקאות'!$B$5:$B$1004,"מכירה"))</f>
        <v/>
      </c>
      <c r="E7" s="28">
        <f>IF(A7="","",IFERROR(SUMIFS('עסקאות'!$I$5:$I$1004,'עסקאות'!$C$5:$C$1004,A7)/SUMIFS('עסקאות'!$D$5:$D$1004,'עסקאות'!$C$5:$C$1004,A7,'עסקאות'!$B$5:$B$1004,"קנייה"),0))</f>
        <v/>
      </c>
      <c r="F7" s="29" t="n">
        <v>178</v>
      </c>
      <c r="G7" s="28">
        <f>IF(A7="","",IFERROR(GOOGLEFINANCE(A7),F7))</f>
        <v/>
      </c>
      <c r="H7" s="30">
        <f>IF(A7="",0,D7*G7)</f>
        <v/>
      </c>
      <c r="I7" s="30">
        <f>IF(A7="",0,D7*E7)</f>
        <v/>
      </c>
      <c r="J7" s="30">
        <f>IF(A7="",0,H7-I7)</f>
        <v/>
      </c>
      <c r="K7" s="31">
        <f>IF(I7=0,"",J7/I7)</f>
        <v/>
      </c>
      <c r="L7" s="31">
        <f>IF(Equity=0,"",H7/Equity)</f>
        <v/>
      </c>
      <c r="M7" s="32" t="n">
        <v>0.12</v>
      </c>
      <c r="N7" s="30">
        <f>IF(OR(A7="",M7=""),"",M7*Equity-H7)</f>
        <v/>
      </c>
      <c r="O7" s="29" t="n">
        <v>105</v>
      </c>
      <c r="P7" s="29" t="n">
        <v>150</v>
      </c>
      <c r="Q7" s="31">
        <f>IF(OR(A7="",P7="",G7=0),"",(G7-P7)/G7)</f>
        <v/>
      </c>
      <c r="R7" s="33">
        <f>IF(OR(A7="",O7="",E7&lt;=O7),"",(G7-E7)/(E7-O7))</f>
        <v/>
      </c>
      <c r="S7" s="30">
        <f>IF(OR(A7="",P7=""),0,MAX(0,E7-P7)*D7)</f>
        <v/>
      </c>
      <c r="T7" s="31">
        <f>IF(Equity=0,"",S7/Equity)</f>
        <v/>
      </c>
      <c r="U7" s="30">
        <f>IF(A7="",0,SUMIFS('עסקאות'!$J$5:$J$1004,'עסקאות'!$C$5:$C$1004,A7))</f>
        <v/>
      </c>
      <c r="V7" s="30">
        <f>IF(A7="",0,SUMIFS('עסקאות'!$F$5:$F$1004,'עסקאות'!$C$5:$C$1004,A7,'עסקאות'!$B$5:$B$1004,"דיבידנד"))</f>
        <v/>
      </c>
      <c r="W7" s="34">
        <f>IF(OR(A7="",D7&lt;=0),"",IF(P7="","🟠 אין סטופ",IF(G7&lt;=P7,"🔴 סטופ נפגע",IF(Q7&lt;NearStop,"🟠 קרוב לסטופ",IF(AND(R7&lt;&gt;"",R7&gt;=PartialR),"🟢 מימוש חלקי",IF(AND(R7&lt;&gt;"",R7&gt;=1,P7&lt;E7),"🟡 הזז לאיזון",IF(T7&gt;RiskPct,"⚠️ סיכון חורג","✅ תקין")))))))</f>
        <v/>
      </c>
      <c r="X7" s="24">
        <f>IF(AND(W7&lt;&gt;"",W7&lt;&gt;"✅ תקין"),MAX($X$4:X6)+1,"")</f>
        <v/>
      </c>
    </row>
    <row r="8">
      <c r="A8" s="25" t="inlineStr">
        <is>
          <t>KO</t>
        </is>
      </c>
      <c r="B8" s="26" t="inlineStr">
        <is>
          <t>Coca-Cola</t>
        </is>
      </c>
      <c r="C8" s="26" t="inlineStr">
        <is>
          <t>צריכה בסיסית</t>
        </is>
      </c>
      <c r="D8" s="27">
        <f>IF(A8="","",SUMIFS('עסקאות'!$D$5:$D$1004,'עסקאות'!$C$5:$C$1004,A8,'עסקאות'!$B$5:$B$1004,"קנייה")-SUMIFS('עסקאות'!$D$5:$D$1004,'עסקאות'!$C$5:$C$1004,A8,'עסקאות'!$B$5:$B$1004,"מכירה"))</f>
        <v/>
      </c>
      <c r="E8" s="28">
        <f>IF(A8="","",IFERROR(SUMIFS('עסקאות'!$I$5:$I$1004,'עסקאות'!$C$5:$C$1004,A8)/SUMIFS('עסקאות'!$D$5:$D$1004,'עסקאות'!$C$5:$C$1004,A8,'עסקאות'!$B$5:$B$1004,"קנייה"),0))</f>
        <v/>
      </c>
      <c r="F8" s="29" t="n">
        <v>68.5</v>
      </c>
      <c r="G8" s="28">
        <f>IF(A8="","",IFERROR(GOOGLEFINANCE(A8),F8))</f>
        <v/>
      </c>
      <c r="H8" s="30">
        <f>IF(A8="",0,D8*G8)</f>
        <v/>
      </c>
      <c r="I8" s="30">
        <f>IF(A8="",0,D8*E8)</f>
        <v/>
      </c>
      <c r="J8" s="30">
        <f>IF(A8="",0,H8-I8)</f>
        <v/>
      </c>
      <c r="K8" s="31">
        <f>IF(I8=0,"",J8/I8)</f>
        <v/>
      </c>
      <c r="L8" s="31">
        <f>IF(Equity=0,"",H8/Equity)</f>
        <v/>
      </c>
      <c r="M8" s="32" t="n">
        <v>0.1</v>
      </c>
      <c r="N8" s="30">
        <f>IF(OR(A8="",M8=""),"",M8*Equity-H8)</f>
        <v/>
      </c>
      <c r="O8" s="29" t="n">
        <v>58</v>
      </c>
      <c r="P8" s="29" t="n">
        <v>59</v>
      </c>
      <c r="Q8" s="31">
        <f>IF(OR(A8="",P8="",G8=0),"",(G8-P8)/G8)</f>
        <v/>
      </c>
      <c r="R8" s="33">
        <f>IF(OR(A8="",O8="",E8&lt;=O8),"",(G8-E8)/(E8-O8))</f>
        <v/>
      </c>
      <c r="S8" s="30">
        <f>IF(OR(A8="",P8=""),0,MAX(0,E8-P8)*D8)</f>
        <v/>
      </c>
      <c r="T8" s="31">
        <f>IF(Equity=0,"",S8/Equity)</f>
        <v/>
      </c>
      <c r="U8" s="30">
        <f>IF(A8="",0,SUMIFS('עסקאות'!$J$5:$J$1004,'עסקאות'!$C$5:$C$1004,A8))</f>
        <v/>
      </c>
      <c r="V8" s="30">
        <f>IF(A8="",0,SUMIFS('עסקאות'!$F$5:$F$1004,'עסקאות'!$C$5:$C$1004,A8,'עסקאות'!$B$5:$B$1004,"דיבידנד"))</f>
        <v/>
      </c>
      <c r="W8" s="34">
        <f>IF(OR(A8="",D8&lt;=0),"",IF(P8="","🟠 אין סטופ",IF(G8&lt;=P8,"🔴 סטופ נפגע",IF(Q8&lt;NearStop,"🟠 קרוב לסטופ",IF(AND(R8&lt;&gt;"",R8&gt;=PartialR),"🟢 מימוש חלקי",IF(AND(R8&lt;&gt;"",R8&gt;=1,P8&lt;E8),"🟡 הזז לאיזון",IF(T8&gt;RiskPct,"⚠️ סיכון חורג","✅ תקין")))))))</f>
        <v/>
      </c>
      <c r="X8" s="24">
        <f>IF(AND(W8&lt;&gt;"",W8&lt;&gt;"✅ תקין"),MAX($X$4:X7)+1,"")</f>
        <v/>
      </c>
    </row>
    <row r="9">
      <c r="A9" s="25" t="inlineStr">
        <is>
          <t>SPY</t>
        </is>
      </c>
      <c r="B9" s="26" t="inlineStr">
        <is>
          <t>S&amp;P 500 ETF</t>
        </is>
      </c>
      <c r="C9" s="26" t="inlineStr">
        <is>
          <t>ETF / מדד</t>
        </is>
      </c>
      <c r="D9" s="27">
        <f>IF(A9="","",SUMIFS('עסקאות'!$D$5:$D$1004,'עסקאות'!$C$5:$C$1004,A9,'עסקאות'!$B$5:$B$1004,"קנייה")-SUMIFS('עסקאות'!$D$5:$D$1004,'עסקאות'!$C$5:$C$1004,A9,'עסקאות'!$B$5:$B$1004,"מכירה"))</f>
        <v/>
      </c>
      <c r="E9" s="28">
        <f>IF(A9="","",IFERROR(SUMIFS('עסקאות'!$I$5:$I$1004,'עסקאות'!$C$5:$C$1004,A9)/SUMIFS('עסקאות'!$D$5:$D$1004,'עסקאות'!$C$5:$C$1004,A9,'עסקאות'!$B$5:$B$1004,"קנייה"),0))</f>
        <v/>
      </c>
      <c r="F9" s="29" t="n">
        <v>655</v>
      </c>
      <c r="G9" s="28">
        <f>IF(A9="","",IFERROR(GOOGLEFINANCE(A9),F9))</f>
        <v/>
      </c>
      <c r="H9" s="30">
        <f>IF(A9="",0,D9*G9)</f>
        <v/>
      </c>
      <c r="I9" s="30">
        <f>IF(A9="",0,D9*E9)</f>
        <v/>
      </c>
      <c r="J9" s="30">
        <f>IF(A9="",0,H9-I9)</f>
        <v/>
      </c>
      <c r="K9" s="31">
        <f>IF(I9=0,"",J9/I9)</f>
        <v/>
      </c>
      <c r="L9" s="31">
        <f>IF(Equity=0,"",H9/Equity)</f>
        <v/>
      </c>
      <c r="M9" s="32" t="n">
        <v>0.3</v>
      </c>
      <c r="N9" s="30">
        <f>IF(OR(A9="",M9=""),"",M9*Equity-H9)</f>
        <v/>
      </c>
      <c r="O9" s="29" t="n">
        <v>545</v>
      </c>
      <c r="P9" s="29" t="n"/>
      <c r="Q9" s="31">
        <f>IF(OR(A9="",P9="",G9=0),"",(G9-P9)/G9)</f>
        <v/>
      </c>
      <c r="R9" s="33">
        <f>IF(OR(A9="",O9="",E9&lt;=O9),"",(G9-E9)/(E9-O9))</f>
        <v/>
      </c>
      <c r="S9" s="30">
        <f>IF(OR(A9="",P9=""),0,MAX(0,E9-P9)*D9)</f>
        <v/>
      </c>
      <c r="T9" s="31">
        <f>IF(Equity=0,"",S9/Equity)</f>
        <v/>
      </c>
      <c r="U9" s="30">
        <f>IF(A9="",0,SUMIFS('עסקאות'!$J$5:$J$1004,'עסקאות'!$C$5:$C$1004,A9))</f>
        <v/>
      </c>
      <c r="V9" s="30">
        <f>IF(A9="",0,SUMIFS('עסקאות'!$F$5:$F$1004,'עסקאות'!$C$5:$C$1004,A9,'עסקאות'!$B$5:$B$1004,"דיבידנד"))</f>
        <v/>
      </c>
      <c r="W9" s="34">
        <f>IF(OR(A9="",D9&lt;=0),"",IF(P9="","🟠 אין סטופ",IF(G9&lt;=P9,"🔴 סטופ נפגע",IF(Q9&lt;NearStop,"🟠 קרוב לסטופ",IF(AND(R9&lt;&gt;"",R9&gt;=PartialR),"🟢 מימוש חלקי",IF(AND(R9&lt;&gt;"",R9&gt;=1,P9&lt;E9),"🟡 הזז לאיזון",IF(T9&gt;RiskPct,"⚠️ סיכון חורג","✅ תקין")))))))</f>
        <v/>
      </c>
      <c r="X9" s="24">
        <f>IF(AND(W9&lt;&gt;"",W9&lt;&gt;"✅ תקין"),MAX($X$4:X8)+1,"")</f>
        <v/>
      </c>
    </row>
    <row r="10">
      <c r="A10" s="25" t="n"/>
      <c r="B10" s="26" t="n"/>
      <c r="C10" s="26" t="n"/>
      <c r="D10" s="27">
        <f>IF(A10="","",SUMIFS('עסקאות'!$D$5:$D$1004,'עסקאות'!$C$5:$C$1004,A10,'עסקאות'!$B$5:$B$1004,"קנייה")-SUMIFS('עסקאות'!$D$5:$D$1004,'עסקאות'!$C$5:$C$1004,A10,'עסקאות'!$B$5:$B$1004,"מכירה"))</f>
        <v/>
      </c>
      <c r="E10" s="28">
        <f>IF(A10="","",IFERROR(SUMIFS('עסקאות'!$I$5:$I$1004,'עסקאות'!$C$5:$C$1004,A10)/SUMIFS('עסקאות'!$D$5:$D$1004,'עסקאות'!$C$5:$C$1004,A10,'עסקאות'!$B$5:$B$1004,"קנייה"),0))</f>
        <v/>
      </c>
      <c r="F10" s="29" t="n"/>
      <c r="G10" s="28">
        <f>IF(A10="","",IFERROR(GOOGLEFINANCE(A10),F10))</f>
        <v/>
      </c>
      <c r="H10" s="30">
        <f>IF(A10="",0,D10*G10)</f>
        <v/>
      </c>
      <c r="I10" s="30">
        <f>IF(A10="",0,D10*E10)</f>
        <v/>
      </c>
      <c r="J10" s="30">
        <f>IF(A10="",0,H10-I10)</f>
        <v/>
      </c>
      <c r="K10" s="31">
        <f>IF(I10=0,"",J10/I10)</f>
        <v/>
      </c>
      <c r="L10" s="31">
        <f>IF(Equity=0,"",H10/Equity)</f>
        <v/>
      </c>
      <c r="M10" s="32" t="n"/>
      <c r="N10" s="30">
        <f>IF(OR(A10="",M10=""),"",M10*Equity-H10)</f>
        <v/>
      </c>
      <c r="O10" s="29" t="n"/>
      <c r="P10" s="29" t="n"/>
      <c r="Q10" s="31">
        <f>IF(OR(A10="",P10="",G10=0),"",(G10-P10)/G10)</f>
        <v/>
      </c>
      <c r="R10" s="33">
        <f>IF(OR(A10="",O10="",E10&lt;=O10),"",(G10-E10)/(E10-O10))</f>
        <v/>
      </c>
      <c r="S10" s="30">
        <f>IF(OR(A10="",P10=""),0,MAX(0,E10-P10)*D10)</f>
        <v/>
      </c>
      <c r="T10" s="31">
        <f>IF(Equity=0,"",S10/Equity)</f>
        <v/>
      </c>
      <c r="U10" s="30">
        <f>IF(A10="",0,SUMIFS('עסקאות'!$J$5:$J$1004,'עסקאות'!$C$5:$C$1004,A10))</f>
        <v/>
      </c>
      <c r="V10" s="30">
        <f>IF(A10="",0,SUMIFS('עסקאות'!$F$5:$F$1004,'עסקאות'!$C$5:$C$1004,A10,'עסקאות'!$B$5:$B$1004,"דיבידנד"))</f>
        <v/>
      </c>
      <c r="W10" s="34">
        <f>IF(OR(A10="",D10&lt;=0),"",IF(P10="","🟠 אין סטופ",IF(G10&lt;=P10,"🔴 סטופ נפגע",IF(Q10&lt;NearStop,"🟠 קרוב לסטופ",IF(AND(R10&lt;&gt;"",R10&gt;=PartialR),"🟢 מימוש חלקי",IF(AND(R10&lt;&gt;"",R10&gt;=1,P10&lt;E10),"🟡 הזז לאיזון",IF(T10&gt;RiskPct,"⚠️ סיכון חורג","✅ תקין")))))))</f>
        <v/>
      </c>
      <c r="X10" s="24">
        <f>IF(AND(W10&lt;&gt;"",W10&lt;&gt;"✅ תקין"),MAX($X$4:X9)+1,"")</f>
        <v/>
      </c>
    </row>
    <row r="11">
      <c r="A11" s="25" t="n"/>
      <c r="B11" s="26" t="n"/>
      <c r="C11" s="26" t="n"/>
      <c r="D11" s="27">
        <f>IF(A11="","",SUMIFS('עסקאות'!$D$5:$D$1004,'עסקאות'!$C$5:$C$1004,A11,'עסקאות'!$B$5:$B$1004,"קנייה")-SUMIFS('עסקאות'!$D$5:$D$1004,'עסקאות'!$C$5:$C$1004,A11,'עסקאות'!$B$5:$B$1004,"מכירה"))</f>
        <v/>
      </c>
      <c r="E11" s="28">
        <f>IF(A11="","",IFERROR(SUMIFS('עסקאות'!$I$5:$I$1004,'עסקאות'!$C$5:$C$1004,A11)/SUMIFS('עסקאות'!$D$5:$D$1004,'עסקאות'!$C$5:$C$1004,A11,'עסקאות'!$B$5:$B$1004,"קנייה"),0))</f>
        <v/>
      </c>
      <c r="F11" s="29" t="n"/>
      <c r="G11" s="28">
        <f>IF(A11="","",IFERROR(GOOGLEFINANCE(A11),F11))</f>
        <v/>
      </c>
      <c r="H11" s="30">
        <f>IF(A11="",0,D11*G11)</f>
        <v/>
      </c>
      <c r="I11" s="30">
        <f>IF(A11="",0,D11*E11)</f>
        <v/>
      </c>
      <c r="J11" s="30">
        <f>IF(A11="",0,H11-I11)</f>
        <v/>
      </c>
      <c r="K11" s="31">
        <f>IF(I11=0,"",J11/I11)</f>
        <v/>
      </c>
      <c r="L11" s="31">
        <f>IF(Equity=0,"",H11/Equity)</f>
        <v/>
      </c>
      <c r="M11" s="32" t="n"/>
      <c r="N11" s="30">
        <f>IF(OR(A11="",M11=""),"",M11*Equity-H11)</f>
        <v/>
      </c>
      <c r="O11" s="29" t="n"/>
      <c r="P11" s="29" t="n"/>
      <c r="Q11" s="31">
        <f>IF(OR(A11="",P11="",G11=0),"",(G11-P11)/G11)</f>
        <v/>
      </c>
      <c r="R11" s="33">
        <f>IF(OR(A11="",O11="",E11&lt;=O11),"",(G11-E11)/(E11-O11))</f>
        <v/>
      </c>
      <c r="S11" s="30">
        <f>IF(OR(A11="",P11=""),0,MAX(0,E11-P11)*D11)</f>
        <v/>
      </c>
      <c r="T11" s="31">
        <f>IF(Equity=0,"",S11/Equity)</f>
        <v/>
      </c>
      <c r="U11" s="30">
        <f>IF(A11="",0,SUMIFS('עסקאות'!$J$5:$J$1004,'עסקאות'!$C$5:$C$1004,A11))</f>
        <v/>
      </c>
      <c r="V11" s="30">
        <f>IF(A11="",0,SUMIFS('עסקאות'!$F$5:$F$1004,'עסקאות'!$C$5:$C$1004,A11,'עסקאות'!$B$5:$B$1004,"דיבידנד"))</f>
        <v/>
      </c>
      <c r="W11" s="34">
        <f>IF(OR(A11="",D11&lt;=0),"",IF(P11="","🟠 אין סטופ",IF(G11&lt;=P11,"🔴 סטופ נפגע",IF(Q11&lt;NearStop,"🟠 קרוב לסטופ",IF(AND(R11&lt;&gt;"",R11&gt;=PartialR),"🟢 מימוש חלקי",IF(AND(R11&lt;&gt;"",R11&gt;=1,P11&lt;E11),"🟡 הזז לאיזון",IF(T11&gt;RiskPct,"⚠️ סיכון חורג","✅ תקין")))))))</f>
        <v/>
      </c>
      <c r="X11" s="24">
        <f>IF(AND(W11&lt;&gt;"",W11&lt;&gt;"✅ תקין"),MAX($X$4:X10)+1,"")</f>
        <v/>
      </c>
    </row>
    <row r="12">
      <c r="A12" s="25" t="n"/>
      <c r="B12" s="26" t="n"/>
      <c r="C12" s="26" t="n"/>
      <c r="D12" s="27">
        <f>IF(A12="","",SUMIFS('עסקאות'!$D$5:$D$1004,'עסקאות'!$C$5:$C$1004,A12,'עסקאות'!$B$5:$B$1004,"קנייה")-SUMIFS('עסקאות'!$D$5:$D$1004,'עסקאות'!$C$5:$C$1004,A12,'עסקאות'!$B$5:$B$1004,"מכירה"))</f>
        <v/>
      </c>
      <c r="E12" s="28">
        <f>IF(A12="","",IFERROR(SUMIFS('עסקאות'!$I$5:$I$1004,'עסקאות'!$C$5:$C$1004,A12)/SUMIFS('עסקאות'!$D$5:$D$1004,'עסקאות'!$C$5:$C$1004,A12,'עסקאות'!$B$5:$B$1004,"קנייה"),0))</f>
        <v/>
      </c>
      <c r="F12" s="29" t="n"/>
      <c r="G12" s="28">
        <f>IF(A12="","",IFERROR(GOOGLEFINANCE(A12),F12))</f>
        <v/>
      </c>
      <c r="H12" s="30">
        <f>IF(A12="",0,D12*G12)</f>
        <v/>
      </c>
      <c r="I12" s="30">
        <f>IF(A12="",0,D12*E12)</f>
        <v/>
      </c>
      <c r="J12" s="30">
        <f>IF(A12="",0,H12-I12)</f>
        <v/>
      </c>
      <c r="K12" s="31">
        <f>IF(I12=0,"",J12/I12)</f>
        <v/>
      </c>
      <c r="L12" s="31">
        <f>IF(Equity=0,"",H12/Equity)</f>
        <v/>
      </c>
      <c r="M12" s="32" t="n"/>
      <c r="N12" s="30">
        <f>IF(OR(A12="",M12=""),"",M12*Equity-H12)</f>
        <v/>
      </c>
      <c r="O12" s="29" t="n"/>
      <c r="P12" s="29" t="n"/>
      <c r="Q12" s="31">
        <f>IF(OR(A12="",P12="",G12=0),"",(G12-P12)/G12)</f>
        <v/>
      </c>
      <c r="R12" s="33">
        <f>IF(OR(A12="",O12="",E12&lt;=O12),"",(G12-E12)/(E12-O12))</f>
        <v/>
      </c>
      <c r="S12" s="30">
        <f>IF(OR(A12="",P12=""),0,MAX(0,E12-P12)*D12)</f>
        <v/>
      </c>
      <c r="T12" s="31">
        <f>IF(Equity=0,"",S12/Equity)</f>
        <v/>
      </c>
      <c r="U12" s="30">
        <f>IF(A12="",0,SUMIFS('עסקאות'!$J$5:$J$1004,'עסקאות'!$C$5:$C$1004,A12))</f>
        <v/>
      </c>
      <c r="V12" s="30">
        <f>IF(A12="",0,SUMIFS('עסקאות'!$F$5:$F$1004,'עסקאות'!$C$5:$C$1004,A12,'עסקאות'!$B$5:$B$1004,"דיבידנד"))</f>
        <v/>
      </c>
      <c r="W12" s="34">
        <f>IF(OR(A12="",D12&lt;=0),"",IF(P12="","🟠 אין סטופ",IF(G12&lt;=P12,"🔴 סטופ נפגע",IF(Q12&lt;NearStop,"🟠 קרוב לסטופ",IF(AND(R12&lt;&gt;"",R12&gt;=PartialR),"🟢 מימוש חלקי",IF(AND(R12&lt;&gt;"",R12&gt;=1,P12&lt;E12),"🟡 הזז לאיזון",IF(T12&gt;RiskPct,"⚠️ סיכון חורג","✅ תקין")))))))</f>
        <v/>
      </c>
      <c r="X12" s="24">
        <f>IF(AND(W12&lt;&gt;"",W12&lt;&gt;"✅ תקין"),MAX($X$4:X11)+1,"")</f>
        <v/>
      </c>
    </row>
    <row r="13">
      <c r="A13" s="25" t="n"/>
      <c r="B13" s="26" t="n"/>
      <c r="C13" s="26" t="n"/>
      <c r="D13" s="27">
        <f>IF(A13="","",SUMIFS('עסקאות'!$D$5:$D$1004,'עסקאות'!$C$5:$C$1004,A13,'עסקאות'!$B$5:$B$1004,"קנייה")-SUMIFS('עסקאות'!$D$5:$D$1004,'עסקאות'!$C$5:$C$1004,A13,'עסקאות'!$B$5:$B$1004,"מכירה"))</f>
        <v/>
      </c>
      <c r="E13" s="28">
        <f>IF(A13="","",IFERROR(SUMIFS('עסקאות'!$I$5:$I$1004,'עסקאות'!$C$5:$C$1004,A13)/SUMIFS('עסקאות'!$D$5:$D$1004,'עסקאות'!$C$5:$C$1004,A13,'עסקאות'!$B$5:$B$1004,"קנייה"),0))</f>
        <v/>
      </c>
      <c r="F13" s="29" t="n"/>
      <c r="G13" s="28">
        <f>IF(A13="","",IFERROR(GOOGLEFINANCE(A13),F13))</f>
        <v/>
      </c>
      <c r="H13" s="30">
        <f>IF(A13="",0,D13*G13)</f>
        <v/>
      </c>
      <c r="I13" s="30">
        <f>IF(A13="",0,D13*E13)</f>
        <v/>
      </c>
      <c r="J13" s="30">
        <f>IF(A13="",0,H13-I13)</f>
        <v/>
      </c>
      <c r="K13" s="31">
        <f>IF(I13=0,"",J13/I13)</f>
        <v/>
      </c>
      <c r="L13" s="31">
        <f>IF(Equity=0,"",H13/Equity)</f>
        <v/>
      </c>
      <c r="M13" s="32" t="n"/>
      <c r="N13" s="30">
        <f>IF(OR(A13="",M13=""),"",M13*Equity-H13)</f>
        <v/>
      </c>
      <c r="O13" s="29" t="n"/>
      <c r="P13" s="29" t="n"/>
      <c r="Q13" s="31">
        <f>IF(OR(A13="",P13="",G13=0),"",(G13-P13)/G13)</f>
        <v/>
      </c>
      <c r="R13" s="33">
        <f>IF(OR(A13="",O13="",E13&lt;=O13),"",(G13-E13)/(E13-O13))</f>
        <v/>
      </c>
      <c r="S13" s="30">
        <f>IF(OR(A13="",P13=""),0,MAX(0,E13-P13)*D13)</f>
        <v/>
      </c>
      <c r="T13" s="31">
        <f>IF(Equity=0,"",S13/Equity)</f>
        <v/>
      </c>
      <c r="U13" s="30">
        <f>IF(A13="",0,SUMIFS('עסקאות'!$J$5:$J$1004,'עסקאות'!$C$5:$C$1004,A13))</f>
        <v/>
      </c>
      <c r="V13" s="30">
        <f>IF(A13="",0,SUMIFS('עסקאות'!$F$5:$F$1004,'עסקאות'!$C$5:$C$1004,A13,'עסקאות'!$B$5:$B$1004,"דיבידנד"))</f>
        <v/>
      </c>
      <c r="W13" s="34">
        <f>IF(OR(A13="",D13&lt;=0),"",IF(P13="","🟠 אין סטופ",IF(G13&lt;=P13,"🔴 סטופ נפגע",IF(Q13&lt;NearStop,"🟠 קרוב לסטופ",IF(AND(R13&lt;&gt;"",R13&gt;=PartialR),"🟢 מימוש חלקי",IF(AND(R13&lt;&gt;"",R13&gt;=1,P13&lt;E13),"🟡 הזז לאיזון",IF(T13&gt;RiskPct,"⚠️ סיכון חורג","✅ תקין")))))))</f>
        <v/>
      </c>
      <c r="X13" s="24">
        <f>IF(AND(W13&lt;&gt;"",W13&lt;&gt;"✅ תקין"),MAX($X$4:X12)+1,"")</f>
        <v/>
      </c>
    </row>
    <row r="14">
      <c r="A14" s="25" t="n"/>
      <c r="B14" s="26" t="n"/>
      <c r="C14" s="26" t="n"/>
      <c r="D14" s="27">
        <f>IF(A14="","",SUMIFS('עסקאות'!$D$5:$D$1004,'עסקאות'!$C$5:$C$1004,A14,'עסקאות'!$B$5:$B$1004,"קנייה")-SUMIFS('עסקאות'!$D$5:$D$1004,'עסקאות'!$C$5:$C$1004,A14,'עסקאות'!$B$5:$B$1004,"מכירה"))</f>
        <v/>
      </c>
      <c r="E14" s="28">
        <f>IF(A14="","",IFERROR(SUMIFS('עסקאות'!$I$5:$I$1004,'עסקאות'!$C$5:$C$1004,A14)/SUMIFS('עסקאות'!$D$5:$D$1004,'עסקאות'!$C$5:$C$1004,A14,'עסקאות'!$B$5:$B$1004,"קנייה"),0))</f>
        <v/>
      </c>
      <c r="F14" s="29" t="n"/>
      <c r="G14" s="28">
        <f>IF(A14="","",IFERROR(GOOGLEFINANCE(A14),F14))</f>
        <v/>
      </c>
      <c r="H14" s="30">
        <f>IF(A14="",0,D14*G14)</f>
        <v/>
      </c>
      <c r="I14" s="30">
        <f>IF(A14="",0,D14*E14)</f>
        <v/>
      </c>
      <c r="J14" s="30">
        <f>IF(A14="",0,H14-I14)</f>
        <v/>
      </c>
      <c r="K14" s="31">
        <f>IF(I14=0,"",J14/I14)</f>
        <v/>
      </c>
      <c r="L14" s="31">
        <f>IF(Equity=0,"",H14/Equity)</f>
        <v/>
      </c>
      <c r="M14" s="32" t="n"/>
      <c r="N14" s="30">
        <f>IF(OR(A14="",M14=""),"",M14*Equity-H14)</f>
        <v/>
      </c>
      <c r="O14" s="29" t="n"/>
      <c r="P14" s="29" t="n"/>
      <c r="Q14" s="31">
        <f>IF(OR(A14="",P14="",G14=0),"",(G14-P14)/G14)</f>
        <v/>
      </c>
      <c r="R14" s="33">
        <f>IF(OR(A14="",O14="",E14&lt;=O14),"",(G14-E14)/(E14-O14))</f>
        <v/>
      </c>
      <c r="S14" s="30">
        <f>IF(OR(A14="",P14=""),0,MAX(0,E14-P14)*D14)</f>
        <v/>
      </c>
      <c r="T14" s="31">
        <f>IF(Equity=0,"",S14/Equity)</f>
        <v/>
      </c>
      <c r="U14" s="30">
        <f>IF(A14="",0,SUMIFS('עסקאות'!$J$5:$J$1004,'עסקאות'!$C$5:$C$1004,A14))</f>
        <v/>
      </c>
      <c r="V14" s="30">
        <f>IF(A14="",0,SUMIFS('עסקאות'!$F$5:$F$1004,'עסקאות'!$C$5:$C$1004,A14,'עסקאות'!$B$5:$B$1004,"דיבידנד"))</f>
        <v/>
      </c>
      <c r="W14" s="34">
        <f>IF(OR(A14="",D14&lt;=0),"",IF(P14="","🟠 אין סטופ",IF(G14&lt;=P14,"🔴 סטופ נפגע",IF(Q14&lt;NearStop,"🟠 קרוב לסטופ",IF(AND(R14&lt;&gt;"",R14&gt;=PartialR),"🟢 מימוש חלקי",IF(AND(R14&lt;&gt;"",R14&gt;=1,P14&lt;E14),"🟡 הזז לאיזון",IF(T14&gt;RiskPct,"⚠️ סיכון חורג","✅ תקין")))))))</f>
        <v/>
      </c>
      <c r="X14" s="24">
        <f>IF(AND(W14&lt;&gt;"",W14&lt;&gt;"✅ תקין"),MAX($X$4:X13)+1,"")</f>
        <v/>
      </c>
    </row>
    <row r="15">
      <c r="A15" s="25" t="n"/>
      <c r="B15" s="26" t="n"/>
      <c r="C15" s="26" t="n"/>
      <c r="D15" s="27">
        <f>IF(A15="","",SUMIFS('עסקאות'!$D$5:$D$1004,'עסקאות'!$C$5:$C$1004,A15,'עסקאות'!$B$5:$B$1004,"קנייה")-SUMIFS('עסקאות'!$D$5:$D$1004,'עסקאות'!$C$5:$C$1004,A15,'עסקאות'!$B$5:$B$1004,"מכירה"))</f>
        <v/>
      </c>
      <c r="E15" s="28">
        <f>IF(A15="","",IFERROR(SUMIFS('עסקאות'!$I$5:$I$1004,'עסקאות'!$C$5:$C$1004,A15)/SUMIFS('עסקאות'!$D$5:$D$1004,'עסקאות'!$C$5:$C$1004,A15,'עסקאות'!$B$5:$B$1004,"קנייה"),0))</f>
        <v/>
      </c>
      <c r="F15" s="29" t="n"/>
      <c r="G15" s="28">
        <f>IF(A15="","",IFERROR(GOOGLEFINANCE(A15),F15))</f>
        <v/>
      </c>
      <c r="H15" s="30">
        <f>IF(A15="",0,D15*G15)</f>
        <v/>
      </c>
      <c r="I15" s="30">
        <f>IF(A15="",0,D15*E15)</f>
        <v/>
      </c>
      <c r="J15" s="30">
        <f>IF(A15="",0,H15-I15)</f>
        <v/>
      </c>
      <c r="K15" s="31">
        <f>IF(I15=0,"",J15/I15)</f>
        <v/>
      </c>
      <c r="L15" s="31">
        <f>IF(Equity=0,"",H15/Equity)</f>
        <v/>
      </c>
      <c r="M15" s="32" t="n"/>
      <c r="N15" s="30">
        <f>IF(OR(A15="",M15=""),"",M15*Equity-H15)</f>
        <v/>
      </c>
      <c r="O15" s="29" t="n"/>
      <c r="P15" s="29" t="n"/>
      <c r="Q15" s="31">
        <f>IF(OR(A15="",P15="",G15=0),"",(G15-P15)/G15)</f>
        <v/>
      </c>
      <c r="R15" s="33">
        <f>IF(OR(A15="",O15="",E15&lt;=O15),"",(G15-E15)/(E15-O15))</f>
        <v/>
      </c>
      <c r="S15" s="30">
        <f>IF(OR(A15="",P15=""),0,MAX(0,E15-P15)*D15)</f>
        <v/>
      </c>
      <c r="T15" s="31">
        <f>IF(Equity=0,"",S15/Equity)</f>
        <v/>
      </c>
      <c r="U15" s="30">
        <f>IF(A15="",0,SUMIFS('עסקאות'!$J$5:$J$1004,'עסקאות'!$C$5:$C$1004,A15))</f>
        <v/>
      </c>
      <c r="V15" s="30">
        <f>IF(A15="",0,SUMIFS('עסקאות'!$F$5:$F$1004,'עסקאות'!$C$5:$C$1004,A15,'עסקאות'!$B$5:$B$1004,"דיבידנד"))</f>
        <v/>
      </c>
      <c r="W15" s="34">
        <f>IF(OR(A15="",D15&lt;=0),"",IF(P15="","🟠 אין סטופ",IF(G15&lt;=P15,"🔴 סטופ נפגע",IF(Q15&lt;NearStop,"🟠 קרוב לסטופ",IF(AND(R15&lt;&gt;"",R15&gt;=PartialR),"🟢 מימוש חלקי",IF(AND(R15&lt;&gt;"",R15&gt;=1,P15&lt;E15),"🟡 הזז לאיזון",IF(T15&gt;RiskPct,"⚠️ סיכון חורג","✅ תקין")))))))</f>
        <v/>
      </c>
      <c r="X15" s="24">
        <f>IF(AND(W15&lt;&gt;"",W15&lt;&gt;"✅ תקין"),MAX($X$4:X14)+1,"")</f>
        <v/>
      </c>
    </row>
    <row r="16">
      <c r="A16" s="25" t="n"/>
      <c r="B16" s="26" t="n"/>
      <c r="C16" s="26" t="n"/>
      <c r="D16" s="27">
        <f>IF(A16="","",SUMIFS('עסקאות'!$D$5:$D$1004,'עסקאות'!$C$5:$C$1004,A16,'עסקאות'!$B$5:$B$1004,"קנייה")-SUMIFS('עסקאות'!$D$5:$D$1004,'עסקאות'!$C$5:$C$1004,A16,'עסקאות'!$B$5:$B$1004,"מכירה"))</f>
        <v/>
      </c>
      <c r="E16" s="28">
        <f>IF(A16="","",IFERROR(SUMIFS('עסקאות'!$I$5:$I$1004,'עסקאות'!$C$5:$C$1004,A16)/SUMIFS('עסקאות'!$D$5:$D$1004,'עסקאות'!$C$5:$C$1004,A16,'עסקאות'!$B$5:$B$1004,"קנייה"),0))</f>
        <v/>
      </c>
      <c r="F16" s="29" t="n"/>
      <c r="G16" s="28">
        <f>IF(A16="","",IFERROR(GOOGLEFINANCE(A16),F16))</f>
        <v/>
      </c>
      <c r="H16" s="30">
        <f>IF(A16="",0,D16*G16)</f>
        <v/>
      </c>
      <c r="I16" s="30">
        <f>IF(A16="",0,D16*E16)</f>
        <v/>
      </c>
      <c r="J16" s="30">
        <f>IF(A16="",0,H16-I16)</f>
        <v/>
      </c>
      <c r="K16" s="31">
        <f>IF(I16=0,"",J16/I16)</f>
        <v/>
      </c>
      <c r="L16" s="31">
        <f>IF(Equity=0,"",H16/Equity)</f>
        <v/>
      </c>
      <c r="M16" s="32" t="n"/>
      <c r="N16" s="30">
        <f>IF(OR(A16="",M16=""),"",M16*Equity-H16)</f>
        <v/>
      </c>
      <c r="O16" s="29" t="n"/>
      <c r="P16" s="29" t="n"/>
      <c r="Q16" s="31">
        <f>IF(OR(A16="",P16="",G16=0),"",(G16-P16)/G16)</f>
        <v/>
      </c>
      <c r="R16" s="33">
        <f>IF(OR(A16="",O16="",E16&lt;=O16),"",(G16-E16)/(E16-O16))</f>
        <v/>
      </c>
      <c r="S16" s="30">
        <f>IF(OR(A16="",P16=""),0,MAX(0,E16-P16)*D16)</f>
        <v/>
      </c>
      <c r="T16" s="31">
        <f>IF(Equity=0,"",S16/Equity)</f>
        <v/>
      </c>
      <c r="U16" s="30">
        <f>IF(A16="",0,SUMIFS('עסקאות'!$J$5:$J$1004,'עסקאות'!$C$5:$C$1004,A16))</f>
        <v/>
      </c>
      <c r="V16" s="30">
        <f>IF(A16="",0,SUMIFS('עסקאות'!$F$5:$F$1004,'עסקאות'!$C$5:$C$1004,A16,'עסקאות'!$B$5:$B$1004,"דיבידנד"))</f>
        <v/>
      </c>
      <c r="W16" s="34">
        <f>IF(OR(A16="",D16&lt;=0),"",IF(P16="","🟠 אין סטופ",IF(G16&lt;=P16,"🔴 סטופ נפגע",IF(Q16&lt;NearStop,"🟠 קרוב לסטופ",IF(AND(R16&lt;&gt;"",R16&gt;=PartialR),"🟢 מימוש חלקי",IF(AND(R16&lt;&gt;"",R16&gt;=1,P16&lt;E16),"🟡 הזז לאיזון",IF(T16&gt;RiskPct,"⚠️ סיכון חורג","✅ תקין")))))))</f>
        <v/>
      </c>
      <c r="X16" s="24">
        <f>IF(AND(W16&lt;&gt;"",W16&lt;&gt;"✅ תקין"),MAX($X$4:X15)+1,"")</f>
        <v/>
      </c>
    </row>
    <row r="17">
      <c r="A17" s="25" t="n"/>
      <c r="B17" s="26" t="n"/>
      <c r="C17" s="26" t="n"/>
      <c r="D17" s="27">
        <f>IF(A17="","",SUMIFS('עסקאות'!$D$5:$D$1004,'עסקאות'!$C$5:$C$1004,A17,'עסקאות'!$B$5:$B$1004,"קנייה")-SUMIFS('עסקאות'!$D$5:$D$1004,'עסקאות'!$C$5:$C$1004,A17,'עסקאות'!$B$5:$B$1004,"מכירה"))</f>
        <v/>
      </c>
      <c r="E17" s="28">
        <f>IF(A17="","",IFERROR(SUMIFS('עסקאות'!$I$5:$I$1004,'עסקאות'!$C$5:$C$1004,A17)/SUMIFS('עסקאות'!$D$5:$D$1004,'עסקאות'!$C$5:$C$1004,A17,'עסקאות'!$B$5:$B$1004,"קנייה"),0))</f>
        <v/>
      </c>
      <c r="F17" s="29" t="n"/>
      <c r="G17" s="28">
        <f>IF(A17="","",IFERROR(GOOGLEFINANCE(A17),F17))</f>
        <v/>
      </c>
      <c r="H17" s="30">
        <f>IF(A17="",0,D17*G17)</f>
        <v/>
      </c>
      <c r="I17" s="30">
        <f>IF(A17="",0,D17*E17)</f>
        <v/>
      </c>
      <c r="J17" s="30">
        <f>IF(A17="",0,H17-I17)</f>
        <v/>
      </c>
      <c r="K17" s="31">
        <f>IF(I17=0,"",J17/I17)</f>
        <v/>
      </c>
      <c r="L17" s="31">
        <f>IF(Equity=0,"",H17/Equity)</f>
        <v/>
      </c>
      <c r="M17" s="32" t="n"/>
      <c r="N17" s="30">
        <f>IF(OR(A17="",M17=""),"",M17*Equity-H17)</f>
        <v/>
      </c>
      <c r="O17" s="29" t="n"/>
      <c r="P17" s="29" t="n"/>
      <c r="Q17" s="31">
        <f>IF(OR(A17="",P17="",G17=0),"",(G17-P17)/G17)</f>
        <v/>
      </c>
      <c r="R17" s="33">
        <f>IF(OR(A17="",O17="",E17&lt;=O17),"",(G17-E17)/(E17-O17))</f>
        <v/>
      </c>
      <c r="S17" s="30">
        <f>IF(OR(A17="",P17=""),0,MAX(0,E17-P17)*D17)</f>
        <v/>
      </c>
      <c r="T17" s="31">
        <f>IF(Equity=0,"",S17/Equity)</f>
        <v/>
      </c>
      <c r="U17" s="30">
        <f>IF(A17="",0,SUMIFS('עסקאות'!$J$5:$J$1004,'עסקאות'!$C$5:$C$1004,A17))</f>
        <v/>
      </c>
      <c r="V17" s="30">
        <f>IF(A17="",0,SUMIFS('עסקאות'!$F$5:$F$1004,'עסקאות'!$C$5:$C$1004,A17,'עסקאות'!$B$5:$B$1004,"דיבידנד"))</f>
        <v/>
      </c>
      <c r="W17" s="34">
        <f>IF(OR(A17="",D17&lt;=0),"",IF(P17="","🟠 אין סטופ",IF(G17&lt;=P17,"🔴 סטופ נפגע",IF(Q17&lt;NearStop,"🟠 קרוב לסטופ",IF(AND(R17&lt;&gt;"",R17&gt;=PartialR),"🟢 מימוש חלקי",IF(AND(R17&lt;&gt;"",R17&gt;=1,P17&lt;E17),"🟡 הזז לאיזון",IF(T17&gt;RiskPct,"⚠️ סיכון חורג","✅ תקין")))))))</f>
        <v/>
      </c>
      <c r="X17" s="24">
        <f>IF(AND(W17&lt;&gt;"",W17&lt;&gt;"✅ תקין"),MAX($X$4:X16)+1,"")</f>
        <v/>
      </c>
    </row>
    <row r="18">
      <c r="A18" s="25" t="n"/>
      <c r="B18" s="26" t="n"/>
      <c r="C18" s="26" t="n"/>
      <c r="D18" s="27">
        <f>IF(A18="","",SUMIFS('עסקאות'!$D$5:$D$1004,'עסקאות'!$C$5:$C$1004,A18,'עסקאות'!$B$5:$B$1004,"קנייה")-SUMIFS('עסקאות'!$D$5:$D$1004,'עסקאות'!$C$5:$C$1004,A18,'עסקאות'!$B$5:$B$1004,"מכירה"))</f>
        <v/>
      </c>
      <c r="E18" s="28">
        <f>IF(A18="","",IFERROR(SUMIFS('עסקאות'!$I$5:$I$1004,'עסקאות'!$C$5:$C$1004,A18)/SUMIFS('עסקאות'!$D$5:$D$1004,'עסקאות'!$C$5:$C$1004,A18,'עסקאות'!$B$5:$B$1004,"קנייה"),0))</f>
        <v/>
      </c>
      <c r="F18" s="29" t="n"/>
      <c r="G18" s="28">
        <f>IF(A18="","",IFERROR(GOOGLEFINANCE(A18),F18))</f>
        <v/>
      </c>
      <c r="H18" s="30">
        <f>IF(A18="",0,D18*G18)</f>
        <v/>
      </c>
      <c r="I18" s="30">
        <f>IF(A18="",0,D18*E18)</f>
        <v/>
      </c>
      <c r="J18" s="30">
        <f>IF(A18="",0,H18-I18)</f>
        <v/>
      </c>
      <c r="K18" s="31">
        <f>IF(I18=0,"",J18/I18)</f>
        <v/>
      </c>
      <c r="L18" s="31">
        <f>IF(Equity=0,"",H18/Equity)</f>
        <v/>
      </c>
      <c r="M18" s="32" t="n"/>
      <c r="N18" s="30">
        <f>IF(OR(A18="",M18=""),"",M18*Equity-H18)</f>
        <v/>
      </c>
      <c r="O18" s="29" t="n"/>
      <c r="P18" s="29" t="n"/>
      <c r="Q18" s="31">
        <f>IF(OR(A18="",P18="",G18=0),"",(G18-P18)/G18)</f>
        <v/>
      </c>
      <c r="R18" s="33">
        <f>IF(OR(A18="",O18="",E18&lt;=O18),"",(G18-E18)/(E18-O18))</f>
        <v/>
      </c>
      <c r="S18" s="30">
        <f>IF(OR(A18="",P18=""),0,MAX(0,E18-P18)*D18)</f>
        <v/>
      </c>
      <c r="T18" s="31">
        <f>IF(Equity=0,"",S18/Equity)</f>
        <v/>
      </c>
      <c r="U18" s="30">
        <f>IF(A18="",0,SUMIFS('עסקאות'!$J$5:$J$1004,'עסקאות'!$C$5:$C$1004,A18))</f>
        <v/>
      </c>
      <c r="V18" s="30">
        <f>IF(A18="",0,SUMIFS('עסקאות'!$F$5:$F$1004,'עסקאות'!$C$5:$C$1004,A18,'עסקאות'!$B$5:$B$1004,"דיבידנד"))</f>
        <v/>
      </c>
      <c r="W18" s="34">
        <f>IF(OR(A18="",D18&lt;=0),"",IF(P18="","🟠 אין סטופ",IF(G18&lt;=P18,"🔴 סטופ נפגע",IF(Q18&lt;NearStop,"🟠 קרוב לסטופ",IF(AND(R18&lt;&gt;"",R18&gt;=PartialR),"🟢 מימוש חלקי",IF(AND(R18&lt;&gt;"",R18&gt;=1,P18&lt;E18),"🟡 הזז לאיזון",IF(T18&gt;RiskPct,"⚠️ סיכון חורג","✅ תקין")))))))</f>
        <v/>
      </c>
      <c r="X18" s="24">
        <f>IF(AND(W18&lt;&gt;"",W18&lt;&gt;"✅ תקין"),MAX($X$4:X17)+1,"")</f>
        <v/>
      </c>
    </row>
    <row r="19">
      <c r="A19" s="25" t="n"/>
      <c r="B19" s="26" t="n"/>
      <c r="C19" s="26" t="n"/>
      <c r="D19" s="27">
        <f>IF(A19="","",SUMIFS('עסקאות'!$D$5:$D$1004,'עסקאות'!$C$5:$C$1004,A19,'עסקאות'!$B$5:$B$1004,"קנייה")-SUMIFS('עסקאות'!$D$5:$D$1004,'עסקאות'!$C$5:$C$1004,A19,'עסקאות'!$B$5:$B$1004,"מכירה"))</f>
        <v/>
      </c>
      <c r="E19" s="28">
        <f>IF(A19="","",IFERROR(SUMIFS('עסקאות'!$I$5:$I$1004,'עסקאות'!$C$5:$C$1004,A19)/SUMIFS('עסקאות'!$D$5:$D$1004,'עסקאות'!$C$5:$C$1004,A19,'עסקאות'!$B$5:$B$1004,"קנייה"),0))</f>
        <v/>
      </c>
      <c r="F19" s="29" t="n"/>
      <c r="G19" s="28">
        <f>IF(A19="","",IFERROR(GOOGLEFINANCE(A19),F19))</f>
        <v/>
      </c>
      <c r="H19" s="30">
        <f>IF(A19="",0,D19*G19)</f>
        <v/>
      </c>
      <c r="I19" s="30">
        <f>IF(A19="",0,D19*E19)</f>
        <v/>
      </c>
      <c r="J19" s="30">
        <f>IF(A19="",0,H19-I19)</f>
        <v/>
      </c>
      <c r="K19" s="31">
        <f>IF(I19=0,"",J19/I19)</f>
        <v/>
      </c>
      <c r="L19" s="31">
        <f>IF(Equity=0,"",H19/Equity)</f>
        <v/>
      </c>
      <c r="M19" s="32" t="n"/>
      <c r="N19" s="30">
        <f>IF(OR(A19="",M19=""),"",M19*Equity-H19)</f>
        <v/>
      </c>
      <c r="O19" s="29" t="n"/>
      <c r="P19" s="29" t="n"/>
      <c r="Q19" s="31">
        <f>IF(OR(A19="",P19="",G19=0),"",(G19-P19)/G19)</f>
        <v/>
      </c>
      <c r="R19" s="33">
        <f>IF(OR(A19="",O19="",E19&lt;=O19),"",(G19-E19)/(E19-O19))</f>
        <v/>
      </c>
      <c r="S19" s="30">
        <f>IF(OR(A19="",P19=""),0,MAX(0,E19-P19)*D19)</f>
        <v/>
      </c>
      <c r="T19" s="31">
        <f>IF(Equity=0,"",S19/Equity)</f>
        <v/>
      </c>
      <c r="U19" s="30">
        <f>IF(A19="",0,SUMIFS('עסקאות'!$J$5:$J$1004,'עסקאות'!$C$5:$C$1004,A19))</f>
        <v/>
      </c>
      <c r="V19" s="30">
        <f>IF(A19="",0,SUMIFS('עסקאות'!$F$5:$F$1004,'עסקאות'!$C$5:$C$1004,A19,'עסקאות'!$B$5:$B$1004,"דיבידנד"))</f>
        <v/>
      </c>
      <c r="W19" s="34">
        <f>IF(OR(A19="",D19&lt;=0),"",IF(P19="","🟠 אין סטופ",IF(G19&lt;=P19,"🔴 סטופ נפגע",IF(Q19&lt;NearStop,"🟠 קרוב לסטופ",IF(AND(R19&lt;&gt;"",R19&gt;=PartialR),"🟢 מימוש חלקי",IF(AND(R19&lt;&gt;"",R19&gt;=1,P19&lt;E19),"🟡 הזז לאיזון",IF(T19&gt;RiskPct,"⚠️ סיכון חורג","✅ תקין")))))))</f>
        <v/>
      </c>
      <c r="X19" s="24">
        <f>IF(AND(W19&lt;&gt;"",W19&lt;&gt;"✅ תקין"),MAX($X$4:X18)+1,"")</f>
        <v/>
      </c>
    </row>
    <row r="20">
      <c r="A20" s="25" t="n"/>
      <c r="B20" s="26" t="n"/>
      <c r="C20" s="26" t="n"/>
      <c r="D20" s="27">
        <f>IF(A20="","",SUMIFS('עסקאות'!$D$5:$D$1004,'עסקאות'!$C$5:$C$1004,A20,'עסקאות'!$B$5:$B$1004,"קנייה")-SUMIFS('עסקאות'!$D$5:$D$1004,'עסקאות'!$C$5:$C$1004,A20,'עסקאות'!$B$5:$B$1004,"מכירה"))</f>
        <v/>
      </c>
      <c r="E20" s="28">
        <f>IF(A20="","",IFERROR(SUMIFS('עסקאות'!$I$5:$I$1004,'עסקאות'!$C$5:$C$1004,A20)/SUMIFS('עסקאות'!$D$5:$D$1004,'עסקאות'!$C$5:$C$1004,A20,'עסקאות'!$B$5:$B$1004,"קנייה"),0))</f>
        <v/>
      </c>
      <c r="F20" s="29" t="n"/>
      <c r="G20" s="28">
        <f>IF(A20="","",IFERROR(GOOGLEFINANCE(A20),F20))</f>
        <v/>
      </c>
      <c r="H20" s="30">
        <f>IF(A20="",0,D20*G20)</f>
        <v/>
      </c>
      <c r="I20" s="30">
        <f>IF(A20="",0,D20*E20)</f>
        <v/>
      </c>
      <c r="J20" s="30">
        <f>IF(A20="",0,H20-I20)</f>
        <v/>
      </c>
      <c r="K20" s="31">
        <f>IF(I20=0,"",J20/I20)</f>
        <v/>
      </c>
      <c r="L20" s="31">
        <f>IF(Equity=0,"",H20/Equity)</f>
        <v/>
      </c>
      <c r="M20" s="32" t="n"/>
      <c r="N20" s="30">
        <f>IF(OR(A20="",M20=""),"",M20*Equity-H20)</f>
        <v/>
      </c>
      <c r="O20" s="29" t="n"/>
      <c r="P20" s="29" t="n"/>
      <c r="Q20" s="31">
        <f>IF(OR(A20="",P20="",G20=0),"",(G20-P20)/G20)</f>
        <v/>
      </c>
      <c r="R20" s="33">
        <f>IF(OR(A20="",O20="",E20&lt;=O20),"",(G20-E20)/(E20-O20))</f>
        <v/>
      </c>
      <c r="S20" s="30">
        <f>IF(OR(A20="",P20=""),0,MAX(0,E20-P20)*D20)</f>
        <v/>
      </c>
      <c r="T20" s="31">
        <f>IF(Equity=0,"",S20/Equity)</f>
        <v/>
      </c>
      <c r="U20" s="30">
        <f>IF(A20="",0,SUMIFS('עסקאות'!$J$5:$J$1004,'עסקאות'!$C$5:$C$1004,A20))</f>
        <v/>
      </c>
      <c r="V20" s="30">
        <f>IF(A20="",0,SUMIFS('עסקאות'!$F$5:$F$1004,'עסקאות'!$C$5:$C$1004,A20,'עסקאות'!$B$5:$B$1004,"דיבידנד"))</f>
        <v/>
      </c>
      <c r="W20" s="34">
        <f>IF(OR(A20="",D20&lt;=0),"",IF(P20="","🟠 אין סטופ",IF(G20&lt;=P20,"🔴 סטופ נפגע",IF(Q20&lt;NearStop,"🟠 קרוב לסטופ",IF(AND(R20&lt;&gt;"",R20&gt;=PartialR),"🟢 מימוש חלקי",IF(AND(R20&lt;&gt;"",R20&gt;=1,P20&lt;E20),"🟡 הזז לאיזון",IF(T20&gt;RiskPct,"⚠️ סיכון חורג","✅ תקין")))))))</f>
        <v/>
      </c>
      <c r="X20" s="24">
        <f>IF(AND(W20&lt;&gt;"",W20&lt;&gt;"✅ תקין"),MAX($X$4:X19)+1,"")</f>
        <v/>
      </c>
    </row>
    <row r="21">
      <c r="A21" s="25" t="n"/>
      <c r="B21" s="26" t="n"/>
      <c r="C21" s="26" t="n"/>
      <c r="D21" s="27">
        <f>IF(A21="","",SUMIFS('עסקאות'!$D$5:$D$1004,'עסקאות'!$C$5:$C$1004,A21,'עסקאות'!$B$5:$B$1004,"קנייה")-SUMIFS('עסקאות'!$D$5:$D$1004,'עסקאות'!$C$5:$C$1004,A21,'עסקאות'!$B$5:$B$1004,"מכירה"))</f>
        <v/>
      </c>
      <c r="E21" s="28">
        <f>IF(A21="","",IFERROR(SUMIFS('עסקאות'!$I$5:$I$1004,'עסקאות'!$C$5:$C$1004,A21)/SUMIFS('עסקאות'!$D$5:$D$1004,'עסקאות'!$C$5:$C$1004,A21,'עסקאות'!$B$5:$B$1004,"קנייה"),0))</f>
        <v/>
      </c>
      <c r="F21" s="29" t="n"/>
      <c r="G21" s="28">
        <f>IF(A21="","",IFERROR(GOOGLEFINANCE(A21),F21))</f>
        <v/>
      </c>
      <c r="H21" s="30">
        <f>IF(A21="",0,D21*G21)</f>
        <v/>
      </c>
      <c r="I21" s="30">
        <f>IF(A21="",0,D21*E21)</f>
        <v/>
      </c>
      <c r="J21" s="30">
        <f>IF(A21="",0,H21-I21)</f>
        <v/>
      </c>
      <c r="K21" s="31">
        <f>IF(I21=0,"",J21/I21)</f>
        <v/>
      </c>
      <c r="L21" s="31">
        <f>IF(Equity=0,"",H21/Equity)</f>
        <v/>
      </c>
      <c r="M21" s="32" t="n"/>
      <c r="N21" s="30">
        <f>IF(OR(A21="",M21=""),"",M21*Equity-H21)</f>
        <v/>
      </c>
      <c r="O21" s="29" t="n"/>
      <c r="P21" s="29" t="n"/>
      <c r="Q21" s="31">
        <f>IF(OR(A21="",P21="",G21=0),"",(G21-P21)/G21)</f>
        <v/>
      </c>
      <c r="R21" s="33">
        <f>IF(OR(A21="",O21="",E21&lt;=O21),"",(G21-E21)/(E21-O21))</f>
        <v/>
      </c>
      <c r="S21" s="30">
        <f>IF(OR(A21="",P21=""),0,MAX(0,E21-P21)*D21)</f>
        <v/>
      </c>
      <c r="T21" s="31">
        <f>IF(Equity=0,"",S21/Equity)</f>
        <v/>
      </c>
      <c r="U21" s="30">
        <f>IF(A21="",0,SUMIFS('עסקאות'!$J$5:$J$1004,'עסקאות'!$C$5:$C$1004,A21))</f>
        <v/>
      </c>
      <c r="V21" s="30">
        <f>IF(A21="",0,SUMIFS('עסקאות'!$F$5:$F$1004,'עסקאות'!$C$5:$C$1004,A21,'עסקאות'!$B$5:$B$1004,"דיבידנד"))</f>
        <v/>
      </c>
      <c r="W21" s="34">
        <f>IF(OR(A21="",D21&lt;=0),"",IF(P21="","🟠 אין סטופ",IF(G21&lt;=P21,"🔴 סטופ נפגע",IF(Q21&lt;NearStop,"🟠 קרוב לסטופ",IF(AND(R21&lt;&gt;"",R21&gt;=PartialR),"🟢 מימוש חלקי",IF(AND(R21&lt;&gt;"",R21&gt;=1,P21&lt;E21),"🟡 הזז לאיזון",IF(T21&gt;RiskPct,"⚠️ סיכון חורג","✅ תקין")))))))</f>
        <v/>
      </c>
      <c r="X21" s="24">
        <f>IF(AND(W21&lt;&gt;"",W21&lt;&gt;"✅ תקין"),MAX($X$4:X20)+1,"")</f>
        <v/>
      </c>
    </row>
    <row r="22">
      <c r="A22" s="25" t="n"/>
      <c r="B22" s="26" t="n"/>
      <c r="C22" s="26" t="n"/>
      <c r="D22" s="27">
        <f>IF(A22="","",SUMIFS('עסקאות'!$D$5:$D$1004,'עסקאות'!$C$5:$C$1004,A22,'עסקאות'!$B$5:$B$1004,"קנייה")-SUMIFS('עסקאות'!$D$5:$D$1004,'עסקאות'!$C$5:$C$1004,A22,'עסקאות'!$B$5:$B$1004,"מכירה"))</f>
        <v/>
      </c>
      <c r="E22" s="28">
        <f>IF(A22="","",IFERROR(SUMIFS('עסקאות'!$I$5:$I$1004,'עסקאות'!$C$5:$C$1004,A22)/SUMIFS('עסקאות'!$D$5:$D$1004,'עסקאות'!$C$5:$C$1004,A22,'עסקאות'!$B$5:$B$1004,"קנייה"),0))</f>
        <v/>
      </c>
      <c r="F22" s="29" t="n"/>
      <c r="G22" s="28">
        <f>IF(A22="","",IFERROR(GOOGLEFINANCE(A22),F22))</f>
        <v/>
      </c>
      <c r="H22" s="30">
        <f>IF(A22="",0,D22*G22)</f>
        <v/>
      </c>
      <c r="I22" s="30">
        <f>IF(A22="",0,D22*E22)</f>
        <v/>
      </c>
      <c r="J22" s="30">
        <f>IF(A22="",0,H22-I22)</f>
        <v/>
      </c>
      <c r="K22" s="31">
        <f>IF(I22=0,"",J22/I22)</f>
        <v/>
      </c>
      <c r="L22" s="31">
        <f>IF(Equity=0,"",H22/Equity)</f>
        <v/>
      </c>
      <c r="M22" s="32" t="n"/>
      <c r="N22" s="30">
        <f>IF(OR(A22="",M22=""),"",M22*Equity-H22)</f>
        <v/>
      </c>
      <c r="O22" s="29" t="n"/>
      <c r="P22" s="29" t="n"/>
      <c r="Q22" s="31">
        <f>IF(OR(A22="",P22="",G22=0),"",(G22-P22)/G22)</f>
        <v/>
      </c>
      <c r="R22" s="33">
        <f>IF(OR(A22="",O22="",E22&lt;=O22),"",(G22-E22)/(E22-O22))</f>
        <v/>
      </c>
      <c r="S22" s="30">
        <f>IF(OR(A22="",P22=""),0,MAX(0,E22-P22)*D22)</f>
        <v/>
      </c>
      <c r="T22" s="31">
        <f>IF(Equity=0,"",S22/Equity)</f>
        <v/>
      </c>
      <c r="U22" s="30">
        <f>IF(A22="",0,SUMIFS('עסקאות'!$J$5:$J$1004,'עסקאות'!$C$5:$C$1004,A22))</f>
        <v/>
      </c>
      <c r="V22" s="30">
        <f>IF(A22="",0,SUMIFS('עסקאות'!$F$5:$F$1004,'עסקאות'!$C$5:$C$1004,A22,'עסקאות'!$B$5:$B$1004,"דיבידנד"))</f>
        <v/>
      </c>
      <c r="W22" s="34">
        <f>IF(OR(A22="",D22&lt;=0),"",IF(P22="","🟠 אין סטופ",IF(G22&lt;=P22,"🔴 סטופ נפגע",IF(Q22&lt;NearStop,"🟠 קרוב לסטופ",IF(AND(R22&lt;&gt;"",R22&gt;=PartialR),"🟢 מימוש חלקי",IF(AND(R22&lt;&gt;"",R22&gt;=1,P22&lt;E22),"🟡 הזז לאיזון",IF(T22&gt;RiskPct,"⚠️ סיכון חורג","✅ תקין")))))))</f>
        <v/>
      </c>
      <c r="X22" s="24">
        <f>IF(AND(W22&lt;&gt;"",W22&lt;&gt;"✅ תקין"),MAX($X$4:X21)+1,"")</f>
        <v/>
      </c>
    </row>
    <row r="23">
      <c r="A23" s="25" t="n"/>
      <c r="B23" s="26" t="n"/>
      <c r="C23" s="26" t="n"/>
      <c r="D23" s="27">
        <f>IF(A23="","",SUMIFS('עסקאות'!$D$5:$D$1004,'עסקאות'!$C$5:$C$1004,A23,'עסקאות'!$B$5:$B$1004,"קנייה")-SUMIFS('עסקאות'!$D$5:$D$1004,'עסקאות'!$C$5:$C$1004,A23,'עסקאות'!$B$5:$B$1004,"מכירה"))</f>
        <v/>
      </c>
      <c r="E23" s="28">
        <f>IF(A23="","",IFERROR(SUMIFS('עסקאות'!$I$5:$I$1004,'עסקאות'!$C$5:$C$1004,A23)/SUMIFS('עסקאות'!$D$5:$D$1004,'עסקאות'!$C$5:$C$1004,A23,'עסקאות'!$B$5:$B$1004,"קנייה"),0))</f>
        <v/>
      </c>
      <c r="F23" s="29" t="n"/>
      <c r="G23" s="28">
        <f>IF(A23="","",IFERROR(GOOGLEFINANCE(A23),F23))</f>
        <v/>
      </c>
      <c r="H23" s="30">
        <f>IF(A23="",0,D23*G23)</f>
        <v/>
      </c>
      <c r="I23" s="30">
        <f>IF(A23="",0,D23*E23)</f>
        <v/>
      </c>
      <c r="J23" s="30">
        <f>IF(A23="",0,H23-I23)</f>
        <v/>
      </c>
      <c r="K23" s="31">
        <f>IF(I23=0,"",J23/I23)</f>
        <v/>
      </c>
      <c r="L23" s="31">
        <f>IF(Equity=0,"",H23/Equity)</f>
        <v/>
      </c>
      <c r="M23" s="32" t="n"/>
      <c r="N23" s="30">
        <f>IF(OR(A23="",M23=""),"",M23*Equity-H23)</f>
        <v/>
      </c>
      <c r="O23" s="29" t="n"/>
      <c r="P23" s="29" t="n"/>
      <c r="Q23" s="31">
        <f>IF(OR(A23="",P23="",G23=0),"",(G23-P23)/G23)</f>
        <v/>
      </c>
      <c r="R23" s="33">
        <f>IF(OR(A23="",O23="",E23&lt;=O23),"",(G23-E23)/(E23-O23))</f>
        <v/>
      </c>
      <c r="S23" s="30">
        <f>IF(OR(A23="",P23=""),0,MAX(0,E23-P23)*D23)</f>
        <v/>
      </c>
      <c r="T23" s="31">
        <f>IF(Equity=0,"",S23/Equity)</f>
        <v/>
      </c>
      <c r="U23" s="30">
        <f>IF(A23="",0,SUMIFS('עסקאות'!$J$5:$J$1004,'עסקאות'!$C$5:$C$1004,A23))</f>
        <v/>
      </c>
      <c r="V23" s="30">
        <f>IF(A23="",0,SUMIFS('עסקאות'!$F$5:$F$1004,'עסקאות'!$C$5:$C$1004,A23,'עסקאות'!$B$5:$B$1004,"דיבידנד"))</f>
        <v/>
      </c>
      <c r="W23" s="34">
        <f>IF(OR(A23="",D23&lt;=0),"",IF(P23="","🟠 אין סטופ",IF(G23&lt;=P23,"🔴 סטופ נפגע",IF(Q23&lt;NearStop,"🟠 קרוב לסטופ",IF(AND(R23&lt;&gt;"",R23&gt;=PartialR),"🟢 מימוש חלקי",IF(AND(R23&lt;&gt;"",R23&gt;=1,P23&lt;E23),"🟡 הזז לאיזון",IF(T23&gt;RiskPct,"⚠️ סיכון חורג","✅ תקין")))))))</f>
        <v/>
      </c>
      <c r="X23" s="24">
        <f>IF(AND(W23&lt;&gt;"",W23&lt;&gt;"✅ תקין"),MAX($X$4:X22)+1,"")</f>
        <v/>
      </c>
    </row>
    <row r="24">
      <c r="A24" s="25" t="n"/>
      <c r="B24" s="26" t="n"/>
      <c r="C24" s="26" t="n"/>
      <c r="D24" s="27">
        <f>IF(A24="","",SUMIFS('עסקאות'!$D$5:$D$1004,'עסקאות'!$C$5:$C$1004,A24,'עסקאות'!$B$5:$B$1004,"קנייה")-SUMIFS('עסקאות'!$D$5:$D$1004,'עסקאות'!$C$5:$C$1004,A24,'עסקאות'!$B$5:$B$1004,"מכירה"))</f>
        <v/>
      </c>
      <c r="E24" s="28">
        <f>IF(A24="","",IFERROR(SUMIFS('עסקאות'!$I$5:$I$1004,'עסקאות'!$C$5:$C$1004,A24)/SUMIFS('עסקאות'!$D$5:$D$1004,'עסקאות'!$C$5:$C$1004,A24,'עסקאות'!$B$5:$B$1004,"קנייה"),0))</f>
        <v/>
      </c>
      <c r="F24" s="29" t="n"/>
      <c r="G24" s="28">
        <f>IF(A24="","",IFERROR(GOOGLEFINANCE(A24),F24))</f>
        <v/>
      </c>
      <c r="H24" s="30">
        <f>IF(A24="",0,D24*G24)</f>
        <v/>
      </c>
      <c r="I24" s="30">
        <f>IF(A24="",0,D24*E24)</f>
        <v/>
      </c>
      <c r="J24" s="30">
        <f>IF(A24="",0,H24-I24)</f>
        <v/>
      </c>
      <c r="K24" s="31">
        <f>IF(I24=0,"",J24/I24)</f>
        <v/>
      </c>
      <c r="L24" s="31">
        <f>IF(Equity=0,"",H24/Equity)</f>
        <v/>
      </c>
      <c r="M24" s="32" t="n"/>
      <c r="N24" s="30">
        <f>IF(OR(A24="",M24=""),"",M24*Equity-H24)</f>
        <v/>
      </c>
      <c r="O24" s="29" t="n"/>
      <c r="P24" s="29" t="n"/>
      <c r="Q24" s="31">
        <f>IF(OR(A24="",P24="",G24=0),"",(G24-P24)/G24)</f>
        <v/>
      </c>
      <c r="R24" s="33">
        <f>IF(OR(A24="",O24="",E24&lt;=O24),"",(G24-E24)/(E24-O24))</f>
        <v/>
      </c>
      <c r="S24" s="30">
        <f>IF(OR(A24="",P24=""),0,MAX(0,E24-P24)*D24)</f>
        <v/>
      </c>
      <c r="T24" s="31">
        <f>IF(Equity=0,"",S24/Equity)</f>
        <v/>
      </c>
      <c r="U24" s="30">
        <f>IF(A24="",0,SUMIFS('עסקאות'!$J$5:$J$1004,'עסקאות'!$C$5:$C$1004,A24))</f>
        <v/>
      </c>
      <c r="V24" s="30">
        <f>IF(A24="",0,SUMIFS('עסקאות'!$F$5:$F$1004,'עסקאות'!$C$5:$C$1004,A24,'עסקאות'!$B$5:$B$1004,"דיבידנד"))</f>
        <v/>
      </c>
      <c r="W24" s="34">
        <f>IF(OR(A24="",D24&lt;=0),"",IF(P24="","🟠 אין סטופ",IF(G24&lt;=P24,"🔴 סטופ נפגע",IF(Q24&lt;NearStop,"🟠 קרוב לסטופ",IF(AND(R24&lt;&gt;"",R24&gt;=PartialR),"🟢 מימוש חלקי",IF(AND(R24&lt;&gt;"",R24&gt;=1,P24&lt;E24),"🟡 הזז לאיזון",IF(T24&gt;RiskPct,"⚠️ סיכון חורג","✅ תקין")))))))</f>
        <v/>
      </c>
      <c r="X24" s="24">
        <f>IF(AND(W24&lt;&gt;"",W24&lt;&gt;"✅ תקין"),MAX($X$4:X23)+1,"")</f>
        <v/>
      </c>
    </row>
    <row r="25">
      <c r="A25" s="25" t="n"/>
      <c r="B25" s="26" t="n"/>
      <c r="C25" s="26" t="n"/>
      <c r="D25" s="27">
        <f>IF(A25="","",SUMIFS('עסקאות'!$D$5:$D$1004,'עסקאות'!$C$5:$C$1004,A25,'עסקאות'!$B$5:$B$1004,"קנייה")-SUMIFS('עסקאות'!$D$5:$D$1004,'עסקאות'!$C$5:$C$1004,A25,'עסקאות'!$B$5:$B$1004,"מכירה"))</f>
        <v/>
      </c>
      <c r="E25" s="28">
        <f>IF(A25="","",IFERROR(SUMIFS('עסקאות'!$I$5:$I$1004,'עסקאות'!$C$5:$C$1004,A25)/SUMIFS('עסקאות'!$D$5:$D$1004,'עסקאות'!$C$5:$C$1004,A25,'עסקאות'!$B$5:$B$1004,"קנייה"),0))</f>
        <v/>
      </c>
      <c r="F25" s="29" t="n"/>
      <c r="G25" s="28">
        <f>IF(A25="","",IFERROR(GOOGLEFINANCE(A25),F25))</f>
        <v/>
      </c>
      <c r="H25" s="30">
        <f>IF(A25="",0,D25*G25)</f>
        <v/>
      </c>
      <c r="I25" s="30">
        <f>IF(A25="",0,D25*E25)</f>
        <v/>
      </c>
      <c r="J25" s="30">
        <f>IF(A25="",0,H25-I25)</f>
        <v/>
      </c>
      <c r="K25" s="31">
        <f>IF(I25=0,"",J25/I25)</f>
        <v/>
      </c>
      <c r="L25" s="31">
        <f>IF(Equity=0,"",H25/Equity)</f>
        <v/>
      </c>
      <c r="M25" s="32" t="n"/>
      <c r="N25" s="30">
        <f>IF(OR(A25="",M25=""),"",M25*Equity-H25)</f>
        <v/>
      </c>
      <c r="O25" s="29" t="n"/>
      <c r="P25" s="29" t="n"/>
      <c r="Q25" s="31">
        <f>IF(OR(A25="",P25="",G25=0),"",(G25-P25)/G25)</f>
        <v/>
      </c>
      <c r="R25" s="33">
        <f>IF(OR(A25="",O25="",E25&lt;=O25),"",(G25-E25)/(E25-O25))</f>
        <v/>
      </c>
      <c r="S25" s="30">
        <f>IF(OR(A25="",P25=""),0,MAX(0,E25-P25)*D25)</f>
        <v/>
      </c>
      <c r="T25" s="31">
        <f>IF(Equity=0,"",S25/Equity)</f>
        <v/>
      </c>
      <c r="U25" s="30">
        <f>IF(A25="",0,SUMIFS('עסקאות'!$J$5:$J$1004,'עסקאות'!$C$5:$C$1004,A25))</f>
        <v/>
      </c>
      <c r="V25" s="30">
        <f>IF(A25="",0,SUMIFS('עסקאות'!$F$5:$F$1004,'עסקאות'!$C$5:$C$1004,A25,'עסקאות'!$B$5:$B$1004,"דיבידנד"))</f>
        <v/>
      </c>
      <c r="W25" s="34">
        <f>IF(OR(A25="",D25&lt;=0),"",IF(P25="","🟠 אין סטופ",IF(G25&lt;=P25,"🔴 סטופ נפגע",IF(Q25&lt;NearStop,"🟠 קרוב לסטופ",IF(AND(R25&lt;&gt;"",R25&gt;=PartialR),"🟢 מימוש חלקי",IF(AND(R25&lt;&gt;"",R25&gt;=1,P25&lt;E25),"🟡 הזז לאיזון",IF(T25&gt;RiskPct,"⚠️ סיכון חורג","✅ תקין")))))))</f>
        <v/>
      </c>
      <c r="X25" s="24">
        <f>IF(AND(W25&lt;&gt;"",W25&lt;&gt;"✅ תקין"),MAX($X$4:X24)+1,"")</f>
        <v/>
      </c>
    </row>
    <row r="26">
      <c r="A26" s="25" t="n"/>
      <c r="B26" s="26" t="n"/>
      <c r="C26" s="26" t="n"/>
      <c r="D26" s="27">
        <f>IF(A26="","",SUMIFS('עסקאות'!$D$5:$D$1004,'עסקאות'!$C$5:$C$1004,A26,'עסקאות'!$B$5:$B$1004,"קנייה")-SUMIFS('עסקאות'!$D$5:$D$1004,'עסקאות'!$C$5:$C$1004,A26,'עסקאות'!$B$5:$B$1004,"מכירה"))</f>
        <v/>
      </c>
      <c r="E26" s="28">
        <f>IF(A26="","",IFERROR(SUMIFS('עסקאות'!$I$5:$I$1004,'עסקאות'!$C$5:$C$1004,A26)/SUMIFS('עסקאות'!$D$5:$D$1004,'עסקאות'!$C$5:$C$1004,A26,'עסקאות'!$B$5:$B$1004,"קנייה"),0))</f>
        <v/>
      </c>
      <c r="F26" s="29" t="n"/>
      <c r="G26" s="28">
        <f>IF(A26="","",IFERROR(GOOGLEFINANCE(A26),F26))</f>
        <v/>
      </c>
      <c r="H26" s="30">
        <f>IF(A26="",0,D26*G26)</f>
        <v/>
      </c>
      <c r="I26" s="30">
        <f>IF(A26="",0,D26*E26)</f>
        <v/>
      </c>
      <c r="J26" s="30">
        <f>IF(A26="",0,H26-I26)</f>
        <v/>
      </c>
      <c r="K26" s="31">
        <f>IF(I26=0,"",J26/I26)</f>
        <v/>
      </c>
      <c r="L26" s="31">
        <f>IF(Equity=0,"",H26/Equity)</f>
        <v/>
      </c>
      <c r="M26" s="32" t="n"/>
      <c r="N26" s="30">
        <f>IF(OR(A26="",M26=""),"",M26*Equity-H26)</f>
        <v/>
      </c>
      <c r="O26" s="29" t="n"/>
      <c r="P26" s="29" t="n"/>
      <c r="Q26" s="31">
        <f>IF(OR(A26="",P26="",G26=0),"",(G26-P26)/G26)</f>
        <v/>
      </c>
      <c r="R26" s="33">
        <f>IF(OR(A26="",O26="",E26&lt;=O26),"",(G26-E26)/(E26-O26))</f>
        <v/>
      </c>
      <c r="S26" s="30">
        <f>IF(OR(A26="",P26=""),0,MAX(0,E26-P26)*D26)</f>
        <v/>
      </c>
      <c r="T26" s="31">
        <f>IF(Equity=0,"",S26/Equity)</f>
        <v/>
      </c>
      <c r="U26" s="30">
        <f>IF(A26="",0,SUMIFS('עסקאות'!$J$5:$J$1004,'עסקאות'!$C$5:$C$1004,A26))</f>
        <v/>
      </c>
      <c r="V26" s="30">
        <f>IF(A26="",0,SUMIFS('עסקאות'!$F$5:$F$1004,'עסקאות'!$C$5:$C$1004,A26,'עסקאות'!$B$5:$B$1004,"דיבידנד"))</f>
        <v/>
      </c>
      <c r="W26" s="34">
        <f>IF(OR(A26="",D26&lt;=0),"",IF(P26="","🟠 אין סטופ",IF(G26&lt;=P26,"🔴 סטופ נפגע",IF(Q26&lt;NearStop,"🟠 קרוב לסטופ",IF(AND(R26&lt;&gt;"",R26&gt;=PartialR),"🟢 מימוש חלקי",IF(AND(R26&lt;&gt;"",R26&gt;=1,P26&lt;E26),"🟡 הזז לאיזון",IF(T26&gt;RiskPct,"⚠️ סיכון חורג","✅ תקין")))))))</f>
        <v/>
      </c>
      <c r="X26" s="24">
        <f>IF(AND(W26&lt;&gt;"",W26&lt;&gt;"✅ תקין"),MAX($X$4:X25)+1,"")</f>
        <v/>
      </c>
    </row>
    <row r="27">
      <c r="A27" s="25" t="n"/>
      <c r="B27" s="26" t="n"/>
      <c r="C27" s="26" t="n"/>
      <c r="D27" s="27">
        <f>IF(A27="","",SUMIFS('עסקאות'!$D$5:$D$1004,'עסקאות'!$C$5:$C$1004,A27,'עסקאות'!$B$5:$B$1004,"קנייה")-SUMIFS('עסקאות'!$D$5:$D$1004,'עסקאות'!$C$5:$C$1004,A27,'עסקאות'!$B$5:$B$1004,"מכירה"))</f>
        <v/>
      </c>
      <c r="E27" s="28">
        <f>IF(A27="","",IFERROR(SUMIFS('עסקאות'!$I$5:$I$1004,'עסקאות'!$C$5:$C$1004,A27)/SUMIFS('עסקאות'!$D$5:$D$1004,'עסקאות'!$C$5:$C$1004,A27,'עסקאות'!$B$5:$B$1004,"קנייה"),0))</f>
        <v/>
      </c>
      <c r="F27" s="29" t="n"/>
      <c r="G27" s="28">
        <f>IF(A27="","",IFERROR(GOOGLEFINANCE(A27),F27))</f>
        <v/>
      </c>
      <c r="H27" s="30">
        <f>IF(A27="",0,D27*G27)</f>
        <v/>
      </c>
      <c r="I27" s="30">
        <f>IF(A27="",0,D27*E27)</f>
        <v/>
      </c>
      <c r="J27" s="30">
        <f>IF(A27="",0,H27-I27)</f>
        <v/>
      </c>
      <c r="K27" s="31">
        <f>IF(I27=0,"",J27/I27)</f>
        <v/>
      </c>
      <c r="L27" s="31">
        <f>IF(Equity=0,"",H27/Equity)</f>
        <v/>
      </c>
      <c r="M27" s="32" t="n"/>
      <c r="N27" s="30">
        <f>IF(OR(A27="",M27=""),"",M27*Equity-H27)</f>
        <v/>
      </c>
      <c r="O27" s="29" t="n"/>
      <c r="P27" s="29" t="n"/>
      <c r="Q27" s="31">
        <f>IF(OR(A27="",P27="",G27=0),"",(G27-P27)/G27)</f>
        <v/>
      </c>
      <c r="R27" s="33">
        <f>IF(OR(A27="",O27="",E27&lt;=O27),"",(G27-E27)/(E27-O27))</f>
        <v/>
      </c>
      <c r="S27" s="30">
        <f>IF(OR(A27="",P27=""),0,MAX(0,E27-P27)*D27)</f>
        <v/>
      </c>
      <c r="T27" s="31">
        <f>IF(Equity=0,"",S27/Equity)</f>
        <v/>
      </c>
      <c r="U27" s="30">
        <f>IF(A27="",0,SUMIFS('עסקאות'!$J$5:$J$1004,'עסקאות'!$C$5:$C$1004,A27))</f>
        <v/>
      </c>
      <c r="V27" s="30">
        <f>IF(A27="",0,SUMIFS('עסקאות'!$F$5:$F$1004,'עסקאות'!$C$5:$C$1004,A27,'עסקאות'!$B$5:$B$1004,"דיבידנד"))</f>
        <v/>
      </c>
      <c r="W27" s="34">
        <f>IF(OR(A27="",D27&lt;=0),"",IF(P27="","🟠 אין סטופ",IF(G27&lt;=P27,"🔴 סטופ נפגע",IF(Q27&lt;NearStop,"🟠 קרוב לסטופ",IF(AND(R27&lt;&gt;"",R27&gt;=PartialR),"🟢 מימוש חלקי",IF(AND(R27&lt;&gt;"",R27&gt;=1,P27&lt;E27),"🟡 הזז לאיזון",IF(T27&gt;RiskPct,"⚠️ סיכון חורג","✅ תקין")))))))</f>
        <v/>
      </c>
      <c r="X27" s="24">
        <f>IF(AND(W27&lt;&gt;"",W27&lt;&gt;"✅ תקין"),MAX($X$4:X26)+1,"")</f>
        <v/>
      </c>
    </row>
    <row r="28">
      <c r="A28" s="25" t="n"/>
      <c r="B28" s="26" t="n"/>
      <c r="C28" s="26" t="n"/>
      <c r="D28" s="27">
        <f>IF(A28="","",SUMIFS('עסקאות'!$D$5:$D$1004,'עסקאות'!$C$5:$C$1004,A28,'עסקאות'!$B$5:$B$1004,"קנייה")-SUMIFS('עסקאות'!$D$5:$D$1004,'עסקאות'!$C$5:$C$1004,A28,'עסקאות'!$B$5:$B$1004,"מכירה"))</f>
        <v/>
      </c>
      <c r="E28" s="28">
        <f>IF(A28="","",IFERROR(SUMIFS('עסקאות'!$I$5:$I$1004,'עסקאות'!$C$5:$C$1004,A28)/SUMIFS('עסקאות'!$D$5:$D$1004,'עסקאות'!$C$5:$C$1004,A28,'עסקאות'!$B$5:$B$1004,"קנייה"),0))</f>
        <v/>
      </c>
      <c r="F28" s="29" t="n"/>
      <c r="G28" s="28">
        <f>IF(A28="","",IFERROR(GOOGLEFINANCE(A28),F28))</f>
        <v/>
      </c>
      <c r="H28" s="30">
        <f>IF(A28="",0,D28*G28)</f>
        <v/>
      </c>
      <c r="I28" s="30">
        <f>IF(A28="",0,D28*E28)</f>
        <v/>
      </c>
      <c r="J28" s="30">
        <f>IF(A28="",0,H28-I28)</f>
        <v/>
      </c>
      <c r="K28" s="31">
        <f>IF(I28=0,"",J28/I28)</f>
        <v/>
      </c>
      <c r="L28" s="31">
        <f>IF(Equity=0,"",H28/Equity)</f>
        <v/>
      </c>
      <c r="M28" s="32" t="n"/>
      <c r="N28" s="30">
        <f>IF(OR(A28="",M28=""),"",M28*Equity-H28)</f>
        <v/>
      </c>
      <c r="O28" s="29" t="n"/>
      <c r="P28" s="29" t="n"/>
      <c r="Q28" s="31">
        <f>IF(OR(A28="",P28="",G28=0),"",(G28-P28)/G28)</f>
        <v/>
      </c>
      <c r="R28" s="33">
        <f>IF(OR(A28="",O28="",E28&lt;=O28),"",(G28-E28)/(E28-O28))</f>
        <v/>
      </c>
      <c r="S28" s="30">
        <f>IF(OR(A28="",P28=""),0,MAX(0,E28-P28)*D28)</f>
        <v/>
      </c>
      <c r="T28" s="31">
        <f>IF(Equity=0,"",S28/Equity)</f>
        <v/>
      </c>
      <c r="U28" s="30">
        <f>IF(A28="",0,SUMIFS('עסקאות'!$J$5:$J$1004,'עסקאות'!$C$5:$C$1004,A28))</f>
        <v/>
      </c>
      <c r="V28" s="30">
        <f>IF(A28="",0,SUMIFS('עסקאות'!$F$5:$F$1004,'עסקאות'!$C$5:$C$1004,A28,'עסקאות'!$B$5:$B$1004,"דיבידנד"))</f>
        <v/>
      </c>
      <c r="W28" s="34">
        <f>IF(OR(A28="",D28&lt;=0),"",IF(P28="","🟠 אין סטופ",IF(G28&lt;=P28,"🔴 סטופ נפגע",IF(Q28&lt;NearStop,"🟠 קרוב לסטופ",IF(AND(R28&lt;&gt;"",R28&gt;=PartialR),"🟢 מימוש חלקי",IF(AND(R28&lt;&gt;"",R28&gt;=1,P28&lt;E28),"🟡 הזז לאיזון",IF(T28&gt;RiskPct,"⚠️ סיכון חורג","✅ תקין")))))))</f>
        <v/>
      </c>
      <c r="X28" s="24">
        <f>IF(AND(W28&lt;&gt;"",W28&lt;&gt;"✅ תקין"),MAX($X$4:X27)+1,"")</f>
        <v/>
      </c>
    </row>
    <row r="29">
      <c r="A29" s="25" t="n"/>
      <c r="B29" s="26" t="n"/>
      <c r="C29" s="26" t="n"/>
      <c r="D29" s="27">
        <f>IF(A29="","",SUMIFS('עסקאות'!$D$5:$D$1004,'עסקאות'!$C$5:$C$1004,A29,'עסקאות'!$B$5:$B$1004,"קנייה")-SUMIFS('עסקאות'!$D$5:$D$1004,'עסקאות'!$C$5:$C$1004,A29,'עסקאות'!$B$5:$B$1004,"מכירה"))</f>
        <v/>
      </c>
      <c r="E29" s="28">
        <f>IF(A29="","",IFERROR(SUMIFS('עסקאות'!$I$5:$I$1004,'עסקאות'!$C$5:$C$1004,A29)/SUMIFS('עסקאות'!$D$5:$D$1004,'עסקאות'!$C$5:$C$1004,A29,'עסקאות'!$B$5:$B$1004,"קנייה"),0))</f>
        <v/>
      </c>
      <c r="F29" s="29" t="n"/>
      <c r="G29" s="28">
        <f>IF(A29="","",IFERROR(GOOGLEFINANCE(A29),F29))</f>
        <v/>
      </c>
      <c r="H29" s="30">
        <f>IF(A29="",0,D29*G29)</f>
        <v/>
      </c>
      <c r="I29" s="30">
        <f>IF(A29="",0,D29*E29)</f>
        <v/>
      </c>
      <c r="J29" s="30">
        <f>IF(A29="",0,H29-I29)</f>
        <v/>
      </c>
      <c r="K29" s="31">
        <f>IF(I29=0,"",J29/I29)</f>
        <v/>
      </c>
      <c r="L29" s="31">
        <f>IF(Equity=0,"",H29/Equity)</f>
        <v/>
      </c>
      <c r="M29" s="32" t="n"/>
      <c r="N29" s="30">
        <f>IF(OR(A29="",M29=""),"",M29*Equity-H29)</f>
        <v/>
      </c>
      <c r="O29" s="29" t="n"/>
      <c r="P29" s="29" t="n"/>
      <c r="Q29" s="31">
        <f>IF(OR(A29="",P29="",G29=0),"",(G29-P29)/G29)</f>
        <v/>
      </c>
      <c r="R29" s="33">
        <f>IF(OR(A29="",O29="",E29&lt;=O29),"",(G29-E29)/(E29-O29))</f>
        <v/>
      </c>
      <c r="S29" s="30">
        <f>IF(OR(A29="",P29=""),0,MAX(0,E29-P29)*D29)</f>
        <v/>
      </c>
      <c r="T29" s="31">
        <f>IF(Equity=0,"",S29/Equity)</f>
        <v/>
      </c>
      <c r="U29" s="30">
        <f>IF(A29="",0,SUMIFS('עסקאות'!$J$5:$J$1004,'עסקאות'!$C$5:$C$1004,A29))</f>
        <v/>
      </c>
      <c r="V29" s="30">
        <f>IF(A29="",0,SUMIFS('עסקאות'!$F$5:$F$1004,'עסקאות'!$C$5:$C$1004,A29,'עסקאות'!$B$5:$B$1004,"דיבידנד"))</f>
        <v/>
      </c>
      <c r="W29" s="34">
        <f>IF(OR(A29="",D29&lt;=0),"",IF(P29="","🟠 אין סטופ",IF(G29&lt;=P29,"🔴 סטופ נפגע",IF(Q29&lt;NearStop,"🟠 קרוב לסטופ",IF(AND(R29&lt;&gt;"",R29&gt;=PartialR),"🟢 מימוש חלקי",IF(AND(R29&lt;&gt;"",R29&gt;=1,P29&lt;E29),"🟡 הזז לאיזון",IF(T29&gt;RiskPct,"⚠️ סיכון חורג","✅ תקין")))))))</f>
        <v/>
      </c>
      <c r="X29" s="24">
        <f>IF(AND(W29&lt;&gt;"",W29&lt;&gt;"✅ תקין"),MAX($X$4:X28)+1,"")</f>
        <v/>
      </c>
    </row>
    <row r="30">
      <c r="A30" s="25" t="n"/>
      <c r="B30" s="26" t="n"/>
      <c r="C30" s="26" t="n"/>
      <c r="D30" s="27">
        <f>IF(A30="","",SUMIFS('עסקאות'!$D$5:$D$1004,'עסקאות'!$C$5:$C$1004,A30,'עסקאות'!$B$5:$B$1004,"קנייה")-SUMIFS('עסקאות'!$D$5:$D$1004,'עסקאות'!$C$5:$C$1004,A30,'עסקאות'!$B$5:$B$1004,"מכירה"))</f>
        <v/>
      </c>
      <c r="E30" s="28">
        <f>IF(A30="","",IFERROR(SUMIFS('עסקאות'!$I$5:$I$1004,'עסקאות'!$C$5:$C$1004,A30)/SUMIFS('עסקאות'!$D$5:$D$1004,'עסקאות'!$C$5:$C$1004,A30,'עסקאות'!$B$5:$B$1004,"קנייה"),0))</f>
        <v/>
      </c>
      <c r="F30" s="29" t="n"/>
      <c r="G30" s="28">
        <f>IF(A30="","",IFERROR(GOOGLEFINANCE(A30),F30))</f>
        <v/>
      </c>
      <c r="H30" s="30">
        <f>IF(A30="",0,D30*G30)</f>
        <v/>
      </c>
      <c r="I30" s="30">
        <f>IF(A30="",0,D30*E30)</f>
        <v/>
      </c>
      <c r="J30" s="30">
        <f>IF(A30="",0,H30-I30)</f>
        <v/>
      </c>
      <c r="K30" s="31">
        <f>IF(I30=0,"",J30/I30)</f>
        <v/>
      </c>
      <c r="L30" s="31">
        <f>IF(Equity=0,"",H30/Equity)</f>
        <v/>
      </c>
      <c r="M30" s="32" t="n"/>
      <c r="N30" s="30">
        <f>IF(OR(A30="",M30=""),"",M30*Equity-H30)</f>
        <v/>
      </c>
      <c r="O30" s="29" t="n"/>
      <c r="P30" s="29" t="n"/>
      <c r="Q30" s="31">
        <f>IF(OR(A30="",P30="",G30=0),"",(G30-P30)/G30)</f>
        <v/>
      </c>
      <c r="R30" s="33">
        <f>IF(OR(A30="",O30="",E30&lt;=O30),"",(G30-E30)/(E30-O30))</f>
        <v/>
      </c>
      <c r="S30" s="30">
        <f>IF(OR(A30="",P30=""),0,MAX(0,E30-P30)*D30)</f>
        <v/>
      </c>
      <c r="T30" s="31">
        <f>IF(Equity=0,"",S30/Equity)</f>
        <v/>
      </c>
      <c r="U30" s="30">
        <f>IF(A30="",0,SUMIFS('עסקאות'!$J$5:$J$1004,'עסקאות'!$C$5:$C$1004,A30))</f>
        <v/>
      </c>
      <c r="V30" s="30">
        <f>IF(A30="",0,SUMIFS('עסקאות'!$F$5:$F$1004,'עסקאות'!$C$5:$C$1004,A30,'עסקאות'!$B$5:$B$1004,"דיבידנד"))</f>
        <v/>
      </c>
      <c r="W30" s="34">
        <f>IF(OR(A30="",D30&lt;=0),"",IF(P30="","🟠 אין סטופ",IF(G30&lt;=P30,"🔴 סטופ נפגע",IF(Q30&lt;NearStop,"🟠 קרוב לסטופ",IF(AND(R30&lt;&gt;"",R30&gt;=PartialR),"🟢 מימוש חלקי",IF(AND(R30&lt;&gt;"",R30&gt;=1,P30&lt;E30),"🟡 הזז לאיזון",IF(T30&gt;RiskPct,"⚠️ סיכון חורג","✅ תקין")))))))</f>
        <v/>
      </c>
      <c r="X30" s="24">
        <f>IF(AND(W30&lt;&gt;"",W30&lt;&gt;"✅ תקין"),MAX($X$4:X29)+1,"")</f>
        <v/>
      </c>
    </row>
    <row r="31">
      <c r="A31" s="25" t="n"/>
      <c r="B31" s="26" t="n"/>
      <c r="C31" s="26" t="n"/>
      <c r="D31" s="27">
        <f>IF(A31="","",SUMIFS('עסקאות'!$D$5:$D$1004,'עסקאות'!$C$5:$C$1004,A31,'עסקאות'!$B$5:$B$1004,"קנייה")-SUMIFS('עסקאות'!$D$5:$D$1004,'עסקאות'!$C$5:$C$1004,A31,'עסקאות'!$B$5:$B$1004,"מכירה"))</f>
        <v/>
      </c>
      <c r="E31" s="28">
        <f>IF(A31="","",IFERROR(SUMIFS('עסקאות'!$I$5:$I$1004,'עסקאות'!$C$5:$C$1004,A31)/SUMIFS('עסקאות'!$D$5:$D$1004,'עסקאות'!$C$5:$C$1004,A31,'עסקאות'!$B$5:$B$1004,"קנייה"),0))</f>
        <v/>
      </c>
      <c r="F31" s="29" t="n"/>
      <c r="G31" s="28">
        <f>IF(A31="","",IFERROR(GOOGLEFINANCE(A31),F31))</f>
        <v/>
      </c>
      <c r="H31" s="30">
        <f>IF(A31="",0,D31*G31)</f>
        <v/>
      </c>
      <c r="I31" s="30">
        <f>IF(A31="",0,D31*E31)</f>
        <v/>
      </c>
      <c r="J31" s="30">
        <f>IF(A31="",0,H31-I31)</f>
        <v/>
      </c>
      <c r="K31" s="31">
        <f>IF(I31=0,"",J31/I31)</f>
        <v/>
      </c>
      <c r="L31" s="31">
        <f>IF(Equity=0,"",H31/Equity)</f>
        <v/>
      </c>
      <c r="M31" s="32" t="n"/>
      <c r="N31" s="30">
        <f>IF(OR(A31="",M31=""),"",M31*Equity-H31)</f>
        <v/>
      </c>
      <c r="O31" s="29" t="n"/>
      <c r="P31" s="29" t="n"/>
      <c r="Q31" s="31">
        <f>IF(OR(A31="",P31="",G31=0),"",(G31-P31)/G31)</f>
        <v/>
      </c>
      <c r="R31" s="33">
        <f>IF(OR(A31="",O31="",E31&lt;=O31),"",(G31-E31)/(E31-O31))</f>
        <v/>
      </c>
      <c r="S31" s="30">
        <f>IF(OR(A31="",P31=""),0,MAX(0,E31-P31)*D31)</f>
        <v/>
      </c>
      <c r="T31" s="31">
        <f>IF(Equity=0,"",S31/Equity)</f>
        <v/>
      </c>
      <c r="U31" s="30">
        <f>IF(A31="",0,SUMIFS('עסקאות'!$J$5:$J$1004,'עסקאות'!$C$5:$C$1004,A31))</f>
        <v/>
      </c>
      <c r="V31" s="30">
        <f>IF(A31="",0,SUMIFS('עסקאות'!$F$5:$F$1004,'עסקאות'!$C$5:$C$1004,A31,'עסקאות'!$B$5:$B$1004,"דיבידנד"))</f>
        <v/>
      </c>
      <c r="W31" s="34">
        <f>IF(OR(A31="",D31&lt;=0),"",IF(P31="","🟠 אין סטופ",IF(G31&lt;=P31,"🔴 סטופ נפגע",IF(Q31&lt;NearStop,"🟠 קרוב לסטופ",IF(AND(R31&lt;&gt;"",R31&gt;=PartialR),"🟢 מימוש חלקי",IF(AND(R31&lt;&gt;"",R31&gt;=1,P31&lt;E31),"🟡 הזז לאיזון",IF(T31&gt;RiskPct,"⚠️ סיכון חורג","✅ תקין")))))))</f>
        <v/>
      </c>
      <c r="X31" s="24">
        <f>IF(AND(W31&lt;&gt;"",W31&lt;&gt;"✅ תקין"),MAX($X$4:X30)+1,"")</f>
        <v/>
      </c>
    </row>
    <row r="32">
      <c r="A32" s="25" t="n"/>
      <c r="B32" s="26" t="n"/>
      <c r="C32" s="26" t="n"/>
      <c r="D32" s="27">
        <f>IF(A32="","",SUMIFS('עסקאות'!$D$5:$D$1004,'עסקאות'!$C$5:$C$1004,A32,'עסקאות'!$B$5:$B$1004,"קנייה")-SUMIFS('עסקאות'!$D$5:$D$1004,'עסקאות'!$C$5:$C$1004,A32,'עסקאות'!$B$5:$B$1004,"מכירה"))</f>
        <v/>
      </c>
      <c r="E32" s="28">
        <f>IF(A32="","",IFERROR(SUMIFS('עסקאות'!$I$5:$I$1004,'עסקאות'!$C$5:$C$1004,A32)/SUMIFS('עסקאות'!$D$5:$D$1004,'עסקאות'!$C$5:$C$1004,A32,'עסקאות'!$B$5:$B$1004,"קנייה"),0))</f>
        <v/>
      </c>
      <c r="F32" s="29" t="n"/>
      <c r="G32" s="28">
        <f>IF(A32="","",IFERROR(GOOGLEFINANCE(A32),F32))</f>
        <v/>
      </c>
      <c r="H32" s="30">
        <f>IF(A32="",0,D32*G32)</f>
        <v/>
      </c>
      <c r="I32" s="30">
        <f>IF(A32="",0,D32*E32)</f>
        <v/>
      </c>
      <c r="J32" s="30">
        <f>IF(A32="",0,H32-I32)</f>
        <v/>
      </c>
      <c r="K32" s="31">
        <f>IF(I32=0,"",J32/I32)</f>
        <v/>
      </c>
      <c r="L32" s="31">
        <f>IF(Equity=0,"",H32/Equity)</f>
        <v/>
      </c>
      <c r="M32" s="32" t="n"/>
      <c r="N32" s="30">
        <f>IF(OR(A32="",M32=""),"",M32*Equity-H32)</f>
        <v/>
      </c>
      <c r="O32" s="29" t="n"/>
      <c r="P32" s="29" t="n"/>
      <c r="Q32" s="31">
        <f>IF(OR(A32="",P32="",G32=0),"",(G32-P32)/G32)</f>
        <v/>
      </c>
      <c r="R32" s="33">
        <f>IF(OR(A32="",O32="",E32&lt;=O32),"",(G32-E32)/(E32-O32))</f>
        <v/>
      </c>
      <c r="S32" s="30">
        <f>IF(OR(A32="",P32=""),0,MAX(0,E32-P32)*D32)</f>
        <v/>
      </c>
      <c r="T32" s="31">
        <f>IF(Equity=0,"",S32/Equity)</f>
        <v/>
      </c>
      <c r="U32" s="30">
        <f>IF(A32="",0,SUMIFS('עסקאות'!$J$5:$J$1004,'עסקאות'!$C$5:$C$1004,A32))</f>
        <v/>
      </c>
      <c r="V32" s="30">
        <f>IF(A32="",0,SUMIFS('עסקאות'!$F$5:$F$1004,'עסקאות'!$C$5:$C$1004,A32,'עסקאות'!$B$5:$B$1004,"דיבידנד"))</f>
        <v/>
      </c>
      <c r="W32" s="34">
        <f>IF(OR(A32="",D32&lt;=0),"",IF(P32="","🟠 אין סטופ",IF(G32&lt;=P32,"🔴 סטופ נפגע",IF(Q32&lt;NearStop,"🟠 קרוב לסטופ",IF(AND(R32&lt;&gt;"",R32&gt;=PartialR),"🟢 מימוש חלקי",IF(AND(R32&lt;&gt;"",R32&gt;=1,P32&lt;E32),"🟡 הזז לאיזון",IF(T32&gt;RiskPct,"⚠️ סיכון חורג","✅ תקין")))))))</f>
        <v/>
      </c>
      <c r="X32" s="24">
        <f>IF(AND(W32&lt;&gt;"",W32&lt;&gt;"✅ תקין"),MAX($X$4:X31)+1,"")</f>
        <v/>
      </c>
    </row>
    <row r="33">
      <c r="A33" s="25" t="n"/>
      <c r="B33" s="26" t="n"/>
      <c r="C33" s="26" t="n"/>
      <c r="D33" s="27">
        <f>IF(A33="","",SUMIFS('עסקאות'!$D$5:$D$1004,'עסקאות'!$C$5:$C$1004,A33,'עסקאות'!$B$5:$B$1004,"קנייה")-SUMIFS('עסקאות'!$D$5:$D$1004,'עסקאות'!$C$5:$C$1004,A33,'עסקאות'!$B$5:$B$1004,"מכירה"))</f>
        <v/>
      </c>
      <c r="E33" s="28">
        <f>IF(A33="","",IFERROR(SUMIFS('עסקאות'!$I$5:$I$1004,'עסקאות'!$C$5:$C$1004,A33)/SUMIFS('עסקאות'!$D$5:$D$1004,'עסקאות'!$C$5:$C$1004,A33,'עסקאות'!$B$5:$B$1004,"קנייה"),0))</f>
        <v/>
      </c>
      <c r="F33" s="29" t="n"/>
      <c r="G33" s="28">
        <f>IF(A33="","",IFERROR(GOOGLEFINANCE(A33),F33))</f>
        <v/>
      </c>
      <c r="H33" s="30">
        <f>IF(A33="",0,D33*G33)</f>
        <v/>
      </c>
      <c r="I33" s="30">
        <f>IF(A33="",0,D33*E33)</f>
        <v/>
      </c>
      <c r="J33" s="30">
        <f>IF(A33="",0,H33-I33)</f>
        <v/>
      </c>
      <c r="K33" s="31">
        <f>IF(I33=0,"",J33/I33)</f>
        <v/>
      </c>
      <c r="L33" s="31">
        <f>IF(Equity=0,"",H33/Equity)</f>
        <v/>
      </c>
      <c r="M33" s="32" t="n"/>
      <c r="N33" s="30">
        <f>IF(OR(A33="",M33=""),"",M33*Equity-H33)</f>
        <v/>
      </c>
      <c r="O33" s="29" t="n"/>
      <c r="P33" s="29" t="n"/>
      <c r="Q33" s="31">
        <f>IF(OR(A33="",P33="",G33=0),"",(G33-P33)/G33)</f>
        <v/>
      </c>
      <c r="R33" s="33">
        <f>IF(OR(A33="",O33="",E33&lt;=O33),"",(G33-E33)/(E33-O33))</f>
        <v/>
      </c>
      <c r="S33" s="30">
        <f>IF(OR(A33="",P33=""),0,MAX(0,E33-P33)*D33)</f>
        <v/>
      </c>
      <c r="T33" s="31">
        <f>IF(Equity=0,"",S33/Equity)</f>
        <v/>
      </c>
      <c r="U33" s="30">
        <f>IF(A33="",0,SUMIFS('עסקאות'!$J$5:$J$1004,'עסקאות'!$C$5:$C$1004,A33))</f>
        <v/>
      </c>
      <c r="V33" s="30">
        <f>IF(A33="",0,SUMIFS('עסקאות'!$F$5:$F$1004,'עסקאות'!$C$5:$C$1004,A33,'עסקאות'!$B$5:$B$1004,"דיבידנד"))</f>
        <v/>
      </c>
      <c r="W33" s="34">
        <f>IF(OR(A33="",D33&lt;=0),"",IF(P33="","🟠 אין סטופ",IF(G33&lt;=P33,"🔴 סטופ נפגע",IF(Q33&lt;NearStop,"🟠 קרוב לסטופ",IF(AND(R33&lt;&gt;"",R33&gt;=PartialR),"🟢 מימוש חלקי",IF(AND(R33&lt;&gt;"",R33&gt;=1,P33&lt;E33),"🟡 הזז לאיזון",IF(T33&gt;RiskPct,"⚠️ סיכון חורג","✅ תקין")))))))</f>
        <v/>
      </c>
      <c r="X33" s="24">
        <f>IF(AND(W33&lt;&gt;"",W33&lt;&gt;"✅ תקין"),MAX($X$4:X32)+1,"")</f>
        <v/>
      </c>
    </row>
    <row r="34">
      <c r="A34" s="25" t="n"/>
      <c r="B34" s="26" t="n"/>
      <c r="C34" s="26" t="n"/>
      <c r="D34" s="27">
        <f>IF(A34="","",SUMIFS('עסקאות'!$D$5:$D$1004,'עסקאות'!$C$5:$C$1004,A34,'עסקאות'!$B$5:$B$1004,"קנייה")-SUMIFS('עסקאות'!$D$5:$D$1004,'עסקאות'!$C$5:$C$1004,A34,'עסקאות'!$B$5:$B$1004,"מכירה"))</f>
        <v/>
      </c>
      <c r="E34" s="28">
        <f>IF(A34="","",IFERROR(SUMIFS('עסקאות'!$I$5:$I$1004,'עסקאות'!$C$5:$C$1004,A34)/SUMIFS('עסקאות'!$D$5:$D$1004,'עסקאות'!$C$5:$C$1004,A34,'עסקאות'!$B$5:$B$1004,"קנייה"),0))</f>
        <v/>
      </c>
      <c r="F34" s="29" t="n"/>
      <c r="G34" s="28">
        <f>IF(A34="","",IFERROR(GOOGLEFINANCE(A34),F34))</f>
        <v/>
      </c>
      <c r="H34" s="30">
        <f>IF(A34="",0,D34*G34)</f>
        <v/>
      </c>
      <c r="I34" s="30">
        <f>IF(A34="",0,D34*E34)</f>
        <v/>
      </c>
      <c r="J34" s="30">
        <f>IF(A34="",0,H34-I34)</f>
        <v/>
      </c>
      <c r="K34" s="31">
        <f>IF(I34=0,"",J34/I34)</f>
        <v/>
      </c>
      <c r="L34" s="31">
        <f>IF(Equity=0,"",H34/Equity)</f>
        <v/>
      </c>
      <c r="M34" s="32" t="n"/>
      <c r="N34" s="30">
        <f>IF(OR(A34="",M34=""),"",M34*Equity-H34)</f>
        <v/>
      </c>
      <c r="O34" s="29" t="n"/>
      <c r="P34" s="29" t="n"/>
      <c r="Q34" s="31">
        <f>IF(OR(A34="",P34="",G34=0),"",(G34-P34)/G34)</f>
        <v/>
      </c>
      <c r="R34" s="33">
        <f>IF(OR(A34="",O34="",E34&lt;=O34),"",(G34-E34)/(E34-O34))</f>
        <v/>
      </c>
      <c r="S34" s="30">
        <f>IF(OR(A34="",P34=""),0,MAX(0,E34-P34)*D34)</f>
        <v/>
      </c>
      <c r="T34" s="31">
        <f>IF(Equity=0,"",S34/Equity)</f>
        <v/>
      </c>
      <c r="U34" s="30">
        <f>IF(A34="",0,SUMIFS('עסקאות'!$J$5:$J$1004,'עסקאות'!$C$5:$C$1004,A34))</f>
        <v/>
      </c>
      <c r="V34" s="30">
        <f>IF(A34="",0,SUMIFS('עסקאות'!$F$5:$F$1004,'עסקאות'!$C$5:$C$1004,A34,'עסקאות'!$B$5:$B$1004,"דיבידנד"))</f>
        <v/>
      </c>
      <c r="W34" s="34">
        <f>IF(OR(A34="",D34&lt;=0),"",IF(P34="","🟠 אין סטופ",IF(G34&lt;=P34,"🔴 סטופ נפגע",IF(Q34&lt;NearStop,"🟠 קרוב לסטופ",IF(AND(R34&lt;&gt;"",R34&gt;=PartialR),"🟢 מימוש חלקי",IF(AND(R34&lt;&gt;"",R34&gt;=1,P34&lt;E34),"🟡 הזז לאיזון",IF(T34&gt;RiskPct,"⚠️ סיכון חורג","✅ תקין")))))))</f>
        <v/>
      </c>
      <c r="X34" s="24">
        <f>IF(AND(W34&lt;&gt;"",W34&lt;&gt;"✅ תקין"),MAX($X$4:X33)+1,"")</f>
        <v/>
      </c>
    </row>
    <row r="35">
      <c r="A35" s="25" t="n"/>
      <c r="B35" s="26" t="n"/>
      <c r="C35" s="26" t="n"/>
      <c r="D35" s="27">
        <f>IF(A35="","",SUMIFS('עסקאות'!$D$5:$D$1004,'עסקאות'!$C$5:$C$1004,A35,'עסקאות'!$B$5:$B$1004,"קנייה")-SUMIFS('עסקאות'!$D$5:$D$1004,'עסקאות'!$C$5:$C$1004,A35,'עסקאות'!$B$5:$B$1004,"מכירה"))</f>
        <v/>
      </c>
      <c r="E35" s="28">
        <f>IF(A35="","",IFERROR(SUMIFS('עסקאות'!$I$5:$I$1004,'עסקאות'!$C$5:$C$1004,A35)/SUMIFS('עסקאות'!$D$5:$D$1004,'עסקאות'!$C$5:$C$1004,A35,'עסקאות'!$B$5:$B$1004,"קנייה"),0))</f>
        <v/>
      </c>
      <c r="F35" s="29" t="n"/>
      <c r="G35" s="28">
        <f>IF(A35="","",IFERROR(GOOGLEFINANCE(A35),F35))</f>
        <v/>
      </c>
      <c r="H35" s="30">
        <f>IF(A35="",0,D35*G35)</f>
        <v/>
      </c>
      <c r="I35" s="30">
        <f>IF(A35="",0,D35*E35)</f>
        <v/>
      </c>
      <c r="J35" s="30">
        <f>IF(A35="",0,H35-I35)</f>
        <v/>
      </c>
      <c r="K35" s="31">
        <f>IF(I35=0,"",J35/I35)</f>
        <v/>
      </c>
      <c r="L35" s="31">
        <f>IF(Equity=0,"",H35/Equity)</f>
        <v/>
      </c>
      <c r="M35" s="32" t="n"/>
      <c r="N35" s="30">
        <f>IF(OR(A35="",M35=""),"",M35*Equity-H35)</f>
        <v/>
      </c>
      <c r="O35" s="29" t="n"/>
      <c r="P35" s="29" t="n"/>
      <c r="Q35" s="31">
        <f>IF(OR(A35="",P35="",G35=0),"",(G35-P35)/G35)</f>
        <v/>
      </c>
      <c r="R35" s="33">
        <f>IF(OR(A35="",O35="",E35&lt;=O35),"",(G35-E35)/(E35-O35))</f>
        <v/>
      </c>
      <c r="S35" s="30">
        <f>IF(OR(A35="",P35=""),0,MAX(0,E35-P35)*D35)</f>
        <v/>
      </c>
      <c r="T35" s="31">
        <f>IF(Equity=0,"",S35/Equity)</f>
        <v/>
      </c>
      <c r="U35" s="30">
        <f>IF(A35="",0,SUMIFS('עסקאות'!$J$5:$J$1004,'עסקאות'!$C$5:$C$1004,A35))</f>
        <v/>
      </c>
      <c r="V35" s="30">
        <f>IF(A35="",0,SUMIFS('עסקאות'!$F$5:$F$1004,'עסקאות'!$C$5:$C$1004,A35,'עסקאות'!$B$5:$B$1004,"דיבידנד"))</f>
        <v/>
      </c>
      <c r="W35" s="34">
        <f>IF(OR(A35="",D35&lt;=0),"",IF(P35="","🟠 אין סטופ",IF(G35&lt;=P35,"🔴 סטופ נפגע",IF(Q35&lt;NearStop,"🟠 קרוב לסטופ",IF(AND(R35&lt;&gt;"",R35&gt;=PartialR),"🟢 מימוש חלקי",IF(AND(R35&lt;&gt;"",R35&gt;=1,P35&lt;E35),"🟡 הזז לאיזון",IF(T35&gt;RiskPct,"⚠️ סיכון חורג","✅ תקין")))))))</f>
        <v/>
      </c>
      <c r="X35" s="24">
        <f>IF(AND(W35&lt;&gt;"",W35&lt;&gt;"✅ תקין"),MAX($X$4:X34)+1,"")</f>
        <v/>
      </c>
    </row>
    <row r="36">
      <c r="A36" s="25" t="n"/>
      <c r="B36" s="26" t="n"/>
      <c r="C36" s="26" t="n"/>
      <c r="D36" s="27">
        <f>IF(A36="","",SUMIFS('עסקאות'!$D$5:$D$1004,'עסקאות'!$C$5:$C$1004,A36,'עסקאות'!$B$5:$B$1004,"קנייה")-SUMIFS('עסקאות'!$D$5:$D$1004,'עסקאות'!$C$5:$C$1004,A36,'עסקאות'!$B$5:$B$1004,"מכירה"))</f>
        <v/>
      </c>
      <c r="E36" s="28">
        <f>IF(A36="","",IFERROR(SUMIFS('עסקאות'!$I$5:$I$1004,'עסקאות'!$C$5:$C$1004,A36)/SUMIFS('עסקאות'!$D$5:$D$1004,'עסקאות'!$C$5:$C$1004,A36,'עסקאות'!$B$5:$B$1004,"קנייה"),0))</f>
        <v/>
      </c>
      <c r="F36" s="29" t="n"/>
      <c r="G36" s="28">
        <f>IF(A36="","",IFERROR(GOOGLEFINANCE(A36),F36))</f>
        <v/>
      </c>
      <c r="H36" s="30">
        <f>IF(A36="",0,D36*G36)</f>
        <v/>
      </c>
      <c r="I36" s="30">
        <f>IF(A36="",0,D36*E36)</f>
        <v/>
      </c>
      <c r="J36" s="30">
        <f>IF(A36="",0,H36-I36)</f>
        <v/>
      </c>
      <c r="K36" s="31">
        <f>IF(I36=0,"",J36/I36)</f>
        <v/>
      </c>
      <c r="L36" s="31">
        <f>IF(Equity=0,"",H36/Equity)</f>
        <v/>
      </c>
      <c r="M36" s="32" t="n"/>
      <c r="N36" s="30">
        <f>IF(OR(A36="",M36=""),"",M36*Equity-H36)</f>
        <v/>
      </c>
      <c r="O36" s="29" t="n"/>
      <c r="P36" s="29" t="n"/>
      <c r="Q36" s="31">
        <f>IF(OR(A36="",P36="",G36=0),"",(G36-P36)/G36)</f>
        <v/>
      </c>
      <c r="R36" s="33">
        <f>IF(OR(A36="",O36="",E36&lt;=O36),"",(G36-E36)/(E36-O36))</f>
        <v/>
      </c>
      <c r="S36" s="30">
        <f>IF(OR(A36="",P36=""),0,MAX(0,E36-P36)*D36)</f>
        <v/>
      </c>
      <c r="T36" s="31">
        <f>IF(Equity=0,"",S36/Equity)</f>
        <v/>
      </c>
      <c r="U36" s="30">
        <f>IF(A36="",0,SUMIFS('עסקאות'!$J$5:$J$1004,'עסקאות'!$C$5:$C$1004,A36))</f>
        <v/>
      </c>
      <c r="V36" s="30">
        <f>IF(A36="",0,SUMIFS('עסקאות'!$F$5:$F$1004,'עסקאות'!$C$5:$C$1004,A36,'עסקאות'!$B$5:$B$1004,"דיבידנד"))</f>
        <v/>
      </c>
      <c r="W36" s="34">
        <f>IF(OR(A36="",D36&lt;=0),"",IF(P36="","🟠 אין סטופ",IF(G36&lt;=P36,"🔴 סטופ נפגע",IF(Q36&lt;NearStop,"🟠 קרוב לסטופ",IF(AND(R36&lt;&gt;"",R36&gt;=PartialR),"🟢 מימוש חלקי",IF(AND(R36&lt;&gt;"",R36&gt;=1,P36&lt;E36),"🟡 הזז לאיזון",IF(T36&gt;RiskPct,"⚠️ סיכון חורג","✅ תקין")))))))</f>
        <v/>
      </c>
      <c r="X36" s="24">
        <f>IF(AND(W36&lt;&gt;"",W36&lt;&gt;"✅ תקין"),MAX($X$4:X35)+1,"")</f>
        <v/>
      </c>
    </row>
    <row r="37">
      <c r="A37" s="25" t="n"/>
      <c r="B37" s="26" t="n"/>
      <c r="C37" s="26" t="n"/>
      <c r="D37" s="27">
        <f>IF(A37="","",SUMIFS('עסקאות'!$D$5:$D$1004,'עסקאות'!$C$5:$C$1004,A37,'עסקאות'!$B$5:$B$1004,"קנייה")-SUMIFS('עסקאות'!$D$5:$D$1004,'עסקאות'!$C$5:$C$1004,A37,'עסקאות'!$B$5:$B$1004,"מכירה"))</f>
        <v/>
      </c>
      <c r="E37" s="28">
        <f>IF(A37="","",IFERROR(SUMIFS('עסקאות'!$I$5:$I$1004,'עסקאות'!$C$5:$C$1004,A37)/SUMIFS('עסקאות'!$D$5:$D$1004,'עסקאות'!$C$5:$C$1004,A37,'עסקאות'!$B$5:$B$1004,"קנייה"),0))</f>
        <v/>
      </c>
      <c r="F37" s="29" t="n"/>
      <c r="G37" s="28">
        <f>IF(A37="","",IFERROR(GOOGLEFINANCE(A37),F37))</f>
        <v/>
      </c>
      <c r="H37" s="30">
        <f>IF(A37="",0,D37*G37)</f>
        <v/>
      </c>
      <c r="I37" s="30">
        <f>IF(A37="",0,D37*E37)</f>
        <v/>
      </c>
      <c r="J37" s="30">
        <f>IF(A37="",0,H37-I37)</f>
        <v/>
      </c>
      <c r="K37" s="31">
        <f>IF(I37=0,"",J37/I37)</f>
        <v/>
      </c>
      <c r="L37" s="31">
        <f>IF(Equity=0,"",H37/Equity)</f>
        <v/>
      </c>
      <c r="M37" s="32" t="n"/>
      <c r="N37" s="30">
        <f>IF(OR(A37="",M37=""),"",M37*Equity-H37)</f>
        <v/>
      </c>
      <c r="O37" s="29" t="n"/>
      <c r="P37" s="29" t="n"/>
      <c r="Q37" s="31">
        <f>IF(OR(A37="",P37="",G37=0),"",(G37-P37)/G37)</f>
        <v/>
      </c>
      <c r="R37" s="33">
        <f>IF(OR(A37="",O37="",E37&lt;=O37),"",(G37-E37)/(E37-O37))</f>
        <v/>
      </c>
      <c r="S37" s="30">
        <f>IF(OR(A37="",P37=""),0,MAX(0,E37-P37)*D37)</f>
        <v/>
      </c>
      <c r="T37" s="31">
        <f>IF(Equity=0,"",S37/Equity)</f>
        <v/>
      </c>
      <c r="U37" s="30">
        <f>IF(A37="",0,SUMIFS('עסקאות'!$J$5:$J$1004,'עסקאות'!$C$5:$C$1004,A37))</f>
        <v/>
      </c>
      <c r="V37" s="30">
        <f>IF(A37="",0,SUMIFS('עסקאות'!$F$5:$F$1004,'עסקאות'!$C$5:$C$1004,A37,'עסקאות'!$B$5:$B$1004,"דיבידנד"))</f>
        <v/>
      </c>
      <c r="W37" s="34">
        <f>IF(OR(A37="",D37&lt;=0),"",IF(P37="","🟠 אין סטופ",IF(G37&lt;=P37,"🔴 סטופ נפגע",IF(Q37&lt;NearStop,"🟠 קרוב לסטופ",IF(AND(R37&lt;&gt;"",R37&gt;=PartialR),"🟢 מימוש חלקי",IF(AND(R37&lt;&gt;"",R37&gt;=1,P37&lt;E37),"🟡 הזז לאיזון",IF(T37&gt;RiskPct,"⚠️ סיכון חורג","✅ תקין")))))))</f>
        <v/>
      </c>
      <c r="X37" s="24">
        <f>IF(AND(W37&lt;&gt;"",W37&lt;&gt;"✅ תקין"),MAX($X$4:X36)+1,"")</f>
        <v/>
      </c>
    </row>
    <row r="38">
      <c r="A38" s="25" t="n"/>
      <c r="B38" s="26" t="n"/>
      <c r="C38" s="26" t="n"/>
      <c r="D38" s="27">
        <f>IF(A38="","",SUMIFS('עסקאות'!$D$5:$D$1004,'עסקאות'!$C$5:$C$1004,A38,'עסקאות'!$B$5:$B$1004,"קנייה")-SUMIFS('עסקאות'!$D$5:$D$1004,'עסקאות'!$C$5:$C$1004,A38,'עסקאות'!$B$5:$B$1004,"מכירה"))</f>
        <v/>
      </c>
      <c r="E38" s="28">
        <f>IF(A38="","",IFERROR(SUMIFS('עסקאות'!$I$5:$I$1004,'עסקאות'!$C$5:$C$1004,A38)/SUMIFS('עסקאות'!$D$5:$D$1004,'עסקאות'!$C$5:$C$1004,A38,'עסקאות'!$B$5:$B$1004,"קנייה"),0))</f>
        <v/>
      </c>
      <c r="F38" s="29" t="n"/>
      <c r="G38" s="28">
        <f>IF(A38="","",IFERROR(GOOGLEFINANCE(A38),F38))</f>
        <v/>
      </c>
      <c r="H38" s="30">
        <f>IF(A38="",0,D38*G38)</f>
        <v/>
      </c>
      <c r="I38" s="30">
        <f>IF(A38="",0,D38*E38)</f>
        <v/>
      </c>
      <c r="J38" s="30">
        <f>IF(A38="",0,H38-I38)</f>
        <v/>
      </c>
      <c r="K38" s="31">
        <f>IF(I38=0,"",J38/I38)</f>
        <v/>
      </c>
      <c r="L38" s="31">
        <f>IF(Equity=0,"",H38/Equity)</f>
        <v/>
      </c>
      <c r="M38" s="32" t="n"/>
      <c r="N38" s="30">
        <f>IF(OR(A38="",M38=""),"",M38*Equity-H38)</f>
        <v/>
      </c>
      <c r="O38" s="29" t="n"/>
      <c r="P38" s="29" t="n"/>
      <c r="Q38" s="31">
        <f>IF(OR(A38="",P38="",G38=0),"",(G38-P38)/G38)</f>
        <v/>
      </c>
      <c r="R38" s="33">
        <f>IF(OR(A38="",O38="",E38&lt;=O38),"",(G38-E38)/(E38-O38))</f>
        <v/>
      </c>
      <c r="S38" s="30">
        <f>IF(OR(A38="",P38=""),0,MAX(0,E38-P38)*D38)</f>
        <v/>
      </c>
      <c r="T38" s="31">
        <f>IF(Equity=0,"",S38/Equity)</f>
        <v/>
      </c>
      <c r="U38" s="30">
        <f>IF(A38="",0,SUMIFS('עסקאות'!$J$5:$J$1004,'עסקאות'!$C$5:$C$1004,A38))</f>
        <v/>
      </c>
      <c r="V38" s="30">
        <f>IF(A38="",0,SUMIFS('עסקאות'!$F$5:$F$1004,'עסקאות'!$C$5:$C$1004,A38,'עסקאות'!$B$5:$B$1004,"דיבידנד"))</f>
        <v/>
      </c>
      <c r="W38" s="34">
        <f>IF(OR(A38="",D38&lt;=0),"",IF(P38="","🟠 אין סטופ",IF(G38&lt;=P38,"🔴 סטופ נפגע",IF(Q38&lt;NearStop,"🟠 קרוב לסטופ",IF(AND(R38&lt;&gt;"",R38&gt;=PartialR),"🟢 מימוש חלקי",IF(AND(R38&lt;&gt;"",R38&gt;=1,P38&lt;E38),"🟡 הזז לאיזון",IF(T38&gt;RiskPct,"⚠️ סיכון חורג","✅ תקין")))))))</f>
        <v/>
      </c>
      <c r="X38" s="24">
        <f>IF(AND(W38&lt;&gt;"",W38&lt;&gt;"✅ תקין"),MAX($X$4:X37)+1,"")</f>
        <v/>
      </c>
    </row>
    <row r="39">
      <c r="A39" s="25" t="n"/>
      <c r="B39" s="26" t="n"/>
      <c r="C39" s="26" t="n"/>
      <c r="D39" s="27">
        <f>IF(A39="","",SUMIFS('עסקאות'!$D$5:$D$1004,'עסקאות'!$C$5:$C$1004,A39,'עסקאות'!$B$5:$B$1004,"קנייה")-SUMIFS('עסקאות'!$D$5:$D$1004,'עסקאות'!$C$5:$C$1004,A39,'עסקאות'!$B$5:$B$1004,"מכירה"))</f>
        <v/>
      </c>
      <c r="E39" s="28">
        <f>IF(A39="","",IFERROR(SUMIFS('עסקאות'!$I$5:$I$1004,'עסקאות'!$C$5:$C$1004,A39)/SUMIFS('עסקאות'!$D$5:$D$1004,'עסקאות'!$C$5:$C$1004,A39,'עסקאות'!$B$5:$B$1004,"קנייה"),0))</f>
        <v/>
      </c>
      <c r="F39" s="29" t="n"/>
      <c r="G39" s="28">
        <f>IF(A39="","",IFERROR(GOOGLEFINANCE(A39),F39))</f>
        <v/>
      </c>
      <c r="H39" s="30">
        <f>IF(A39="",0,D39*G39)</f>
        <v/>
      </c>
      <c r="I39" s="30">
        <f>IF(A39="",0,D39*E39)</f>
        <v/>
      </c>
      <c r="J39" s="30">
        <f>IF(A39="",0,H39-I39)</f>
        <v/>
      </c>
      <c r="K39" s="31">
        <f>IF(I39=0,"",J39/I39)</f>
        <v/>
      </c>
      <c r="L39" s="31">
        <f>IF(Equity=0,"",H39/Equity)</f>
        <v/>
      </c>
      <c r="M39" s="32" t="n"/>
      <c r="N39" s="30">
        <f>IF(OR(A39="",M39=""),"",M39*Equity-H39)</f>
        <v/>
      </c>
      <c r="O39" s="29" t="n"/>
      <c r="P39" s="29" t="n"/>
      <c r="Q39" s="31">
        <f>IF(OR(A39="",P39="",G39=0),"",(G39-P39)/G39)</f>
        <v/>
      </c>
      <c r="R39" s="33">
        <f>IF(OR(A39="",O39="",E39&lt;=O39),"",(G39-E39)/(E39-O39))</f>
        <v/>
      </c>
      <c r="S39" s="30">
        <f>IF(OR(A39="",P39=""),0,MAX(0,E39-P39)*D39)</f>
        <v/>
      </c>
      <c r="T39" s="31">
        <f>IF(Equity=0,"",S39/Equity)</f>
        <v/>
      </c>
      <c r="U39" s="30">
        <f>IF(A39="",0,SUMIFS('עסקאות'!$J$5:$J$1004,'עסקאות'!$C$5:$C$1004,A39))</f>
        <v/>
      </c>
      <c r="V39" s="30">
        <f>IF(A39="",0,SUMIFS('עסקאות'!$F$5:$F$1004,'עסקאות'!$C$5:$C$1004,A39,'עסקאות'!$B$5:$B$1004,"דיבידנד"))</f>
        <v/>
      </c>
      <c r="W39" s="34">
        <f>IF(OR(A39="",D39&lt;=0),"",IF(P39="","🟠 אין סטופ",IF(G39&lt;=P39,"🔴 סטופ נפגע",IF(Q39&lt;NearStop,"🟠 קרוב לסטופ",IF(AND(R39&lt;&gt;"",R39&gt;=PartialR),"🟢 מימוש חלקי",IF(AND(R39&lt;&gt;"",R39&gt;=1,P39&lt;E39),"🟡 הזז לאיזון",IF(T39&gt;RiskPct,"⚠️ סיכון חורג","✅ תקין")))))))</f>
        <v/>
      </c>
      <c r="X39" s="24">
        <f>IF(AND(W39&lt;&gt;"",W39&lt;&gt;"✅ תקין"),MAX($X$4:X38)+1,"")</f>
        <v/>
      </c>
    </row>
    <row r="40">
      <c r="A40" s="25" t="n"/>
      <c r="B40" s="26" t="n"/>
      <c r="C40" s="26" t="n"/>
      <c r="D40" s="27">
        <f>IF(A40="","",SUMIFS('עסקאות'!$D$5:$D$1004,'עסקאות'!$C$5:$C$1004,A40,'עסקאות'!$B$5:$B$1004,"קנייה")-SUMIFS('עסקאות'!$D$5:$D$1004,'עסקאות'!$C$5:$C$1004,A40,'עסקאות'!$B$5:$B$1004,"מכירה"))</f>
        <v/>
      </c>
      <c r="E40" s="28">
        <f>IF(A40="","",IFERROR(SUMIFS('עסקאות'!$I$5:$I$1004,'עסקאות'!$C$5:$C$1004,A40)/SUMIFS('עסקאות'!$D$5:$D$1004,'עסקאות'!$C$5:$C$1004,A40,'עסקאות'!$B$5:$B$1004,"קנייה"),0))</f>
        <v/>
      </c>
      <c r="F40" s="29" t="n"/>
      <c r="G40" s="28">
        <f>IF(A40="","",IFERROR(GOOGLEFINANCE(A40),F40))</f>
        <v/>
      </c>
      <c r="H40" s="30">
        <f>IF(A40="",0,D40*G40)</f>
        <v/>
      </c>
      <c r="I40" s="30">
        <f>IF(A40="",0,D40*E40)</f>
        <v/>
      </c>
      <c r="J40" s="30">
        <f>IF(A40="",0,H40-I40)</f>
        <v/>
      </c>
      <c r="K40" s="31">
        <f>IF(I40=0,"",J40/I40)</f>
        <v/>
      </c>
      <c r="L40" s="31">
        <f>IF(Equity=0,"",H40/Equity)</f>
        <v/>
      </c>
      <c r="M40" s="32" t="n"/>
      <c r="N40" s="30">
        <f>IF(OR(A40="",M40=""),"",M40*Equity-H40)</f>
        <v/>
      </c>
      <c r="O40" s="29" t="n"/>
      <c r="P40" s="29" t="n"/>
      <c r="Q40" s="31">
        <f>IF(OR(A40="",P40="",G40=0),"",(G40-P40)/G40)</f>
        <v/>
      </c>
      <c r="R40" s="33">
        <f>IF(OR(A40="",O40="",E40&lt;=O40),"",(G40-E40)/(E40-O40))</f>
        <v/>
      </c>
      <c r="S40" s="30">
        <f>IF(OR(A40="",P40=""),0,MAX(0,E40-P40)*D40)</f>
        <v/>
      </c>
      <c r="T40" s="31">
        <f>IF(Equity=0,"",S40/Equity)</f>
        <v/>
      </c>
      <c r="U40" s="30">
        <f>IF(A40="",0,SUMIFS('עסקאות'!$J$5:$J$1004,'עסקאות'!$C$5:$C$1004,A40))</f>
        <v/>
      </c>
      <c r="V40" s="30">
        <f>IF(A40="",0,SUMIFS('עסקאות'!$F$5:$F$1004,'עסקאות'!$C$5:$C$1004,A40,'עסקאות'!$B$5:$B$1004,"דיבידנד"))</f>
        <v/>
      </c>
      <c r="W40" s="34">
        <f>IF(OR(A40="",D40&lt;=0),"",IF(P40="","🟠 אין סטופ",IF(G40&lt;=P40,"🔴 סטופ נפגע",IF(Q40&lt;NearStop,"🟠 קרוב לסטופ",IF(AND(R40&lt;&gt;"",R40&gt;=PartialR),"🟢 מימוש חלקי",IF(AND(R40&lt;&gt;"",R40&gt;=1,P40&lt;E40),"🟡 הזז לאיזון",IF(T40&gt;RiskPct,"⚠️ סיכון חורג","✅ תקין")))))))</f>
        <v/>
      </c>
      <c r="X40" s="24">
        <f>IF(AND(W40&lt;&gt;"",W40&lt;&gt;"✅ תקין"),MAX($X$4:X39)+1,"")</f>
        <v/>
      </c>
    </row>
    <row r="41">
      <c r="A41" s="25" t="n"/>
      <c r="B41" s="26" t="n"/>
      <c r="C41" s="26" t="n"/>
      <c r="D41" s="27">
        <f>IF(A41="","",SUMIFS('עסקאות'!$D$5:$D$1004,'עסקאות'!$C$5:$C$1004,A41,'עסקאות'!$B$5:$B$1004,"קנייה")-SUMIFS('עסקאות'!$D$5:$D$1004,'עסקאות'!$C$5:$C$1004,A41,'עסקאות'!$B$5:$B$1004,"מכירה"))</f>
        <v/>
      </c>
      <c r="E41" s="28">
        <f>IF(A41="","",IFERROR(SUMIFS('עסקאות'!$I$5:$I$1004,'עסקאות'!$C$5:$C$1004,A41)/SUMIFS('עסקאות'!$D$5:$D$1004,'עסקאות'!$C$5:$C$1004,A41,'עסקאות'!$B$5:$B$1004,"קנייה"),0))</f>
        <v/>
      </c>
      <c r="F41" s="29" t="n"/>
      <c r="G41" s="28">
        <f>IF(A41="","",IFERROR(GOOGLEFINANCE(A41),F41))</f>
        <v/>
      </c>
      <c r="H41" s="30">
        <f>IF(A41="",0,D41*G41)</f>
        <v/>
      </c>
      <c r="I41" s="30">
        <f>IF(A41="",0,D41*E41)</f>
        <v/>
      </c>
      <c r="J41" s="30">
        <f>IF(A41="",0,H41-I41)</f>
        <v/>
      </c>
      <c r="K41" s="31">
        <f>IF(I41=0,"",J41/I41)</f>
        <v/>
      </c>
      <c r="L41" s="31">
        <f>IF(Equity=0,"",H41/Equity)</f>
        <v/>
      </c>
      <c r="M41" s="32" t="n"/>
      <c r="N41" s="30">
        <f>IF(OR(A41="",M41=""),"",M41*Equity-H41)</f>
        <v/>
      </c>
      <c r="O41" s="29" t="n"/>
      <c r="P41" s="29" t="n"/>
      <c r="Q41" s="31">
        <f>IF(OR(A41="",P41="",G41=0),"",(G41-P41)/G41)</f>
        <v/>
      </c>
      <c r="R41" s="33">
        <f>IF(OR(A41="",O41="",E41&lt;=O41),"",(G41-E41)/(E41-O41))</f>
        <v/>
      </c>
      <c r="S41" s="30">
        <f>IF(OR(A41="",P41=""),0,MAX(0,E41-P41)*D41)</f>
        <v/>
      </c>
      <c r="T41" s="31">
        <f>IF(Equity=0,"",S41/Equity)</f>
        <v/>
      </c>
      <c r="U41" s="30">
        <f>IF(A41="",0,SUMIFS('עסקאות'!$J$5:$J$1004,'עסקאות'!$C$5:$C$1004,A41))</f>
        <v/>
      </c>
      <c r="V41" s="30">
        <f>IF(A41="",0,SUMIFS('עסקאות'!$F$5:$F$1004,'עסקאות'!$C$5:$C$1004,A41,'עסקאות'!$B$5:$B$1004,"דיבידנד"))</f>
        <v/>
      </c>
      <c r="W41" s="34">
        <f>IF(OR(A41="",D41&lt;=0),"",IF(P41="","🟠 אין סטופ",IF(G41&lt;=P41,"🔴 סטופ נפגע",IF(Q41&lt;NearStop,"🟠 קרוב לסטופ",IF(AND(R41&lt;&gt;"",R41&gt;=PartialR),"🟢 מימוש חלקי",IF(AND(R41&lt;&gt;"",R41&gt;=1,P41&lt;E41),"🟡 הזז לאיזון",IF(T41&gt;RiskPct,"⚠️ סיכון חורג","✅ תקין")))))))</f>
        <v/>
      </c>
      <c r="X41" s="24">
        <f>IF(AND(W41&lt;&gt;"",W41&lt;&gt;"✅ תקין"),MAX($X$4:X40)+1,"")</f>
        <v/>
      </c>
    </row>
    <row r="42">
      <c r="A42" s="25" t="n"/>
      <c r="B42" s="26" t="n"/>
      <c r="C42" s="26" t="n"/>
      <c r="D42" s="27">
        <f>IF(A42="","",SUMIFS('עסקאות'!$D$5:$D$1004,'עסקאות'!$C$5:$C$1004,A42,'עסקאות'!$B$5:$B$1004,"קנייה")-SUMIFS('עסקאות'!$D$5:$D$1004,'עסקאות'!$C$5:$C$1004,A42,'עסקאות'!$B$5:$B$1004,"מכירה"))</f>
        <v/>
      </c>
      <c r="E42" s="28">
        <f>IF(A42="","",IFERROR(SUMIFS('עסקאות'!$I$5:$I$1004,'עסקאות'!$C$5:$C$1004,A42)/SUMIFS('עסקאות'!$D$5:$D$1004,'עסקאות'!$C$5:$C$1004,A42,'עסקאות'!$B$5:$B$1004,"קנייה"),0))</f>
        <v/>
      </c>
      <c r="F42" s="29" t="n"/>
      <c r="G42" s="28">
        <f>IF(A42="","",IFERROR(GOOGLEFINANCE(A42),F42))</f>
        <v/>
      </c>
      <c r="H42" s="30">
        <f>IF(A42="",0,D42*G42)</f>
        <v/>
      </c>
      <c r="I42" s="30">
        <f>IF(A42="",0,D42*E42)</f>
        <v/>
      </c>
      <c r="J42" s="30">
        <f>IF(A42="",0,H42-I42)</f>
        <v/>
      </c>
      <c r="K42" s="31">
        <f>IF(I42=0,"",J42/I42)</f>
        <v/>
      </c>
      <c r="L42" s="31">
        <f>IF(Equity=0,"",H42/Equity)</f>
        <v/>
      </c>
      <c r="M42" s="32" t="n"/>
      <c r="N42" s="30">
        <f>IF(OR(A42="",M42=""),"",M42*Equity-H42)</f>
        <v/>
      </c>
      <c r="O42" s="29" t="n"/>
      <c r="P42" s="29" t="n"/>
      <c r="Q42" s="31">
        <f>IF(OR(A42="",P42="",G42=0),"",(G42-P42)/G42)</f>
        <v/>
      </c>
      <c r="R42" s="33">
        <f>IF(OR(A42="",O42="",E42&lt;=O42),"",(G42-E42)/(E42-O42))</f>
        <v/>
      </c>
      <c r="S42" s="30">
        <f>IF(OR(A42="",P42=""),0,MAX(0,E42-P42)*D42)</f>
        <v/>
      </c>
      <c r="T42" s="31">
        <f>IF(Equity=0,"",S42/Equity)</f>
        <v/>
      </c>
      <c r="U42" s="30">
        <f>IF(A42="",0,SUMIFS('עסקאות'!$J$5:$J$1004,'עסקאות'!$C$5:$C$1004,A42))</f>
        <v/>
      </c>
      <c r="V42" s="30">
        <f>IF(A42="",0,SUMIFS('עסקאות'!$F$5:$F$1004,'עסקאות'!$C$5:$C$1004,A42,'עסקאות'!$B$5:$B$1004,"דיבידנד"))</f>
        <v/>
      </c>
      <c r="W42" s="34">
        <f>IF(OR(A42="",D42&lt;=0),"",IF(P42="","🟠 אין סטופ",IF(G42&lt;=P42,"🔴 סטופ נפגע",IF(Q42&lt;NearStop,"🟠 קרוב לסטופ",IF(AND(R42&lt;&gt;"",R42&gt;=PartialR),"🟢 מימוש חלקי",IF(AND(R42&lt;&gt;"",R42&gt;=1,P42&lt;E42),"🟡 הזז לאיזון",IF(T42&gt;RiskPct,"⚠️ סיכון חורג","✅ תקין")))))))</f>
        <v/>
      </c>
      <c r="X42" s="24">
        <f>IF(AND(W42&lt;&gt;"",W42&lt;&gt;"✅ תקין"),MAX($X$4:X41)+1,"")</f>
        <v/>
      </c>
    </row>
    <row r="43">
      <c r="A43" s="25" t="n"/>
      <c r="B43" s="26" t="n"/>
      <c r="C43" s="26" t="n"/>
      <c r="D43" s="27">
        <f>IF(A43="","",SUMIFS('עסקאות'!$D$5:$D$1004,'עסקאות'!$C$5:$C$1004,A43,'עסקאות'!$B$5:$B$1004,"קנייה")-SUMIFS('עסקאות'!$D$5:$D$1004,'עסקאות'!$C$5:$C$1004,A43,'עסקאות'!$B$5:$B$1004,"מכירה"))</f>
        <v/>
      </c>
      <c r="E43" s="28">
        <f>IF(A43="","",IFERROR(SUMIFS('עסקאות'!$I$5:$I$1004,'עסקאות'!$C$5:$C$1004,A43)/SUMIFS('עסקאות'!$D$5:$D$1004,'עסקאות'!$C$5:$C$1004,A43,'עסקאות'!$B$5:$B$1004,"קנייה"),0))</f>
        <v/>
      </c>
      <c r="F43" s="29" t="n"/>
      <c r="G43" s="28">
        <f>IF(A43="","",IFERROR(GOOGLEFINANCE(A43),F43))</f>
        <v/>
      </c>
      <c r="H43" s="30">
        <f>IF(A43="",0,D43*G43)</f>
        <v/>
      </c>
      <c r="I43" s="30">
        <f>IF(A43="",0,D43*E43)</f>
        <v/>
      </c>
      <c r="J43" s="30">
        <f>IF(A43="",0,H43-I43)</f>
        <v/>
      </c>
      <c r="K43" s="31">
        <f>IF(I43=0,"",J43/I43)</f>
        <v/>
      </c>
      <c r="L43" s="31">
        <f>IF(Equity=0,"",H43/Equity)</f>
        <v/>
      </c>
      <c r="M43" s="32" t="n"/>
      <c r="N43" s="30">
        <f>IF(OR(A43="",M43=""),"",M43*Equity-H43)</f>
        <v/>
      </c>
      <c r="O43" s="29" t="n"/>
      <c r="P43" s="29" t="n"/>
      <c r="Q43" s="31">
        <f>IF(OR(A43="",P43="",G43=0),"",(G43-P43)/G43)</f>
        <v/>
      </c>
      <c r="R43" s="33">
        <f>IF(OR(A43="",O43="",E43&lt;=O43),"",(G43-E43)/(E43-O43))</f>
        <v/>
      </c>
      <c r="S43" s="30">
        <f>IF(OR(A43="",P43=""),0,MAX(0,E43-P43)*D43)</f>
        <v/>
      </c>
      <c r="T43" s="31">
        <f>IF(Equity=0,"",S43/Equity)</f>
        <v/>
      </c>
      <c r="U43" s="30">
        <f>IF(A43="",0,SUMIFS('עסקאות'!$J$5:$J$1004,'עסקאות'!$C$5:$C$1004,A43))</f>
        <v/>
      </c>
      <c r="V43" s="30">
        <f>IF(A43="",0,SUMIFS('עסקאות'!$F$5:$F$1004,'עסקאות'!$C$5:$C$1004,A43,'עסקאות'!$B$5:$B$1004,"דיבידנד"))</f>
        <v/>
      </c>
      <c r="W43" s="34">
        <f>IF(OR(A43="",D43&lt;=0),"",IF(P43="","🟠 אין סטופ",IF(G43&lt;=P43,"🔴 סטופ נפגע",IF(Q43&lt;NearStop,"🟠 קרוב לסטופ",IF(AND(R43&lt;&gt;"",R43&gt;=PartialR),"🟢 מימוש חלקי",IF(AND(R43&lt;&gt;"",R43&gt;=1,P43&lt;E43),"🟡 הזז לאיזון",IF(T43&gt;RiskPct,"⚠️ סיכון חורג","✅ תקין")))))))</f>
        <v/>
      </c>
      <c r="X43" s="24">
        <f>IF(AND(W43&lt;&gt;"",W43&lt;&gt;"✅ תקין"),MAX($X$4:X42)+1,"")</f>
        <v/>
      </c>
    </row>
    <row r="44">
      <c r="A44" s="25" t="n"/>
      <c r="B44" s="26" t="n"/>
      <c r="C44" s="26" t="n"/>
      <c r="D44" s="27">
        <f>IF(A44="","",SUMIFS('עסקאות'!$D$5:$D$1004,'עסקאות'!$C$5:$C$1004,A44,'עסקאות'!$B$5:$B$1004,"קנייה")-SUMIFS('עסקאות'!$D$5:$D$1004,'עסקאות'!$C$5:$C$1004,A44,'עסקאות'!$B$5:$B$1004,"מכירה"))</f>
        <v/>
      </c>
      <c r="E44" s="28">
        <f>IF(A44="","",IFERROR(SUMIFS('עסקאות'!$I$5:$I$1004,'עסקאות'!$C$5:$C$1004,A44)/SUMIFS('עסקאות'!$D$5:$D$1004,'עסקאות'!$C$5:$C$1004,A44,'עסקאות'!$B$5:$B$1004,"קנייה"),0))</f>
        <v/>
      </c>
      <c r="F44" s="29" t="n"/>
      <c r="G44" s="28">
        <f>IF(A44="","",IFERROR(GOOGLEFINANCE(A44),F44))</f>
        <v/>
      </c>
      <c r="H44" s="30">
        <f>IF(A44="",0,D44*G44)</f>
        <v/>
      </c>
      <c r="I44" s="30">
        <f>IF(A44="",0,D44*E44)</f>
        <v/>
      </c>
      <c r="J44" s="30">
        <f>IF(A44="",0,H44-I44)</f>
        <v/>
      </c>
      <c r="K44" s="31">
        <f>IF(I44=0,"",J44/I44)</f>
        <v/>
      </c>
      <c r="L44" s="31">
        <f>IF(Equity=0,"",H44/Equity)</f>
        <v/>
      </c>
      <c r="M44" s="32" t="n"/>
      <c r="N44" s="30">
        <f>IF(OR(A44="",M44=""),"",M44*Equity-H44)</f>
        <v/>
      </c>
      <c r="O44" s="29" t="n"/>
      <c r="P44" s="29" t="n"/>
      <c r="Q44" s="31">
        <f>IF(OR(A44="",P44="",G44=0),"",(G44-P44)/G44)</f>
        <v/>
      </c>
      <c r="R44" s="33">
        <f>IF(OR(A44="",O44="",E44&lt;=O44),"",(G44-E44)/(E44-O44))</f>
        <v/>
      </c>
      <c r="S44" s="30">
        <f>IF(OR(A44="",P44=""),0,MAX(0,E44-P44)*D44)</f>
        <v/>
      </c>
      <c r="T44" s="31">
        <f>IF(Equity=0,"",S44/Equity)</f>
        <v/>
      </c>
      <c r="U44" s="30">
        <f>IF(A44="",0,SUMIFS('עסקאות'!$J$5:$J$1004,'עסקאות'!$C$5:$C$1004,A44))</f>
        <v/>
      </c>
      <c r="V44" s="30">
        <f>IF(A44="",0,SUMIFS('עסקאות'!$F$5:$F$1004,'עסקאות'!$C$5:$C$1004,A44,'עסקאות'!$B$5:$B$1004,"דיבידנד"))</f>
        <v/>
      </c>
      <c r="W44" s="34">
        <f>IF(OR(A44="",D44&lt;=0),"",IF(P44="","🟠 אין סטופ",IF(G44&lt;=P44,"🔴 סטופ נפגע",IF(Q44&lt;NearStop,"🟠 קרוב לסטופ",IF(AND(R44&lt;&gt;"",R44&gt;=PartialR),"🟢 מימוש חלקי",IF(AND(R44&lt;&gt;"",R44&gt;=1,P44&lt;E44),"🟡 הזז לאיזון",IF(T44&gt;RiskPct,"⚠️ סיכון חורג","✅ תקין")))))))</f>
        <v/>
      </c>
      <c r="X44" s="24">
        <f>IF(AND(W44&lt;&gt;"",W44&lt;&gt;"✅ תקין"),MAX($X$4:X43)+1,"")</f>
        <v/>
      </c>
    </row>
    <row r="45">
      <c r="A45" s="25" t="n"/>
      <c r="B45" s="26" t="n"/>
      <c r="C45" s="26" t="n"/>
      <c r="D45" s="27">
        <f>IF(A45="","",SUMIFS('עסקאות'!$D$5:$D$1004,'עסקאות'!$C$5:$C$1004,A45,'עסקאות'!$B$5:$B$1004,"קנייה")-SUMIFS('עסקאות'!$D$5:$D$1004,'עסקאות'!$C$5:$C$1004,A45,'עסקאות'!$B$5:$B$1004,"מכירה"))</f>
        <v/>
      </c>
      <c r="E45" s="28">
        <f>IF(A45="","",IFERROR(SUMIFS('עסקאות'!$I$5:$I$1004,'עסקאות'!$C$5:$C$1004,A45)/SUMIFS('עסקאות'!$D$5:$D$1004,'עסקאות'!$C$5:$C$1004,A45,'עסקאות'!$B$5:$B$1004,"קנייה"),0))</f>
        <v/>
      </c>
      <c r="F45" s="29" t="n"/>
      <c r="G45" s="28">
        <f>IF(A45="","",IFERROR(GOOGLEFINANCE(A45),F45))</f>
        <v/>
      </c>
      <c r="H45" s="30">
        <f>IF(A45="",0,D45*G45)</f>
        <v/>
      </c>
      <c r="I45" s="30">
        <f>IF(A45="",0,D45*E45)</f>
        <v/>
      </c>
      <c r="J45" s="30">
        <f>IF(A45="",0,H45-I45)</f>
        <v/>
      </c>
      <c r="K45" s="31">
        <f>IF(I45=0,"",J45/I45)</f>
        <v/>
      </c>
      <c r="L45" s="31">
        <f>IF(Equity=0,"",H45/Equity)</f>
        <v/>
      </c>
      <c r="M45" s="32" t="n"/>
      <c r="N45" s="30">
        <f>IF(OR(A45="",M45=""),"",M45*Equity-H45)</f>
        <v/>
      </c>
      <c r="O45" s="29" t="n"/>
      <c r="P45" s="29" t="n"/>
      <c r="Q45" s="31">
        <f>IF(OR(A45="",P45="",G45=0),"",(G45-P45)/G45)</f>
        <v/>
      </c>
      <c r="R45" s="33">
        <f>IF(OR(A45="",O45="",E45&lt;=O45),"",(G45-E45)/(E45-O45))</f>
        <v/>
      </c>
      <c r="S45" s="30">
        <f>IF(OR(A45="",P45=""),0,MAX(0,E45-P45)*D45)</f>
        <v/>
      </c>
      <c r="T45" s="31">
        <f>IF(Equity=0,"",S45/Equity)</f>
        <v/>
      </c>
      <c r="U45" s="30">
        <f>IF(A45="",0,SUMIFS('עסקאות'!$J$5:$J$1004,'עסקאות'!$C$5:$C$1004,A45))</f>
        <v/>
      </c>
      <c r="V45" s="30">
        <f>IF(A45="",0,SUMIFS('עסקאות'!$F$5:$F$1004,'עסקאות'!$C$5:$C$1004,A45,'עסקאות'!$B$5:$B$1004,"דיבידנד"))</f>
        <v/>
      </c>
      <c r="W45" s="34">
        <f>IF(OR(A45="",D45&lt;=0),"",IF(P45="","🟠 אין סטופ",IF(G45&lt;=P45,"🔴 סטופ נפגע",IF(Q45&lt;NearStop,"🟠 קרוב לסטופ",IF(AND(R45&lt;&gt;"",R45&gt;=PartialR),"🟢 מימוש חלקי",IF(AND(R45&lt;&gt;"",R45&gt;=1,P45&lt;E45),"🟡 הזז לאיזון",IF(T45&gt;RiskPct,"⚠️ סיכון חורג","✅ תקין")))))))</f>
        <v/>
      </c>
      <c r="X45" s="24">
        <f>IF(AND(W45&lt;&gt;"",W45&lt;&gt;"✅ תקין"),MAX($X$4:X44)+1,"")</f>
        <v/>
      </c>
    </row>
    <row r="46">
      <c r="A46" s="25" t="n"/>
      <c r="B46" s="26" t="n"/>
      <c r="C46" s="26" t="n"/>
      <c r="D46" s="27">
        <f>IF(A46="","",SUMIFS('עסקאות'!$D$5:$D$1004,'עסקאות'!$C$5:$C$1004,A46,'עסקאות'!$B$5:$B$1004,"קנייה")-SUMIFS('עסקאות'!$D$5:$D$1004,'עסקאות'!$C$5:$C$1004,A46,'עסקאות'!$B$5:$B$1004,"מכירה"))</f>
        <v/>
      </c>
      <c r="E46" s="28">
        <f>IF(A46="","",IFERROR(SUMIFS('עסקאות'!$I$5:$I$1004,'עסקאות'!$C$5:$C$1004,A46)/SUMIFS('עסקאות'!$D$5:$D$1004,'עסקאות'!$C$5:$C$1004,A46,'עסקאות'!$B$5:$B$1004,"קנייה"),0))</f>
        <v/>
      </c>
      <c r="F46" s="29" t="n"/>
      <c r="G46" s="28">
        <f>IF(A46="","",IFERROR(GOOGLEFINANCE(A46),F46))</f>
        <v/>
      </c>
      <c r="H46" s="30">
        <f>IF(A46="",0,D46*G46)</f>
        <v/>
      </c>
      <c r="I46" s="30">
        <f>IF(A46="",0,D46*E46)</f>
        <v/>
      </c>
      <c r="J46" s="30">
        <f>IF(A46="",0,H46-I46)</f>
        <v/>
      </c>
      <c r="K46" s="31">
        <f>IF(I46=0,"",J46/I46)</f>
        <v/>
      </c>
      <c r="L46" s="31">
        <f>IF(Equity=0,"",H46/Equity)</f>
        <v/>
      </c>
      <c r="M46" s="32" t="n"/>
      <c r="N46" s="30">
        <f>IF(OR(A46="",M46=""),"",M46*Equity-H46)</f>
        <v/>
      </c>
      <c r="O46" s="29" t="n"/>
      <c r="P46" s="29" t="n"/>
      <c r="Q46" s="31">
        <f>IF(OR(A46="",P46="",G46=0),"",(G46-P46)/G46)</f>
        <v/>
      </c>
      <c r="R46" s="33">
        <f>IF(OR(A46="",O46="",E46&lt;=O46),"",(G46-E46)/(E46-O46))</f>
        <v/>
      </c>
      <c r="S46" s="30">
        <f>IF(OR(A46="",P46=""),0,MAX(0,E46-P46)*D46)</f>
        <v/>
      </c>
      <c r="T46" s="31">
        <f>IF(Equity=0,"",S46/Equity)</f>
        <v/>
      </c>
      <c r="U46" s="30">
        <f>IF(A46="",0,SUMIFS('עסקאות'!$J$5:$J$1004,'עסקאות'!$C$5:$C$1004,A46))</f>
        <v/>
      </c>
      <c r="V46" s="30">
        <f>IF(A46="",0,SUMIFS('עסקאות'!$F$5:$F$1004,'עסקאות'!$C$5:$C$1004,A46,'עסקאות'!$B$5:$B$1004,"דיבידנד"))</f>
        <v/>
      </c>
      <c r="W46" s="34">
        <f>IF(OR(A46="",D46&lt;=0),"",IF(P46="","🟠 אין סטופ",IF(G46&lt;=P46,"🔴 סטופ נפגע",IF(Q46&lt;NearStop,"🟠 קרוב לסטופ",IF(AND(R46&lt;&gt;"",R46&gt;=PartialR),"🟢 מימוש חלקי",IF(AND(R46&lt;&gt;"",R46&gt;=1,P46&lt;E46),"🟡 הזז לאיזון",IF(T46&gt;RiskPct,"⚠️ סיכון חורג","✅ תקין")))))))</f>
        <v/>
      </c>
      <c r="X46" s="24">
        <f>IF(AND(W46&lt;&gt;"",W46&lt;&gt;"✅ תקין"),MAX($X$4:X45)+1,"")</f>
        <v/>
      </c>
    </row>
    <row r="47">
      <c r="A47" s="25" t="n"/>
      <c r="B47" s="26" t="n"/>
      <c r="C47" s="26" t="n"/>
      <c r="D47" s="27">
        <f>IF(A47="","",SUMIFS('עסקאות'!$D$5:$D$1004,'עסקאות'!$C$5:$C$1004,A47,'עסקאות'!$B$5:$B$1004,"קנייה")-SUMIFS('עסקאות'!$D$5:$D$1004,'עסקאות'!$C$5:$C$1004,A47,'עסקאות'!$B$5:$B$1004,"מכירה"))</f>
        <v/>
      </c>
      <c r="E47" s="28">
        <f>IF(A47="","",IFERROR(SUMIFS('עסקאות'!$I$5:$I$1004,'עסקאות'!$C$5:$C$1004,A47)/SUMIFS('עסקאות'!$D$5:$D$1004,'עסקאות'!$C$5:$C$1004,A47,'עסקאות'!$B$5:$B$1004,"קנייה"),0))</f>
        <v/>
      </c>
      <c r="F47" s="29" t="n"/>
      <c r="G47" s="28">
        <f>IF(A47="","",IFERROR(GOOGLEFINANCE(A47),F47))</f>
        <v/>
      </c>
      <c r="H47" s="30">
        <f>IF(A47="",0,D47*G47)</f>
        <v/>
      </c>
      <c r="I47" s="30">
        <f>IF(A47="",0,D47*E47)</f>
        <v/>
      </c>
      <c r="J47" s="30">
        <f>IF(A47="",0,H47-I47)</f>
        <v/>
      </c>
      <c r="K47" s="31">
        <f>IF(I47=0,"",J47/I47)</f>
        <v/>
      </c>
      <c r="L47" s="31">
        <f>IF(Equity=0,"",H47/Equity)</f>
        <v/>
      </c>
      <c r="M47" s="32" t="n"/>
      <c r="N47" s="30">
        <f>IF(OR(A47="",M47=""),"",M47*Equity-H47)</f>
        <v/>
      </c>
      <c r="O47" s="29" t="n"/>
      <c r="P47" s="29" t="n"/>
      <c r="Q47" s="31">
        <f>IF(OR(A47="",P47="",G47=0),"",(G47-P47)/G47)</f>
        <v/>
      </c>
      <c r="R47" s="33">
        <f>IF(OR(A47="",O47="",E47&lt;=O47),"",(G47-E47)/(E47-O47))</f>
        <v/>
      </c>
      <c r="S47" s="30">
        <f>IF(OR(A47="",P47=""),0,MAX(0,E47-P47)*D47)</f>
        <v/>
      </c>
      <c r="T47" s="31">
        <f>IF(Equity=0,"",S47/Equity)</f>
        <v/>
      </c>
      <c r="U47" s="30">
        <f>IF(A47="",0,SUMIFS('עסקאות'!$J$5:$J$1004,'עסקאות'!$C$5:$C$1004,A47))</f>
        <v/>
      </c>
      <c r="V47" s="30">
        <f>IF(A47="",0,SUMIFS('עסקאות'!$F$5:$F$1004,'עסקאות'!$C$5:$C$1004,A47,'עסקאות'!$B$5:$B$1004,"דיבידנד"))</f>
        <v/>
      </c>
      <c r="W47" s="34">
        <f>IF(OR(A47="",D47&lt;=0),"",IF(P47="","🟠 אין סטופ",IF(G47&lt;=P47,"🔴 סטופ נפגע",IF(Q47&lt;NearStop,"🟠 קרוב לסטופ",IF(AND(R47&lt;&gt;"",R47&gt;=PartialR),"🟢 מימוש חלקי",IF(AND(R47&lt;&gt;"",R47&gt;=1,P47&lt;E47),"🟡 הזז לאיזון",IF(T47&gt;RiskPct,"⚠️ סיכון חורג","✅ תקין")))))))</f>
        <v/>
      </c>
      <c r="X47" s="24">
        <f>IF(AND(W47&lt;&gt;"",W47&lt;&gt;"✅ תקין"),MAX($X$4:X46)+1,"")</f>
        <v/>
      </c>
    </row>
    <row r="48">
      <c r="A48" s="25" t="n"/>
      <c r="B48" s="26" t="n"/>
      <c r="C48" s="26" t="n"/>
      <c r="D48" s="27">
        <f>IF(A48="","",SUMIFS('עסקאות'!$D$5:$D$1004,'עסקאות'!$C$5:$C$1004,A48,'עסקאות'!$B$5:$B$1004,"קנייה")-SUMIFS('עסקאות'!$D$5:$D$1004,'עסקאות'!$C$5:$C$1004,A48,'עסקאות'!$B$5:$B$1004,"מכירה"))</f>
        <v/>
      </c>
      <c r="E48" s="28">
        <f>IF(A48="","",IFERROR(SUMIFS('עסקאות'!$I$5:$I$1004,'עסקאות'!$C$5:$C$1004,A48)/SUMIFS('עסקאות'!$D$5:$D$1004,'עסקאות'!$C$5:$C$1004,A48,'עסקאות'!$B$5:$B$1004,"קנייה"),0))</f>
        <v/>
      </c>
      <c r="F48" s="29" t="n"/>
      <c r="G48" s="28">
        <f>IF(A48="","",IFERROR(GOOGLEFINANCE(A48),F48))</f>
        <v/>
      </c>
      <c r="H48" s="30">
        <f>IF(A48="",0,D48*G48)</f>
        <v/>
      </c>
      <c r="I48" s="30">
        <f>IF(A48="",0,D48*E48)</f>
        <v/>
      </c>
      <c r="J48" s="30">
        <f>IF(A48="",0,H48-I48)</f>
        <v/>
      </c>
      <c r="K48" s="31">
        <f>IF(I48=0,"",J48/I48)</f>
        <v/>
      </c>
      <c r="L48" s="31">
        <f>IF(Equity=0,"",H48/Equity)</f>
        <v/>
      </c>
      <c r="M48" s="32" t="n"/>
      <c r="N48" s="30">
        <f>IF(OR(A48="",M48=""),"",M48*Equity-H48)</f>
        <v/>
      </c>
      <c r="O48" s="29" t="n"/>
      <c r="P48" s="29" t="n"/>
      <c r="Q48" s="31">
        <f>IF(OR(A48="",P48="",G48=0),"",(G48-P48)/G48)</f>
        <v/>
      </c>
      <c r="R48" s="33">
        <f>IF(OR(A48="",O48="",E48&lt;=O48),"",(G48-E48)/(E48-O48))</f>
        <v/>
      </c>
      <c r="S48" s="30">
        <f>IF(OR(A48="",P48=""),0,MAX(0,E48-P48)*D48)</f>
        <v/>
      </c>
      <c r="T48" s="31">
        <f>IF(Equity=0,"",S48/Equity)</f>
        <v/>
      </c>
      <c r="U48" s="30">
        <f>IF(A48="",0,SUMIFS('עסקאות'!$J$5:$J$1004,'עסקאות'!$C$5:$C$1004,A48))</f>
        <v/>
      </c>
      <c r="V48" s="30">
        <f>IF(A48="",0,SUMIFS('עסקאות'!$F$5:$F$1004,'עסקאות'!$C$5:$C$1004,A48,'עסקאות'!$B$5:$B$1004,"דיבידנד"))</f>
        <v/>
      </c>
      <c r="W48" s="34">
        <f>IF(OR(A48="",D48&lt;=0),"",IF(P48="","🟠 אין סטופ",IF(G48&lt;=P48,"🔴 סטופ נפגע",IF(Q48&lt;NearStop,"🟠 קרוב לסטופ",IF(AND(R48&lt;&gt;"",R48&gt;=PartialR),"🟢 מימוש חלקי",IF(AND(R48&lt;&gt;"",R48&gt;=1,P48&lt;E48),"🟡 הזז לאיזון",IF(T48&gt;RiskPct,"⚠️ סיכון חורג","✅ תקין")))))))</f>
        <v/>
      </c>
      <c r="X48" s="24">
        <f>IF(AND(W48&lt;&gt;"",W48&lt;&gt;"✅ תקין"),MAX($X$4:X47)+1,"")</f>
        <v/>
      </c>
    </row>
    <row r="49">
      <c r="A49" s="25" t="n"/>
      <c r="B49" s="26" t="n"/>
      <c r="C49" s="26" t="n"/>
      <c r="D49" s="27">
        <f>IF(A49="","",SUMIFS('עסקאות'!$D$5:$D$1004,'עסקאות'!$C$5:$C$1004,A49,'עסקאות'!$B$5:$B$1004,"קנייה")-SUMIFS('עסקאות'!$D$5:$D$1004,'עסקאות'!$C$5:$C$1004,A49,'עסקאות'!$B$5:$B$1004,"מכירה"))</f>
        <v/>
      </c>
      <c r="E49" s="28">
        <f>IF(A49="","",IFERROR(SUMIFS('עסקאות'!$I$5:$I$1004,'עסקאות'!$C$5:$C$1004,A49)/SUMIFS('עסקאות'!$D$5:$D$1004,'עסקאות'!$C$5:$C$1004,A49,'עסקאות'!$B$5:$B$1004,"קנייה"),0))</f>
        <v/>
      </c>
      <c r="F49" s="29" t="n"/>
      <c r="G49" s="28">
        <f>IF(A49="","",IFERROR(GOOGLEFINANCE(A49),F49))</f>
        <v/>
      </c>
      <c r="H49" s="30">
        <f>IF(A49="",0,D49*G49)</f>
        <v/>
      </c>
      <c r="I49" s="30">
        <f>IF(A49="",0,D49*E49)</f>
        <v/>
      </c>
      <c r="J49" s="30">
        <f>IF(A49="",0,H49-I49)</f>
        <v/>
      </c>
      <c r="K49" s="31">
        <f>IF(I49=0,"",J49/I49)</f>
        <v/>
      </c>
      <c r="L49" s="31">
        <f>IF(Equity=0,"",H49/Equity)</f>
        <v/>
      </c>
      <c r="M49" s="32" t="n"/>
      <c r="N49" s="30">
        <f>IF(OR(A49="",M49=""),"",M49*Equity-H49)</f>
        <v/>
      </c>
      <c r="O49" s="29" t="n"/>
      <c r="P49" s="29" t="n"/>
      <c r="Q49" s="31">
        <f>IF(OR(A49="",P49="",G49=0),"",(G49-P49)/G49)</f>
        <v/>
      </c>
      <c r="R49" s="33">
        <f>IF(OR(A49="",O49="",E49&lt;=O49),"",(G49-E49)/(E49-O49))</f>
        <v/>
      </c>
      <c r="S49" s="30">
        <f>IF(OR(A49="",P49=""),0,MAX(0,E49-P49)*D49)</f>
        <v/>
      </c>
      <c r="T49" s="31">
        <f>IF(Equity=0,"",S49/Equity)</f>
        <v/>
      </c>
      <c r="U49" s="30">
        <f>IF(A49="",0,SUMIFS('עסקאות'!$J$5:$J$1004,'עסקאות'!$C$5:$C$1004,A49))</f>
        <v/>
      </c>
      <c r="V49" s="30">
        <f>IF(A49="",0,SUMIFS('עסקאות'!$F$5:$F$1004,'עסקאות'!$C$5:$C$1004,A49,'עסקאות'!$B$5:$B$1004,"דיבידנד"))</f>
        <v/>
      </c>
      <c r="W49" s="34">
        <f>IF(OR(A49="",D49&lt;=0),"",IF(P49="","🟠 אין סטופ",IF(G49&lt;=P49,"🔴 סטופ נפגע",IF(Q49&lt;NearStop,"🟠 קרוב לסטופ",IF(AND(R49&lt;&gt;"",R49&gt;=PartialR),"🟢 מימוש חלקי",IF(AND(R49&lt;&gt;"",R49&gt;=1,P49&lt;E49),"🟡 הזז לאיזון",IF(T49&gt;RiskPct,"⚠️ סיכון חורג","✅ תקין")))))))</f>
        <v/>
      </c>
      <c r="X49" s="24">
        <f>IF(AND(W49&lt;&gt;"",W49&lt;&gt;"✅ תקין"),MAX($X$4:X48)+1,"")</f>
        <v/>
      </c>
    </row>
    <row r="50">
      <c r="A50" s="25" t="n"/>
      <c r="B50" s="26" t="n"/>
      <c r="C50" s="26" t="n"/>
      <c r="D50" s="27">
        <f>IF(A50="","",SUMIFS('עסקאות'!$D$5:$D$1004,'עסקאות'!$C$5:$C$1004,A50,'עסקאות'!$B$5:$B$1004,"קנייה")-SUMIFS('עסקאות'!$D$5:$D$1004,'עסקאות'!$C$5:$C$1004,A50,'עסקאות'!$B$5:$B$1004,"מכירה"))</f>
        <v/>
      </c>
      <c r="E50" s="28">
        <f>IF(A50="","",IFERROR(SUMIFS('עסקאות'!$I$5:$I$1004,'עסקאות'!$C$5:$C$1004,A50)/SUMIFS('עסקאות'!$D$5:$D$1004,'עסקאות'!$C$5:$C$1004,A50,'עסקאות'!$B$5:$B$1004,"קנייה"),0))</f>
        <v/>
      </c>
      <c r="F50" s="29" t="n"/>
      <c r="G50" s="28">
        <f>IF(A50="","",IFERROR(GOOGLEFINANCE(A50),F50))</f>
        <v/>
      </c>
      <c r="H50" s="30">
        <f>IF(A50="",0,D50*G50)</f>
        <v/>
      </c>
      <c r="I50" s="30">
        <f>IF(A50="",0,D50*E50)</f>
        <v/>
      </c>
      <c r="J50" s="30">
        <f>IF(A50="",0,H50-I50)</f>
        <v/>
      </c>
      <c r="K50" s="31">
        <f>IF(I50=0,"",J50/I50)</f>
        <v/>
      </c>
      <c r="L50" s="31">
        <f>IF(Equity=0,"",H50/Equity)</f>
        <v/>
      </c>
      <c r="M50" s="32" t="n"/>
      <c r="N50" s="30">
        <f>IF(OR(A50="",M50=""),"",M50*Equity-H50)</f>
        <v/>
      </c>
      <c r="O50" s="29" t="n"/>
      <c r="P50" s="29" t="n"/>
      <c r="Q50" s="31">
        <f>IF(OR(A50="",P50="",G50=0),"",(G50-P50)/G50)</f>
        <v/>
      </c>
      <c r="R50" s="33">
        <f>IF(OR(A50="",O50="",E50&lt;=O50),"",(G50-E50)/(E50-O50))</f>
        <v/>
      </c>
      <c r="S50" s="30">
        <f>IF(OR(A50="",P50=""),0,MAX(0,E50-P50)*D50)</f>
        <v/>
      </c>
      <c r="T50" s="31">
        <f>IF(Equity=0,"",S50/Equity)</f>
        <v/>
      </c>
      <c r="U50" s="30">
        <f>IF(A50="",0,SUMIFS('עסקאות'!$J$5:$J$1004,'עסקאות'!$C$5:$C$1004,A50))</f>
        <v/>
      </c>
      <c r="V50" s="30">
        <f>IF(A50="",0,SUMIFS('עסקאות'!$F$5:$F$1004,'עסקאות'!$C$5:$C$1004,A50,'עסקאות'!$B$5:$B$1004,"דיבידנד"))</f>
        <v/>
      </c>
      <c r="W50" s="34">
        <f>IF(OR(A50="",D50&lt;=0),"",IF(P50="","🟠 אין סטופ",IF(G50&lt;=P50,"🔴 סטופ נפגע",IF(Q50&lt;NearStop,"🟠 קרוב לסטופ",IF(AND(R50&lt;&gt;"",R50&gt;=PartialR),"🟢 מימוש חלקי",IF(AND(R50&lt;&gt;"",R50&gt;=1,P50&lt;E50),"🟡 הזז לאיזון",IF(T50&gt;RiskPct,"⚠️ סיכון חורג","✅ תקין")))))))</f>
        <v/>
      </c>
      <c r="X50" s="24">
        <f>IF(AND(W50&lt;&gt;"",W50&lt;&gt;"✅ תקין"),MAX($X$4:X49)+1,"")</f>
        <v/>
      </c>
    </row>
    <row r="51">
      <c r="A51" s="25" t="n"/>
      <c r="B51" s="26" t="n"/>
      <c r="C51" s="26" t="n"/>
      <c r="D51" s="27">
        <f>IF(A51="","",SUMIFS('עסקאות'!$D$5:$D$1004,'עסקאות'!$C$5:$C$1004,A51,'עסקאות'!$B$5:$B$1004,"קנייה")-SUMIFS('עסקאות'!$D$5:$D$1004,'עסקאות'!$C$5:$C$1004,A51,'עסקאות'!$B$5:$B$1004,"מכירה"))</f>
        <v/>
      </c>
      <c r="E51" s="28">
        <f>IF(A51="","",IFERROR(SUMIFS('עסקאות'!$I$5:$I$1004,'עסקאות'!$C$5:$C$1004,A51)/SUMIFS('עסקאות'!$D$5:$D$1004,'עסקאות'!$C$5:$C$1004,A51,'עסקאות'!$B$5:$B$1004,"קנייה"),0))</f>
        <v/>
      </c>
      <c r="F51" s="29" t="n"/>
      <c r="G51" s="28">
        <f>IF(A51="","",IFERROR(GOOGLEFINANCE(A51),F51))</f>
        <v/>
      </c>
      <c r="H51" s="30">
        <f>IF(A51="",0,D51*G51)</f>
        <v/>
      </c>
      <c r="I51" s="30">
        <f>IF(A51="",0,D51*E51)</f>
        <v/>
      </c>
      <c r="J51" s="30">
        <f>IF(A51="",0,H51-I51)</f>
        <v/>
      </c>
      <c r="K51" s="31">
        <f>IF(I51=0,"",J51/I51)</f>
        <v/>
      </c>
      <c r="L51" s="31">
        <f>IF(Equity=0,"",H51/Equity)</f>
        <v/>
      </c>
      <c r="M51" s="32" t="n"/>
      <c r="N51" s="30">
        <f>IF(OR(A51="",M51=""),"",M51*Equity-H51)</f>
        <v/>
      </c>
      <c r="O51" s="29" t="n"/>
      <c r="P51" s="29" t="n"/>
      <c r="Q51" s="31">
        <f>IF(OR(A51="",P51="",G51=0),"",(G51-P51)/G51)</f>
        <v/>
      </c>
      <c r="R51" s="33">
        <f>IF(OR(A51="",O51="",E51&lt;=O51),"",(G51-E51)/(E51-O51))</f>
        <v/>
      </c>
      <c r="S51" s="30">
        <f>IF(OR(A51="",P51=""),0,MAX(0,E51-P51)*D51)</f>
        <v/>
      </c>
      <c r="T51" s="31">
        <f>IF(Equity=0,"",S51/Equity)</f>
        <v/>
      </c>
      <c r="U51" s="30">
        <f>IF(A51="",0,SUMIFS('עסקאות'!$J$5:$J$1004,'עסקאות'!$C$5:$C$1004,A51))</f>
        <v/>
      </c>
      <c r="V51" s="30">
        <f>IF(A51="",0,SUMIFS('עסקאות'!$F$5:$F$1004,'עסקאות'!$C$5:$C$1004,A51,'עסקאות'!$B$5:$B$1004,"דיבידנד"))</f>
        <v/>
      </c>
      <c r="W51" s="34">
        <f>IF(OR(A51="",D51&lt;=0),"",IF(P51="","🟠 אין סטופ",IF(G51&lt;=P51,"🔴 סטופ נפגע",IF(Q51&lt;NearStop,"🟠 קרוב לסטופ",IF(AND(R51&lt;&gt;"",R51&gt;=PartialR),"🟢 מימוש חלקי",IF(AND(R51&lt;&gt;"",R51&gt;=1,P51&lt;E51),"🟡 הזז לאיזון",IF(T51&gt;RiskPct,"⚠️ סיכון חורג","✅ תקין")))))))</f>
        <v/>
      </c>
      <c r="X51" s="24">
        <f>IF(AND(W51&lt;&gt;"",W51&lt;&gt;"✅ תקין"),MAX($X$4:X50)+1,"")</f>
        <v/>
      </c>
    </row>
    <row r="52">
      <c r="A52" s="25" t="n"/>
      <c r="B52" s="26" t="n"/>
      <c r="C52" s="26" t="n"/>
      <c r="D52" s="27">
        <f>IF(A52="","",SUMIFS('עסקאות'!$D$5:$D$1004,'עסקאות'!$C$5:$C$1004,A52,'עסקאות'!$B$5:$B$1004,"קנייה")-SUMIFS('עסקאות'!$D$5:$D$1004,'עסקאות'!$C$5:$C$1004,A52,'עסקאות'!$B$5:$B$1004,"מכירה"))</f>
        <v/>
      </c>
      <c r="E52" s="28">
        <f>IF(A52="","",IFERROR(SUMIFS('עסקאות'!$I$5:$I$1004,'עסקאות'!$C$5:$C$1004,A52)/SUMIFS('עסקאות'!$D$5:$D$1004,'עסקאות'!$C$5:$C$1004,A52,'עסקאות'!$B$5:$B$1004,"קנייה"),0))</f>
        <v/>
      </c>
      <c r="F52" s="29" t="n"/>
      <c r="G52" s="28">
        <f>IF(A52="","",IFERROR(GOOGLEFINANCE(A52),F52))</f>
        <v/>
      </c>
      <c r="H52" s="30">
        <f>IF(A52="",0,D52*G52)</f>
        <v/>
      </c>
      <c r="I52" s="30">
        <f>IF(A52="",0,D52*E52)</f>
        <v/>
      </c>
      <c r="J52" s="30">
        <f>IF(A52="",0,H52-I52)</f>
        <v/>
      </c>
      <c r="K52" s="31">
        <f>IF(I52=0,"",J52/I52)</f>
        <v/>
      </c>
      <c r="L52" s="31">
        <f>IF(Equity=0,"",H52/Equity)</f>
        <v/>
      </c>
      <c r="M52" s="32" t="n"/>
      <c r="N52" s="30">
        <f>IF(OR(A52="",M52=""),"",M52*Equity-H52)</f>
        <v/>
      </c>
      <c r="O52" s="29" t="n"/>
      <c r="P52" s="29" t="n"/>
      <c r="Q52" s="31">
        <f>IF(OR(A52="",P52="",G52=0),"",(G52-P52)/G52)</f>
        <v/>
      </c>
      <c r="R52" s="33">
        <f>IF(OR(A52="",O52="",E52&lt;=O52),"",(G52-E52)/(E52-O52))</f>
        <v/>
      </c>
      <c r="S52" s="30">
        <f>IF(OR(A52="",P52=""),0,MAX(0,E52-P52)*D52)</f>
        <v/>
      </c>
      <c r="T52" s="31">
        <f>IF(Equity=0,"",S52/Equity)</f>
        <v/>
      </c>
      <c r="U52" s="30">
        <f>IF(A52="",0,SUMIFS('עסקאות'!$J$5:$J$1004,'עסקאות'!$C$5:$C$1004,A52))</f>
        <v/>
      </c>
      <c r="V52" s="30">
        <f>IF(A52="",0,SUMIFS('עסקאות'!$F$5:$F$1004,'עסקאות'!$C$5:$C$1004,A52,'עסקאות'!$B$5:$B$1004,"דיבידנד"))</f>
        <v/>
      </c>
      <c r="W52" s="34">
        <f>IF(OR(A52="",D52&lt;=0),"",IF(P52="","🟠 אין סטופ",IF(G52&lt;=P52,"🔴 סטופ נפגע",IF(Q52&lt;NearStop,"🟠 קרוב לסטופ",IF(AND(R52&lt;&gt;"",R52&gt;=PartialR),"🟢 מימוש חלקי",IF(AND(R52&lt;&gt;"",R52&gt;=1,P52&lt;E52),"🟡 הזז לאיזון",IF(T52&gt;RiskPct,"⚠️ סיכון חורג","✅ תקין")))))))</f>
        <v/>
      </c>
      <c r="X52" s="24">
        <f>IF(AND(W52&lt;&gt;"",W52&lt;&gt;"✅ תקין"),MAX($X$4:X51)+1,"")</f>
        <v/>
      </c>
    </row>
    <row r="53">
      <c r="A53" s="25" t="n"/>
      <c r="B53" s="26" t="n"/>
      <c r="C53" s="26" t="n"/>
      <c r="D53" s="27">
        <f>IF(A53="","",SUMIFS('עסקאות'!$D$5:$D$1004,'עסקאות'!$C$5:$C$1004,A53,'עסקאות'!$B$5:$B$1004,"קנייה")-SUMIFS('עסקאות'!$D$5:$D$1004,'עסקאות'!$C$5:$C$1004,A53,'עסקאות'!$B$5:$B$1004,"מכירה"))</f>
        <v/>
      </c>
      <c r="E53" s="28">
        <f>IF(A53="","",IFERROR(SUMIFS('עסקאות'!$I$5:$I$1004,'עסקאות'!$C$5:$C$1004,A53)/SUMIFS('עסקאות'!$D$5:$D$1004,'עסקאות'!$C$5:$C$1004,A53,'עסקאות'!$B$5:$B$1004,"קנייה"),0))</f>
        <v/>
      </c>
      <c r="F53" s="29" t="n"/>
      <c r="G53" s="28">
        <f>IF(A53="","",IFERROR(GOOGLEFINANCE(A53),F53))</f>
        <v/>
      </c>
      <c r="H53" s="30">
        <f>IF(A53="",0,D53*G53)</f>
        <v/>
      </c>
      <c r="I53" s="30">
        <f>IF(A53="",0,D53*E53)</f>
        <v/>
      </c>
      <c r="J53" s="30">
        <f>IF(A53="",0,H53-I53)</f>
        <v/>
      </c>
      <c r="K53" s="31">
        <f>IF(I53=0,"",J53/I53)</f>
        <v/>
      </c>
      <c r="L53" s="31">
        <f>IF(Equity=0,"",H53/Equity)</f>
        <v/>
      </c>
      <c r="M53" s="32" t="n"/>
      <c r="N53" s="30">
        <f>IF(OR(A53="",M53=""),"",M53*Equity-H53)</f>
        <v/>
      </c>
      <c r="O53" s="29" t="n"/>
      <c r="P53" s="29" t="n"/>
      <c r="Q53" s="31">
        <f>IF(OR(A53="",P53="",G53=0),"",(G53-P53)/G53)</f>
        <v/>
      </c>
      <c r="R53" s="33">
        <f>IF(OR(A53="",O53="",E53&lt;=O53),"",(G53-E53)/(E53-O53))</f>
        <v/>
      </c>
      <c r="S53" s="30">
        <f>IF(OR(A53="",P53=""),0,MAX(0,E53-P53)*D53)</f>
        <v/>
      </c>
      <c r="T53" s="31">
        <f>IF(Equity=0,"",S53/Equity)</f>
        <v/>
      </c>
      <c r="U53" s="30">
        <f>IF(A53="",0,SUMIFS('עסקאות'!$J$5:$J$1004,'עסקאות'!$C$5:$C$1004,A53))</f>
        <v/>
      </c>
      <c r="V53" s="30">
        <f>IF(A53="",0,SUMIFS('עסקאות'!$F$5:$F$1004,'עסקאות'!$C$5:$C$1004,A53,'עסקאות'!$B$5:$B$1004,"דיבידנד"))</f>
        <v/>
      </c>
      <c r="W53" s="34">
        <f>IF(OR(A53="",D53&lt;=0),"",IF(P53="","🟠 אין סטופ",IF(G53&lt;=P53,"🔴 סטופ נפגע",IF(Q53&lt;NearStop,"🟠 קרוב לסטופ",IF(AND(R53&lt;&gt;"",R53&gt;=PartialR),"🟢 מימוש חלקי",IF(AND(R53&lt;&gt;"",R53&gt;=1,P53&lt;E53),"🟡 הזז לאיזון",IF(T53&gt;RiskPct,"⚠️ סיכון חורג","✅ תקין")))))))</f>
        <v/>
      </c>
      <c r="X53" s="24">
        <f>IF(AND(W53&lt;&gt;"",W53&lt;&gt;"✅ תקין"),MAX($X$4:X52)+1,"")</f>
        <v/>
      </c>
    </row>
    <row r="54">
      <c r="A54" s="25" t="n"/>
      <c r="B54" s="26" t="n"/>
      <c r="C54" s="26" t="n"/>
      <c r="D54" s="27">
        <f>IF(A54="","",SUMIFS('עסקאות'!$D$5:$D$1004,'עסקאות'!$C$5:$C$1004,A54,'עסקאות'!$B$5:$B$1004,"קנייה")-SUMIFS('עסקאות'!$D$5:$D$1004,'עסקאות'!$C$5:$C$1004,A54,'עסקאות'!$B$5:$B$1004,"מכירה"))</f>
        <v/>
      </c>
      <c r="E54" s="28">
        <f>IF(A54="","",IFERROR(SUMIFS('עסקאות'!$I$5:$I$1004,'עסקאות'!$C$5:$C$1004,A54)/SUMIFS('עסקאות'!$D$5:$D$1004,'עסקאות'!$C$5:$C$1004,A54,'עסקאות'!$B$5:$B$1004,"קנייה"),0))</f>
        <v/>
      </c>
      <c r="F54" s="29" t="n"/>
      <c r="G54" s="28">
        <f>IF(A54="","",IFERROR(GOOGLEFINANCE(A54),F54))</f>
        <v/>
      </c>
      <c r="H54" s="30">
        <f>IF(A54="",0,D54*G54)</f>
        <v/>
      </c>
      <c r="I54" s="30">
        <f>IF(A54="",0,D54*E54)</f>
        <v/>
      </c>
      <c r="J54" s="30">
        <f>IF(A54="",0,H54-I54)</f>
        <v/>
      </c>
      <c r="K54" s="31">
        <f>IF(I54=0,"",J54/I54)</f>
        <v/>
      </c>
      <c r="L54" s="31">
        <f>IF(Equity=0,"",H54/Equity)</f>
        <v/>
      </c>
      <c r="M54" s="32" t="n"/>
      <c r="N54" s="30">
        <f>IF(OR(A54="",M54=""),"",M54*Equity-H54)</f>
        <v/>
      </c>
      <c r="O54" s="29" t="n"/>
      <c r="P54" s="29" t="n"/>
      <c r="Q54" s="31">
        <f>IF(OR(A54="",P54="",G54=0),"",(G54-P54)/G54)</f>
        <v/>
      </c>
      <c r="R54" s="33">
        <f>IF(OR(A54="",O54="",E54&lt;=O54),"",(G54-E54)/(E54-O54))</f>
        <v/>
      </c>
      <c r="S54" s="30">
        <f>IF(OR(A54="",P54=""),0,MAX(0,E54-P54)*D54)</f>
        <v/>
      </c>
      <c r="T54" s="31">
        <f>IF(Equity=0,"",S54/Equity)</f>
        <v/>
      </c>
      <c r="U54" s="30">
        <f>IF(A54="",0,SUMIFS('עסקאות'!$J$5:$J$1004,'עסקאות'!$C$5:$C$1004,A54))</f>
        <v/>
      </c>
      <c r="V54" s="30">
        <f>IF(A54="",0,SUMIFS('עסקאות'!$F$5:$F$1004,'עסקאות'!$C$5:$C$1004,A54,'עסקאות'!$B$5:$B$1004,"דיבידנד"))</f>
        <v/>
      </c>
      <c r="W54" s="34">
        <f>IF(OR(A54="",D54&lt;=0),"",IF(P54="","🟠 אין סטופ",IF(G54&lt;=P54,"🔴 סטופ נפגע",IF(Q54&lt;NearStop,"🟠 קרוב לסטופ",IF(AND(R54&lt;&gt;"",R54&gt;=PartialR),"🟢 מימוש חלקי",IF(AND(R54&lt;&gt;"",R54&gt;=1,P54&lt;E54),"🟡 הזז לאיזון",IF(T54&gt;RiskPct,"⚠️ סיכון חורג","✅ תקין")))))))</f>
        <v/>
      </c>
      <c r="X54" s="24">
        <f>IF(AND(W54&lt;&gt;"",W54&lt;&gt;"✅ תקין"),MAX($X$4:X53)+1,"")</f>
        <v/>
      </c>
    </row>
    <row r="55">
      <c r="A55" s="35" t="inlineStr">
        <is>
          <t>סה"כ</t>
        </is>
      </c>
      <c r="B55" s="36" t="n"/>
      <c r="C55" s="36" t="n"/>
      <c r="D55" s="36" t="n"/>
      <c r="E55" s="36" t="n"/>
      <c r="F55" s="36" t="n"/>
      <c r="G55" s="36" t="n"/>
      <c r="H55" s="37">
        <f>SUM(H5:H54)</f>
        <v/>
      </c>
      <c r="I55" s="37">
        <f>SUM(I5:I54)</f>
        <v/>
      </c>
      <c r="J55" s="37">
        <f>SUM(J5:J54)</f>
        <v/>
      </c>
      <c r="K55" s="38">
        <f>IF(I55=0,"",J55/I55)</f>
        <v/>
      </c>
      <c r="L55" s="38">
        <f>SUM(L5:L54)</f>
        <v/>
      </c>
      <c r="M55" s="38">
        <f>SUM(M5:M54)</f>
        <v/>
      </c>
      <c r="N55" s="36" t="n"/>
      <c r="O55" s="36" t="n"/>
      <c r="P55" s="36" t="n"/>
      <c r="Q55" s="36" t="n"/>
      <c r="R55" s="36" t="n"/>
      <c r="S55" s="37">
        <f>SUM(S5:S54)</f>
        <v/>
      </c>
      <c r="T55" s="38">
        <f>SUM(T5:T54)</f>
        <v/>
      </c>
      <c r="U55" s="37">
        <f>SUM(U5:U54)</f>
        <v/>
      </c>
      <c r="V55" s="37">
        <f>SUM(V5:V54)</f>
        <v/>
      </c>
      <c r="W55" s="36" t="n"/>
    </row>
  </sheetData>
  <mergeCells count="2">
    <mergeCell ref="A2:W2"/>
    <mergeCell ref="A1:W1"/>
  </mergeCells>
  <conditionalFormatting sqref="J5:J54">
    <cfRule type="cellIs" priority="1" operator="greaterThan" dxfId="5">
      <formula>0</formula>
    </cfRule>
    <cfRule type="cellIs" priority="2" operator="lessThan" dxfId="6">
      <formula>0</formula>
    </cfRule>
  </conditionalFormatting>
  <conditionalFormatting sqref="K5:K54">
    <cfRule type="cellIs" priority="3" operator="greaterThan" dxfId="5">
      <formula>0</formula>
    </cfRule>
    <cfRule type="cellIs" priority="4" operator="lessThan" dxfId="6">
      <formula>0</formula>
    </cfRule>
  </conditionalFormatting>
  <conditionalFormatting sqref="R5:R54">
    <cfRule type="cellIs" priority="5" operator="greaterThan" dxfId="5">
      <formula>0</formula>
    </cfRule>
    <cfRule type="cellIs" priority="6" operator="lessThan" dxfId="6">
      <formula>0</formula>
    </cfRule>
  </conditionalFormatting>
  <conditionalFormatting sqref="U5:U54">
    <cfRule type="cellIs" priority="7" operator="greaterThan" dxfId="5">
      <formula>0</formula>
    </cfRule>
    <cfRule type="cellIs" priority="8" operator="lessThan" dxfId="6">
      <formula>0</formula>
    </cfRule>
  </conditionalFormatting>
  <conditionalFormatting sqref="W5:W54">
    <cfRule type="expression" priority="9" dxfId="2">
      <formula>LEFT($W5,1)="🔴"</formula>
    </cfRule>
    <cfRule type="expression" priority="10" dxfId="3">
      <formula>LEFT($W5,1)="🟠"</formula>
    </cfRule>
    <cfRule type="expression" priority="11" dxfId="7">
      <formula>LEFT($W5,1)="🟡"</formula>
    </cfRule>
    <cfRule type="expression" priority="12" dxfId="8">
      <formula>LEFT($W5,1)="🟢"</formula>
    </cfRule>
    <cfRule type="expression" priority="13" dxfId="9">
      <formula>LEFT($W5,2)="⚠️"</formula>
    </cfRule>
  </conditionalFormatting>
  <conditionalFormatting sqref="Q5:Q54">
    <cfRule type="expression" priority="14" dxfId="3">
      <formula>AND(ISNUMBER(Q5),Q5&lt;NearStop)</formula>
    </cfRule>
  </conditionalFormatting>
  <dataValidations count="1">
    <dataValidation sqref="C5:C54" showDropDown="0" showInputMessage="0" showErrorMessage="0" allowBlank="1" type="list">
      <formula1>=SectorList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2E86DE"/>
    <outlinePr summaryBelow="1" summaryRight="1"/>
    <pageSetUpPr/>
  </sheetPr>
  <dimension ref="A1:K1004"/>
  <sheetViews>
    <sheetView showGridLines="0" rightToLeft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13" customWidth="1" min="5" max="5"/>
    <col width="17" customWidth="1" min="6" max="6"/>
    <col width="10" customWidth="1" min="7" max="7"/>
    <col width="14" customWidth="1" min="8" max="8"/>
    <col width="14" customWidth="1" min="9" max="9"/>
    <col width="14" customWidth="1" min="10" max="10"/>
    <col width="30" customWidth="1" min="11" max="11"/>
  </cols>
  <sheetData>
    <row r="1" ht="34" customHeight="1">
      <c r="A1" s="1" t="inlineStr">
        <is>
          <t>📒 יומן עסקאות</t>
        </is>
      </c>
    </row>
    <row r="2" ht="20" customHeight="1">
      <c r="A2" s="2" t="inlineStr">
        <is>
          <t>כל תנועה בתיק בשורה אחת. מכאן מחושב הכול.</t>
        </is>
      </c>
    </row>
    <row r="4" ht="36" customHeight="1">
      <c r="A4" s="22" t="inlineStr">
        <is>
          <t>תאריך</t>
        </is>
      </c>
      <c r="B4" s="22" t="inlineStr">
        <is>
          <t>סוג</t>
        </is>
      </c>
      <c r="C4" s="22" t="inlineStr">
        <is>
          <t>טיקר</t>
        </is>
      </c>
      <c r="D4" s="22" t="inlineStr">
        <is>
          <t>כמות</t>
        </is>
      </c>
      <c r="E4" s="22" t="inlineStr">
        <is>
          <t>מחיר למניה $</t>
        </is>
      </c>
      <c r="F4" s="22" t="inlineStr">
        <is>
          <t>סכום $
(דיבידנד/הפקדה/משיכה)</t>
        </is>
      </c>
      <c r="G4" s="22" t="inlineStr">
        <is>
          <t>עמלה $</t>
        </is>
      </c>
      <c r="H4" s="23" t="inlineStr">
        <is>
          <t>תזרים מזומן $</t>
        </is>
      </c>
      <c r="I4" s="23" t="inlineStr">
        <is>
          <t>עלות קנייה $</t>
        </is>
      </c>
      <c r="J4" s="23" t="inlineStr">
        <is>
          <t>רווח ממומש $</t>
        </is>
      </c>
      <c r="K4" s="22" t="inlineStr">
        <is>
          <t>הערות</t>
        </is>
      </c>
    </row>
    <row r="5">
      <c r="A5" s="39" t="n">
        <v>46024</v>
      </c>
      <c r="B5" s="26" t="inlineStr">
        <is>
          <t>הפקדה</t>
        </is>
      </c>
      <c r="C5" s="26" t="n"/>
      <c r="D5" s="40" t="n"/>
      <c r="E5" s="29" t="n"/>
      <c r="F5" s="29" t="n">
        <v>100000</v>
      </c>
      <c r="G5" s="29" t="n">
        <v>0</v>
      </c>
      <c r="H5" s="28">
        <f>IF(B5="","",IF(B5="קנייה",-(D5*E5+G5),IF(B5="מכירה",D5*E5-G5,IF(B5="דיבידנד",F5-G5,IF(B5="הפקדה",F5-G5,IF(B5="משיכה",-F5-G5,-G5))))))</f>
        <v/>
      </c>
      <c r="I5" s="28">
        <f>IF(B5="קנייה",D5*E5+G5,0)</f>
        <v/>
      </c>
      <c r="J5" s="41">
        <f>IF(B5="מכירה",D5*E5-G5-D5*IFERROR(SUMIFS($I$5:I5,$C$5:C5,C5)/SUMIFS($D$5:D5,$C$5:C5,C5,$B$5:B5,"קנייה"),0),0)</f>
        <v/>
      </c>
      <c r="K5" s="26" t="inlineStr">
        <is>
          <t>דוגמה — למחיקה</t>
        </is>
      </c>
    </row>
    <row r="6">
      <c r="A6" s="39" t="n">
        <v>46027</v>
      </c>
      <c r="B6" s="26" t="inlineStr">
        <is>
          <t>קנייה</t>
        </is>
      </c>
      <c r="C6" s="26" t="inlineStr">
        <is>
          <t>AAPL</t>
        </is>
      </c>
      <c r="D6" s="40" t="n">
        <v>60</v>
      </c>
      <c r="E6" s="29" t="n">
        <v>185</v>
      </c>
      <c r="F6" s="29" t="n"/>
      <c r="G6" s="29" t="n">
        <v>2.5</v>
      </c>
      <c r="H6" s="28">
        <f>IF(B6="","",IF(B6="קנייה",-(D6*E6+G6),IF(B6="מכירה",D6*E6-G6,IF(B6="דיבידנד",F6-G6,IF(B6="הפקדה",F6-G6,IF(B6="משיכה",-F6-G6,-G6))))))</f>
        <v/>
      </c>
      <c r="I6" s="28">
        <f>IF(B6="קנייה",D6*E6+G6,0)</f>
        <v/>
      </c>
      <c r="J6" s="41">
        <f>IF(B6="מכירה",D6*E6-G6-D6*IFERROR(SUMIFS($I$5:I6,$C$5:C6,C6)/SUMIFS($D$5:D6,$C$5:C6,C6,$B$5:B6,"קנייה"),0),0)</f>
        <v/>
      </c>
      <c r="K6" s="26" t="inlineStr">
        <is>
          <t>דוגמה — למחיקה</t>
        </is>
      </c>
    </row>
    <row r="7">
      <c r="A7" s="39" t="n">
        <v>46027</v>
      </c>
      <c r="B7" s="26" t="inlineStr">
        <is>
          <t>קנייה</t>
        </is>
      </c>
      <c r="C7" s="26" t="inlineStr">
        <is>
          <t>MSFT</t>
        </is>
      </c>
      <c r="D7" s="40" t="n">
        <v>30</v>
      </c>
      <c r="E7" s="29" t="n">
        <v>410</v>
      </c>
      <c r="F7" s="29" t="n"/>
      <c r="G7" s="29" t="n">
        <v>2.5</v>
      </c>
      <c r="H7" s="28">
        <f>IF(B7="","",IF(B7="קנייה",-(D7*E7+G7),IF(B7="מכירה",D7*E7-G7,IF(B7="דיבידנד",F7-G7,IF(B7="הפקדה",F7-G7,IF(B7="משיכה",-F7-G7,-G7))))))</f>
        <v/>
      </c>
      <c r="I7" s="28">
        <f>IF(B7="קנייה",D7*E7+G7,0)</f>
        <v/>
      </c>
      <c r="J7" s="41">
        <f>IF(B7="מכירה",D7*E7-G7-D7*IFERROR(SUMIFS($I$5:I7,$C$5:C7,C7)/SUMIFS($D$5:D7,$C$5:C7,C7,$B$5:B7,"קנייה"),0),0)</f>
        <v/>
      </c>
      <c r="K7" s="26" t="inlineStr">
        <is>
          <t>דוגמה — למחיקה</t>
        </is>
      </c>
    </row>
    <row r="8">
      <c r="A8" s="39" t="n">
        <v>46034</v>
      </c>
      <c r="B8" s="26" t="inlineStr">
        <is>
          <t>קנייה</t>
        </is>
      </c>
      <c r="C8" s="26" t="inlineStr">
        <is>
          <t>NVDA</t>
        </is>
      </c>
      <c r="D8" s="40" t="n">
        <v>100</v>
      </c>
      <c r="E8" s="29" t="n">
        <v>120</v>
      </c>
      <c r="F8" s="29" t="n"/>
      <c r="G8" s="29" t="n">
        <v>2.5</v>
      </c>
      <c r="H8" s="28">
        <f>IF(B8="","",IF(B8="קנייה",-(D8*E8+G8),IF(B8="מכירה",D8*E8-G8,IF(B8="דיבידנד",F8-G8,IF(B8="הפקדה",F8-G8,IF(B8="משיכה",-F8-G8,-G8))))))</f>
        <v/>
      </c>
      <c r="I8" s="28">
        <f>IF(B8="קנייה",D8*E8+G8,0)</f>
        <v/>
      </c>
      <c r="J8" s="41">
        <f>IF(B8="מכירה",D8*E8-G8-D8*IFERROR(SUMIFS($I$5:I8,$C$5:C8,C8)/SUMIFS($D$5:D8,$C$5:C8,C8,$B$5:B8,"קנייה"),0),0)</f>
        <v/>
      </c>
      <c r="K8" s="26" t="inlineStr">
        <is>
          <t>דוגמה — למחיקה</t>
        </is>
      </c>
    </row>
    <row r="9">
      <c r="A9" s="39" t="n">
        <v>46056</v>
      </c>
      <c r="B9" s="26" t="inlineStr">
        <is>
          <t>קנייה</t>
        </is>
      </c>
      <c r="C9" s="26" t="inlineStr">
        <is>
          <t>KO</t>
        </is>
      </c>
      <c r="D9" s="40" t="n">
        <v>150</v>
      </c>
      <c r="E9" s="29" t="n">
        <v>62</v>
      </c>
      <c r="F9" s="29" t="n"/>
      <c r="G9" s="29" t="n">
        <v>2.5</v>
      </c>
      <c r="H9" s="28">
        <f>IF(B9="","",IF(B9="קנייה",-(D9*E9+G9),IF(B9="מכירה",D9*E9-G9,IF(B9="דיבידנד",F9-G9,IF(B9="הפקדה",F9-G9,IF(B9="משיכה",-F9-G9,-G9))))))</f>
        <v/>
      </c>
      <c r="I9" s="28">
        <f>IF(B9="קנייה",D9*E9+G9,0)</f>
        <v/>
      </c>
      <c r="J9" s="41">
        <f>IF(B9="מכירה",D9*E9-G9-D9*IFERROR(SUMIFS($I$5:I9,$C$5:C9,C9)/SUMIFS($D$5:D9,$C$5:C9,C9,$B$5:B9,"קנייה"),0),0)</f>
        <v/>
      </c>
      <c r="K9" s="26" t="inlineStr">
        <is>
          <t>דוגמה — למחיקה</t>
        </is>
      </c>
    </row>
    <row r="10">
      <c r="A10" s="39" t="n">
        <v>46070</v>
      </c>
      <c r="B10" s="26" t="inlineStr">
        <is>
          <t>קנייה</t>
        </is>
      </c>
      <c r="C10" s="26" t="inlineStr">
        <is>
          <t>SPY</t>
        </is>
      </c>
      <c r="D10" s="40" t="n">
        <v>25</v>
      </c>
      <c r="E10" s="29" t="n">
        <v>580</v>
      </c>
      <c r="F10" s="29" t="n"/>
      <c r="G10" s="29" t="n">
        <v>2.5</v>
      </c>
      <c r="H10" s="28">
        <f>IF(B10="","",IF(B10="קנייה",-(D10*E10+G10),IF(B10="מכירה",D10*E10-G10,IF(B10="דיבידנד",F10-G10,IF(B10="הפקדה",F10-G10,IF(B10="משיכה",-F10-G10,-G10))))))</f>
        <v/>
      </c>
      <c r="I10" s="28">
        <f>IF(B10="קנייה",D10*E10+G10,0)</f>
        <v/>
      </c>
      <c r="J10" s="41">
        <f>IF(B10="מכירה",D10*E10-G10-D10*IFERROR(SUMIFS($I$5:I10,$C$5:C10,C10)/SUMIFS($D$5:D10,$C$5:C10,C10,$B$5:B10,"קנייה"),0),0)</f>
        <v/>
      </c>
      <c r="K10" s="26" t="inlineStr">
        <is>
          <t>דוגמה — למחיקה</t>
        </is>
      </c>
    </row>
    <row r="11">
      <c r="A11" s="39" t="n">
        <v>46090</v>
      </c>
      <c r="B11" s="26" t="inlineStr">
        <is>
          <t>קנייה</t>
        </is>
      </c>
      <c r="C11" s="26" t="inlineStr">
        <is>
          <t>AAPL</t>
        </is>
      </c>
      <c r="D11" s="40" t="n">
        <v>20</v>
      </c>
      <c r="E11" s="29" t="n">
        <v>172</v>
      </c>
      <c r="F11" s="29" t="n"/>
      <c r="G11" s="29" t="n">
        <v>2.5</v>
      </c>
      <c r="H11" s="28">
        <f>IF(B11="","",IF(B11="קנייה",-(D11*E11+G11),IF(B11="מכירה",D11*E11-G11,IF(B11="דיבידנד",F11-G11,IF(B11="הפקדה",F11-G11,IF(B11="משיכה",-F11-G11,-G11))))))</f>
        <v/>
      </c>
      <c r="I11" s="28">
        <f>IF(B11="קנייה",D11*E11+G11,0)</f>
        <v/>
      </c>
      <c r="J11" s="41">
        <f>IF(B11="מכירה",D11*E11-G11-D11*IFERROR(SUMIFS($I$5:I11,$C$5:C11,C11)/SUMIFS($D$5:D11,$C$5:C11,C11,$B$5:B11,"קנייה"),0),0)</f>
        <v/>
      </c>
      <c r="K11" s="26" t="inlineStr">
        <is>
          <t>דוגמה — למחיקה</t>
        </is>
      </c>
    </row>
    <row r="12">
      <c r="A12" s="39" t="n">
        <v>46113</v>
      </c>
      <c r="B12" s="26" t="inlineStr">
        <is>
          <t>דיבידנד</t>
        </is>
      </c>
      <c r="C12" s="26" t="inlineStr">
        <is>
          <t>KO</t>
        </is>
      </c>
      <c r="D12" s="40" t="n"/>
      <c r="E12" s="29" t="n"/>
      <c r="F12" s="29" t="n">
        <v>65.03</v>
      </c>
      <c r="G12" s="29" t="n">
        <v>0</v>
      </c>
      <c r="H12" s="28">
        <f>IF(B12="","",IF(B12="קנייה",-(D12*E12+G12),IF(B12="מכירה",D12*E12-G12,IF(B12="דיבידנד",F12-G12,IF(B12="הפקדה",F12-G12,IF(B12="משיכה",-F12-G12,-G12))))))</f>
        <v/>
      </c>
      <c r="I12" s="28">
        <f>IF(B12="קנייה",D12*E12+G12,0)</f>
        <v/>
      </c>
      <c r="J12" s="41">
        <f>IF(B12="מכירה",D12*E12-G12-D12*IFERROR(SUMIFS($I$5:I12,$C$5:C12,C12)/SUMIFS($D$5:D12,$C$5:C12,C12,$B$5:B12,"קנייה"),0),0)</f>
        <v/>
      </c>
      <c r="K12" s="26" t="inlineStr">
        <is>
          <t>דוגמה — למחיקה</t>
        </is>
      </c>
    </row>
    <row r="13">
      <c r="A13" s="39" t="n">
        <v>46156</v>
      </c>
      <c r="B13" s="26" t="inlineStr">
        <is>
          <t>דיבידנד</t>
        </is>
      </c>
      <c r="C13" s="26" t="inlineStr">
        <is>
          <t>AAPL</t>
        </is>
      </c>
      <c r="D13" s="40" t="n"/>
      <c r="E13" s="29" t="n"/>
      <c r="F13" s="29" t="n">
        <v>17</v>
      </c>
      <c r="G13" s="29" t="n">
        <v>0</v>
      </c>
      <c r="H13" s="28">
        <f>IF(B13="","",IF(B13="קנייה",-(D13*E13+G13),IF(B13="מכירה",D13*E13-G13,IF(B13="דיבידנד",F13-G13,IF(B13="הפקדה",F13-G13,IF(B13="משיכה",-F13-G13,-G13))))))</f>
        <v/>
      </c>
      <c r="I13" s="28">
        <f>IF(B13="קנייה",D13*E13+G13,0)</f>
        <v/>
      </c>
      <c r="J13" s="41">
        <f>IF(B13="מכירה",D13*E13-G13-D13*IFERROR(SUMIFS($I$5:I13,$C$5:C13,C13)/SUMIFS($D$5:D13,$C$5:C13,C13,$B$5:B13,"קנייה"),0),0)</f>
        <v/>
      </c>
      <c r="K13" s="26" t="inlineStr">
        <is>
          <t>דוגמה — למחיקה</t>
        </is>
      </c>
    </row>
    <row r="14">
      <c r="A14" s="39" t="n">
        <v>46183</v>
      </c>
      <c r="B14" s="26" t="inlineStr">
        <is>
          <t>מכירה</t>
        </is>
      </c>
      <c r="C14" s="26" t="inlineStr">
        <is>
          <t>NVDA</t>
        </is>
      </c>
      <c r="D14" s="40" t="n">
        <v>40</v>
      </c>
      <c r="E14" s="29" t="n">
        <v>165</v>
      </c>
      <c r="F14" s="29" t="n"/>
      <c r="G14" s="29" t="n">
        <v>2.5</v>
      </c>
      <c r="H14" s="28">
        <f>IF(B14="","",IF(B14="קנייה",-(D14*E14+G14),IF(B14="מכירה",D14*E14-G14,IF(B14="דיבידנד",F14-G14,IF(B14="הפקדה",F14-G14,IF(B14="משיכה",-F14-G14,-G14))))))</f>
        <v/>
      </c>
      <c r="I14" s="28">
        <f>IF(B14="קנייה",D14*E14+G14,0)</f>
        <v/>
      </c>
      <c r="J14" s="41">
        <f>IF(B14="מכירה",D14*E14-G14-D14*IFERROR(SUMIFS($I$5:I14,$C$5:C14,C14)/SUMIFS($D$5:D14,$C$5:C14,C14,$B$5:B14,"קנייה"),0),0)</f>
        <v/>
      </c>
      <c r="K14" s="26" t="inlineStr">
        <is>
          <t>דוגמה — למחיקה</t>
        </is>
      </c>
    </row>
    <row r="15">
      <c r="A15" s="39" t="n">
        <v>46204</v>
      </c>
      <c r="B15" s="26" t="inlineStr">
        <is>
          <t>דיבידנד</t>
        </is>
      </c>
      <c r="C15" s="26" t="inlineStr">
        <is>
          <t>KO</t>
        </is>
      </c>
      <c r="D15" s="40" t="n"/>
      <c r="E15" s="29" t="n"/>
      <c r="F15" s="29" t="n">
        <v>65.03</v>
      </c>
      <c r="G15" s="29" t="n">
        <v>0</v>
      </c>
      <c r="H15" s="28">
        <f>IF(B15="","",IF(B15="קנייה",-(D15*E15+G15),IF(B15="מכירה",D15*E15-G15,IF(B15="דיבידנד",F15-G15,IF(B15="הפקדה",F15-G15,IF(B15="משיכה",-F15-G15,-G15))))))</f>
        <v/>
      </c>
      <c r="I15" s="28">
        <f>IF(B15="קנייה",D15*E15+G15,0)</f>
        <v/>
      </c>
      <c r="J15" s="41">
        <f>IF(B15="מכירה",D15*E15-G15-D15*IFERROR(SUMIFS($I$5:I15,$C$5:C15,C15)/SUMIFS($D$5:D15,$C$5:C15,C15,$B$5:B15,"קנייה"),0),0)</f>
        <v/>
      </c>
      <c r="K15" s="26" t="inlineStr">
        <is>
          <t>דוגמה — למחיקה</t>
        </is>
      </c>
    </row>
    <row r="16">
      <c r="A16" s="39" t="n">
        <v>46205</v>
      </c>
      <c r="B16" s="26" t="inlineStr">
        <is>
          <t>הפקדה</t>
        </is>
      </c>
      <c r="C16" s="26" t="n"/>
      <c r="D16" s="40" t="n"/>
      <c r="E16" s="29" t="n"/>
      <c r="F16" s="29" t="n">
        <v>10000</v>
      </c>
      <c r="G16" s="29" t="n">
        <v>0</v>
      </c>
      <c r="H16" s="28">
        <f>IF(B16="","",IF(B16="קנייה",-(D16*E16+G16),IF(B16="מכירה",D16*E16-G16,IF(B16="דיבידנד",F16-G16,IF(B16="הפקדה",F16-G16,IF(B16="משיכה",-F16-G16,-G16))))))</f>
        <v/>
      </c>
      <c r="I16" s="28">
        <f>IF(B16="קנייה",D16*E16+G16,0)</f>
        <v/>
      </c>
      <c r="J16" s="41">
        <f>IF(B16="מכירה",D16*E16-G16-D16*IFERROR(SUMIFS($I$5:I16,$C$5:C16,C16)/SUMIFS($D$5:D16,$C$5:C16,C16,$B$5:B16,"קנייה"),0),0)</f>
        <v/>
      </c>
      <c r="K16" s="26" t="inlineStr">
        <is>
          <t>דוגמה — למחיקה</t>
        </is>
      </c>
    </row>
    <row r="17">
      <c r="A17" s="39" t="n">
        <v>46247</v>
      </c>
      <c r="B17" s="26" t="inlineStr">
        <is>
          <t>דיבידנד</t>
        </is>
      </c>
      <c r="C17" s="26" t="inlineStr">
        <is>
          <t>AAPL</t>
        </is>
      </c>
      <c r="D17" s="40" t="n"/>
      <c r="E17" s="29" t="n"/>
      <c r="F17" s="29" t="n">
        <v>17.6</v>
      </c>
      <c r="G17" s="29" t="n">
        <v>0</v>
      </c>
      <c r="H17" s="28">
        <f>IF(B17="","",IF(B17="קנייה",-(D17*E17+G17),IF(B17="מכירה",D17*E17-G17,IF(B17="דיבידנד",F17-G17,IF(B17="הפקדה",F17-G17,IF(B17="משיכה",-F17-G17,-G17))))))</f>
        <v/>
      </c>
      <c r="I17" s="28">
        <f>IF(B17="קנייה",D17*E17+G17,0)</f>
        <v/>
      </c>
      <c r="J17" s="41">
        <f>IF(B17="מכירה",D17*E17-G17-D17*IFERROR(SUMIFS($I$5:I17,$C$5:C17,C17)/SUMIFS($D$5:D17,$C$5:C17,C17,$B$5:B17,"קנייה"),0),0)</f>
        <v/>
      </c>
      <c r="K17" s="26" t="inlineStr">
        <is>
          <t>דוגמה — למחיקה</t>
        </is>
      </c>
    </row>
    <row r="18">
      <c r="A18" s="39" t="n">
        <v>46276</v>
      </c>
      <c r="B18" s="26" t="inlineStr">
        <is>
          <t>דיבידנד</t>
        </is>
      </c>
      <c r="C18" s="26" t="inlineStr">
        <is>
          <t>MSFT</t>
        </is>
      </c>
      <c r="D18" s="40" t="n"/>
      <c r="E18" s="29" t="n"/>
      <c r="F18" s="29" t="n">
        <v>21</v>
      </c>
      <c r="G18" s="29" t="n">
        <v>0</v>
      </c>
      <c r="H18" s="28">
        <f>IF(B18="","",IF(B18="קנייה",-(D18*E18+G18),IF(B18="מכירה",D18*E18-G18,IF(B18="דיבידנד",F18-G18,IF(B18="הפקדה",F18-G18,IF(B18="משיכה",-F18-G18,-G18))))))</f>
        <v/>
      </c>
      <c r="I18" s="28">
        <f>IF(B18="קנייה",D18*E18+G18,0)</f>
        <v/>
      </c>
      <c r="J18" s="41">
        <f>IF(B18="מכירה",D18*E18-G18-D18*IFERROR(SUMIFS($I$5:I18,$C$5:C18,C18)/SUMIFS($D$5:D18,$C$5:C18,C18,$B$5:B18,"קנייה"),0),0)</f>
        <v/>
      </c>
      <c r="K18" s="26" t="inlineStr">
        <is>
          <t>דוגמה — למחיקה</t>
        </is>
      </c>
    </row>
    <row r="19">
      <c r="A19" s="39" t="n"/>
      <c r="B19" s="26" t="n"/>
      <c r="C19" s="26" t="n"/>
      <c r="D19" s="40" t="n"/>
      <c r="E19" s="29" t="n"/>
      <c r="F19" s="29" t="n"/>
      <c r="G19" s="29" t="n"/>
      <c r="H19" s="28">
        <f>IF(B19="","",IF(B19="קנייה",-(D19*E19+G19),IF(B19="מכירה",D19*E19-G19,IF(B19="דיבידנד",F19-G19,IF(B19="הפקדה",F19-G19,IF(B19="משיכה",-F19-G19,-G19))))))</f>
        <v/>
      </c>
      <c r="I19" s="28">
        <f>IF(B19="קנייה",D19*E19+G19,0)</f>
        <v/>
      </c>
      <c r="J19" s="41">
        <f>IF(B19="מכירה",D19*E19-G19-D19*IFERROR(SUMIFS($I$5:I19,$C$5:C19,C19)/SUMIFS($D$5:D19,$C$5:C19,C19,$B$5:B19,"קנייה"),0),0)</f>
        <v/>
      </c>
      <c r="K19" s="26" t="n"/>
    </row>
    <row r="20">
      <c r="A20" s="39" t="n"/>
      <c r="B20" s="26" t="n"/>
      <c r="C20" s="26" t="n"/>
      <c r="D20" s="40" t="n"/>
      <c r="E20" s="29" t="n"/>
      <c r="F20" s="29" t="n"/>
      <c r="G20" s="29" t="n"/>
      <c r="H20" s="28">
        <f>IF(B20="","",IF(B20="קנייה",-(D20*E20+G20),IF(B20="מכירה",D20*E20-G20,IF(B20="דיבידנד",F20-G20,IF(B20="הפקדה",F20-G20,IF(B20="משיכה",-F20-G20,-G20))))))</f>
        <v/>
      </c>
      <c r="I20" s="28">
        <f>IF(B20="קנייה",D20*E20+G20,0)</f>
        <v/>
      </c>
      <c r="J20" s="41">
        <f>IF(B20="מכירה",D20*E20-G20-D20*IFERROR(SUMIFS($I$5:I20,$C$5:C20,C20)/SUMIFS($D$5:D20,$C$5:C20,C20,$B$5:B20,"קנייה"),0),0)</f>
        <v/>
      </c>
      <c r="K20" s="26" t="n"/>
    </row>
    <row r="21">
      <c r="A21" s="39" t="n"/>
      <c r="B21" s="26" t="n"/>
      <c r="C21" s="26" t="n"/>
      <c r="D21" s="40" t="n"/>
      <c r="E21" s="29" t="n"/>
      <c r="F21" s="29" t="n"/>
      <c r="G21" s="29" t="n"/>
      <c r="H21" s="28">
        <f>IF(B21="","",IF(B21="קנייה",-(D21*E21+G21),IF(B21="מכירה",D21*E21-G21,IF(B21="דיבידנד",F21-G21,IF(B21="הפקדה",F21-G21,IF(B21="משיכה",-F21-G21,-G21))))))</f>
        <v/>
      </c>
      <c r="I21" s="28">
        <f>IF(B21="קנייה",D21*E21+G21,0)</f>
        <v/>
      </c>
      <c r="J21" s="41">
        <f>IF(B21="מכירה",D21*E21-G21-D21*IFERROR(SUMIFS($I$5:I21,$C$5:C21,C21)/SUMIFS($D$5:D21,$C$5:C21,C21,$B$5:B21,"קנייה"),0),0)</f>
        <v/>
      </c>
      <c r="K21" s="26" t="n"/>
    </row>
    <row r="22">
      <c r="A22" s="39" t="n"/>
      <c r="B22" s="26" t="n"/>
      <c r="C22" s="26" t="n"/>
      <c r="D22" s="40" t="n"/>
      <c r="E22" s="29" t="n"/>
      <c r="F22" s="29" t="n"/>
      <c r="G22" s="29" t="n"/>
      <c r="H22" s="28">
        <f>IF(B22="","",IF(B22="קנייה",-(D22*E22+G22),IF(B22="מכירה",D22*E22-G22,IF(B22="דיבידנד",F22-G22,IF(B22="הפקדה",F22-G22,IF(B22="משיכה",-F22-G22,-G22))))))</f>
        <v/>
      </c>
      <c r="I22" s="28">
        <f>IF(B22="קנייה",D22*E22+G22,0)</f>
        <v/>
      </c>
      <c r="J22" s="41">
        <f>IF(B22="מכירה",D22*E22-G22-D22*IFERROR(SUMIFS($I$5:I22,$C$5:C22,C22)/SUMIFS($D$5:D22,$C$5:C22,C22,$B$5:B22,"קנייה"),0),0)</f>
        <v/>
      </c>
      <c r="K22" s="26" t="n"/>
    </row>
    <row r="23">
      <c r="A23" s="39" t="n"/>
      <c r="B23" s="26" t="n"/>
      <c r="C23" s="26" t="n"/>
      <c r="D23" s="40" t="n"/>
      <c r="E23" s="29" t="n"/>
      <c r="F23" s="29" t="n"/>
      <c r="G23" s="29" t="n"/>
      <c r="H23" s="28">
        <f>IF(B23="","",IF(B23="קנייה",-(D23*E23+G23),IF(B23="מכירה",D23*E23-G23,IF(B23="דיבידנד",F23-G23,IF(B23="הפקדה",F23-G23,IF(B23="משיכה",-F23-G23,-G23))))))</f>
        <v/>
      </c>
      <c r="I23" s="28">
        <f>IF(B23="קנייה",D23*E23+G23,0)</f>
        <v/>
      </c>
      <c r="J23" s="41">
        <f>IF(B23="מכירה",D23*E23-G23-D23*IFERROR(SUMIFS($I$5:I23,$C$5:C23,C23)/SUMIFS($D$5:D23,$C$5:C23,C23,$B$5:B23,"קנייה"),0),0)</f>
        <v/>
      </c>
      <c r="K23" s="26" t="n"/>
    </row>
    <row r="24">
      <c r="A24" s="39" t="n"/>
      <c r="B24" s="26" t="n"/>
      <c r="C24" s="26" t="n"/>
      <c r="D24" s="40" t="n"/>
      <c r="E24" s="29" t="n"/>
      <c r="F24" s="29" t="n"/>
      <c r="G24" s="29" t="n"/>
      <c r="H24" s="28">
        <f>IF(B24="","",IF(B24="קנייה",-(D24*E24+G24),IF(B24="מכירה",D24*E24-G24,IF(B24="דיבידנד",F24-G24,IF(B24="הפקדה",F24-G24,IF(B24="משיכה",-F24-G24,-G24))))))</f>
        <v/>
      </c>
      <c r="I24" s="28">
        <f>IF(B24="קנייה",D24*E24+G24,0)</f>
        <v/>
      </c>
      <c r="J24" s="41">
        <f>IF(B24="מכירה",D24*E24-G24-D24*IFERROR(SUMIFS($I$5:I24,$C$5:C24,C24)/SUMIFS($D$5:D24,$C$5:C24,C24,$B$5:B24,"קנייה"),0),0)</f>
        <v/>
      </c>
      <c r="K24" s="26" t="n"/>
    </row>
    <row r="25">
      <c r="A25" s="39" t="n"/>
      <c r="B25" s="26" t="n"/>
      <c r="C25" s="26" t="n"/>
      <c r="D25" s="40" t="n"/>
      <c r="E25" s="29" t="n"/>
      <c r="F25" s="29" t="n"/>
      <c r="G25" s="29" t="n"/>
      <c r="H25" s="28">
        <f>IF(B25="","",IF(B25="קנייה",-(D25*E25+G25),IF(B25="מכירה",D25*E25-G25,IF(B25="דיבידנד",F25-G25,IF(B25="הפקדה",F25-G25,IF(B25="משיכה",-F25-G25,-G25))))))</f>
        <v/>
      </c>
      <c r="I25" s="28">
        <f>IF(B25="קנייה",D25*E25+G25,0)</f>
        <v/>
      </c>
      <c r="J25" s="41">
        <f>IF(B25="מכירה",D25*E25-G25-D25*IFERROR(SUMIFS($I$5:I25,$C$5:C25,C25)/SUMIFS($D$5:D25,$C$5:C25,C25,$B$5:B25,"קנייה"),0),0)</f>
        <v/>
      </c>
      <c r="K25" s="26" t="n"/>
    </row>
    <row r="26">
      <c r="A26" s="39" t="n"/>
      <c r="B26" s="26" t="n"/>
      <c r="C26" s="26" t="n"/>
      <c r="D26" s="40" t="n"/>
      <c r="E26" s="29" t="n"/>
      <c r="F26" s="29" t="n"/>
      <c r="G26" s="29" t="n"/>
      <c r="H26" s="28">
        <f>IF(B26="","",IF(B26="קנייה",-(D26*E26+G26),IF(B26="מכירה",D26*E26-G26,IF(B26="דיבידנד",F26-G26,IF(B26="הפקדה",F26-G26,IF(B26="משיכה",-F26-G26,-G26))))))</f>
        <v/>
      </c>
      <c r="I26" s="28">
        <f>IF(B26="קנייה",D26*E26+G26,0)</f>
        <v/>
      </c>
      <c r="J26" s="41">
        <f>IF(B26="מכירה",D26*E26-G26-D26*IFERROR(SUMIFS($I$5:I26,$C$5:C26,C26)/SUMIFS($D$5:D26,$C$5:C26,C26,$B$5:B26,"קנייה"),0),0)</f>
        <v/>
      </c>
      <c r="K26" s="26" t="n"/>
    </row>
    <row r="27">
      <c r="A27" s="39" t="n"/>
      <c r="B27" s="26" t="n"/>
      <c r="C27" s="26" t="n"/>
      <c r="D27" s="40" t="n"/>
      <c r="E27" s="29" t="n"/>
      <c r="F27" s="29" t="n"/>
      <c r="G27" s="29" t="n"/>
      <c r="H27" s="28">
        <f>IF(B27="","",IF(B27="קנייה",-(D27*E27+G27),IF(B27="מכירה",D27*E27-G27,IF(B27="דיבידנד",F27-G27,IF(B27="הפקדה",F27-G27,IF(B27="משיכה",-F27-G27,-G27))))))</f>
        <v/>
      </c>
      <c r="I27" s="28">
        <f>IF(B27="קנייה",D27*E27+G27,0)</f>
        <v/>
      </c>
      <c r="J27" s="41">
        <f>IF(B27="מכירה",D27*E27-G27-D27*IFERROR(SUMIFS($I$5:I27,$C$5:C27,C27)/SUMIFS($D$5:D27,$C$5:C27,C27,$B$5:B27,"קנייה"),0),0)</f>
        <v/>
      </c>
      <c r="K27" s="26" t="n"/>
    </row>
    <row r="28">
      <c r="A28" s="39" t="n"/>
      <c r="B28" s="26" t="n"/>
      <c r="C28" s="26" t="n"/>
      <c r="D28" s="40" t="n"/>
      <c r="E28" s="29" t="n"/>
      <c r="F28" s="29" t="n"/>
      <c r="G28" s="29" t="n"/>
      <c r="H28" s="28">
        <f>IF(B28="","",IF(B28="קנייה",-(D28*E28+G28),IF(B28="מכירה",D28*E28-G28,IF(B28="דיבידנד",F28-G28,IF(B28="הפקדה",F28-G28,IF(B28="משיכה",-F28-G28,-G28))))))</f>
        <v/>
      </c>
      <c r="I28" s="28">
        <f>IF(B28="קנייה",D28*E28+G28,0)</f>
        <v/>
      </c>
      <c r="J28" s="41">
        <f>IF(B28="מכירה",D28*E28-G28-D28*IFERROR(SUMIFS($I$5:I28,$C$5:C28,C28)/SUMIFS($D$5:D28,$C$5:C28,C28,$B$5:B28,"קנייה"),0),0)</f>
        <v/>
      </c>
      <c r="K28" s="26" t="n"/>
    </row>
    <row r="29">
      <c r="A29" s="39" t="n"/>
      <c r="B29" s="26" t="n"/>
      <c r="C29" s="26" t="n"/>
      <c r="D29" s="40" t="n"/>
      <c r="E29" s="29" t="n"/>
      <c r="F29" s="29" t="n"/>
      <c r="G29" s="29" t="n"/>
      <c r="H29" s="28">
        <f>IF(B29="","",IF(B29="קנייה",-(D29*E29+G29),IF(B29="מכירה",D29*E29-G29,IF(B29="דיבידנד",F29-G29,IF(B29="הפקדה",F29-G29,IF(B29="משיכה",-F29-G29,-G29))))))</f>
        <v/>
      </c>
      <c r="I29" s="28">
        <f>IF(B29="קנייה",D29*E29+G29,0)</f>
        <v/>
      </c>
      <c r="J29" s="41">
        <f>IF(B29="מכירה",D29*E29-G29-D29*IFERROR(SUMIFS($I$5:I29,$C$5:C29,C29)/SUMIFS($D$5:D29,$C$5:C29,C29,$B$5:B29,"קנייה"),0),0)</f>
        <v/>
      </c>
      <c r="K29" s="26" t="n"/>
    </row>
    <row r="30">
      <c r="A30" s="39" t="n"/>
      <c r="B30" s="26" t="n"/>
      <c r="C30" s="26" t="n"/>
      <c r="D30" s="40" t="n"/>
      <c r="E30" s="29" t="n"/>
      <c r="F30" s="29" t="n"/>
      <c r="G30" s="29" t="n"/>
      <c r="H30" s="28">
        <f>IF(B30="","",IF(B30="קנייה",-(D30*E30+G30),IF(B30="מכירה",D30*E30-G30,IF(B30="דיבידנד",F30-G30,IF(B30="הפקדה",F30-G30,IF(B30="משיכה",-F30-G30,-G30))))))</f>
        <v/>
      </c>
      <c r="I30" s="28">
        <f>IF(B30="קנייה",D30*E30+G30,0)</f>
        <v/>
      </c>
      <c r="J30" s="41">
        <f>IF(B30="מכירה",D30*E30-G30-D30*IFERROR(SUMIFS($I$5:I30,$C$5:C30,C30)/SUMIFS($D$5:D30,$C$5:C30,C30,$B$5:B30,"קנייה"),0),0)</f>
        <v/>
      </c>
      <c r="K30" s="26" t="n"/>
    </row>
    <row r="31">
      <c r="A31" s="39" t="n"/>
      <c r="B31" s="26" t="n"/>
      <c r="C31" s="26" t="n"/>
      <c r="D31" s="40" t="n"/>
      <c r="E31" s="29" t="n"/>
      <c r="F31" s="29" t="n"/>
      <c r="G31" s="29" t="n"/>
      <c r="H31" s="28">
        <f>IF(B31="","",IF(B31="קנייה",-(D31*E31+G31),IF(B31="מכירה",D31*E31-G31,IF(B31="דיבידנד",F31-G31,IF(B31="הפקדה",F31-G31,IF(B31="משיכה",-F31-G31,-G31))))))</f>
        <v/>
      </c>
      <c r="I31" s="28">
        <f>IF(B31="קנייה",D31*E31+G31,0)</f>
        <v/>
      </c>
      <c r="J31" s="41">
        <f>IF(B31="מכירה",D31*E31-G31-D31*IFERROR(SUMIFS($I$5:I31,$C$5:C31,C31)/SUMIFS($D$5:D31,$C$5:C31,C31,$B$5:B31,"קנייה"),0),0)</f>
        <v/>
      </c>
      <c r="K31" s="26" t="n"/>
    </row>
    <row r="32">
      <c r="A32" s="39" t="n"/>
      <c r="B32" s="26" t="n"/>
      <c r="C32" s="26" t="n"/>
      <c r="D32" s="40" t="n"/>
      <c r="E32" s="29" t="n"/>
      <c r="F32" s="29" t="n"/>
      <c r="G32" s="29" t="n"/>
      <c r="H32" s="28">
        <f>IF(B32="","",IF(B32="קנייה",-(D32*E32+G32),IF(B32="מכירה",D32*E32-G32,IF(B32="דיבידנד",F32-G32,IF(B32="הפקדה",F32-G32,IF(B32="משיכה",-F32-G32,-G32))))))</f>
        <v/>
      </c>
      <c r="I32" s="28">
        <f>IF(B32="קנייה",D32*E32+G32,0)</f>
        <v/>
      </c>
      <c r="J32" s="41">
        <f>IF(B32="מכירה",D32*E32-G32-D32*IFERROR(SUMIFS($I$5:I32,$C$5:C32,C32)/SUMIFS($D$5:D32,$C$5:C32,C32,$B$5:B32,"קנייה"),0),0)</f>
        <v/>
      </c>
      <c r="K32" s="26" t="n"/>
    </row>
    <row r="33">
      <c r="A33" s="39" t="n"/>
      <c r="B33" s="26" t="n"/>
      <c r="C33" s="26" t="n"/>
      <c r="D33" s="40" t="n"/>
      <c r="E33" s="29" t="n"/>
      <c r="F33" s="29" t="n"/>
      <c r="G33" s="29" t="n"/>
      <c r="H33" s="28">
        <f>IF(B33="","",IF(B33="קנייה",-(D33*E33+G33),IF(B33="מכירה",D33*E33-G33,IF(B33="דיבידנד",F33-G33,IF(B33="הפקדה",F33-G33,IF(B33="משיכה",-F33-G33,-G33))))))</f>
        <v/>
      </c>
      <c r="I33" s="28">
        <f>IF(B33="קנייה",D33*E33+G33,0)</f>
        <v/>
      </c>
      <c r="J33" s="41">
        <f>IF(B33="מכירה",D33*E33-G33-D33*IFERROR(SUMIFS($I$5:I33,$C$5:C33,C33)/SUMIFS($D$5:D33,$C$5:C33,C33,$B$5:B33,"קנייה"),0),0)</f>
        <v/>
      </c>
      <c r="K33" s="26" t="n"/>
    </row>
    <row r="34">
      <c r="A34" s="39" t="n"/>
      <c r="B34" s="26" t="n"/>
      <c r="C34" s="26" t="n"/>
      <c r="D34" s="40" t="n"/>
      <c r="E34" s="29" t="n"/>
      <c r="F34" s="29" t="n"/>
      <c r="G34" s="29" t="n"/>
      <c r="H34" s="28">
        <f>IF(B34="","",IF(B34="קנייה",-(D34*E34+G34),IF(B34="מכירה",D34*E34-G34,IF(B34="דיבידנד",F34-G34,IF(B34="הפקדה",F34-G34,IF(B34="משיכה",-F34-G34,-G34))))))</f>
        <v/>
      </c>
      <c r="I34" s="28">
        <f>IF(B34="קנייה",D34*E34+G34,0)</f>
        <v/>
      </c>
      <c r="J34" s="41">
        <f>IF(B34="מכירה",D34*E34-G34-D34*IFERROR(SUMIFS($I$5:I34,$C$5:C34,C34)/SUMIFS($D$5:D34,$C$5:C34,C34,$B$5:B34,"קנייה"),0),0)</f>
        <v/>
      </c>
      <c r="K34" s="26" t="n"/>
    </row>
    <row r="35">
      <c r="A35" s="39" t="n"/>
      <c r="B35" s="26" t="n"/>
      <c r="C35" s="26" t="n"/>
      <c r="D35" s="40" t="n"/>
      <c r="E35" s="29" t="n"/>
      <c r="F35" s="29" t="n"/>
      <c r="G35" s="29" t="n"/>
      <c r="H35" s="28">
        <f>IF(B35="","",IF(B35="קנייה",-(D35*E35+G35),IF(B35="מכירה",D35*E35-G35,IF(B35="דיבידנד",F35-G35,IF(B35="הפקדה",F35-G35,IF(B35="משיכה",-F35-G35,-G35))))))</f>
        <v/>
      </c>
      <c r="I35" s="28">
        <f>IF(B35="קנייה",D35*E35+G35,0)</f>
        <v/>
      </c>
      <c r="J35" s="41">
        <f>IF(B35="מכירה",D35*E35-G35-D35*IFERROR(SUMIFS($I$5:I35,$C$5:C35,C35)/SUMIFS($D$5:D35,$C$5:C35,C35,$B$5:B35,"קנייה"),0),0)</f>
        <v/>
      </c>
      <c r="K35" s="26" t="n"/>
    </row>
    <row r="36">
      <c r="A36" s="39" t="n"/>
      <c r="B36" s="26" t="n"/>
      <c r="C36" s="26" t="n"/>
      <c r="D36" s="40" t="n"/>
      <c r="E36" s="29" t="n"/>
      <c r="F36" s="29" t="n"/>
      <c r="G36" s="29" t="n"/>
      <c r="H36" s="28">
        <f>IF(B36="","",IF(B36="קנייה",-(D36*E36+G36),IF(B36="מכירה",D36*E36-G36,IF(B36="דיבידנד",F36-G36,IF(B36="הפקדה",F36-G36,IF(B36="משיכה",-F36-G36,-G36))))))</f>
        <v/>
      </c>
      <c r="I36" s="28">
        <f>IF(B36="קנייה",D36*E36+G36,0)</f>
        <v/>
      </c>
      <c r="J36" s="41">
        <f>IF(B36="מכירה",D36*E36-G36-D36*IFERROR(SUMIFS($I$5:I36,$C$5:C36,C36)/SUMIFS($D$5:D36,$C$5:C36,C36,$B$5:B36,"קנייה"),0),0)</f>
        <v/>
      </c>
      <c r="K36" s="26" t="n"/>
    </row>
    <row r="37">
      <c r="A37" s="39" t="n"/>
      <c r="B37" s="26" t="n"/>
      <c r="C37" s="26" t="n"/>
      <c r="D37" s="40" t="n"/>
      <c r="E37" s="29" t="n"/>
      <c r="F37" s="29" t="n"/>
      <c r="G37" s="29" t="n"/>
      <c r="H37" s="28">
        <f>IF(B37="","",IF(B37="קנייה",-(D37*E37+G37),IF(B37="מכירה",D37*E37-G37,IF(B37="דיבידנד",F37-G37,IF(B37="הפקדה",F37-G37,IF(B37="משיכה",-F37-G37,-G37))))))</f>
        <v/>
      </c>
      <c r="I37" s="28">
        <f>IF(B37="קנייה",D37*E37+G37,0)</f>
        <v/>
      </c>
      <c r="J37" s="41">
        <f>IF(B37="מכירה",D37*E37-G37-D37*IFERROR(SUMIFS($I$5:I37,$C$5:C37,C37)/SUMIFS($D$5:D37,$C$5:C37,C37,$B$5:B37,"קנייה"),0),0)</f>
        <v/>
      </c>
      <c r="K37" s="26" t="n"/>
    </row>
    <row r="38">
      <c r="A38" s="39" t="n"/>
      <c r="B38" s="26" t="n"/>
      <c r="C38" s="26" t="n"/>
      <c r="D38" s="40" t="n"/>
      <c r="E38" s="29" t="n"/>
      <c r="F38" s="29" t="n"/>
      <c r="G38" s="29" t="n"/>
      <c r="H38" s="28">
        <f>IF(B38="","",IF(B38="קנייה",-(D38*E38+G38),IF(B38="מכירה",D38*E38-G38,IF(B38="דיבידנד",F38-G38,IF(B38="הפקדה",F38-G38,IF(B38="משיכה",-F38-G38,-G38))))))</f>
        <v/>
      </c>
      <c r="I38" s="28">
        <f>IF(B38="קנייה",D38*E38+G38,0)</f>
        <v/>
      </c>
      <c r="J38" s="41">
        <f>IF(B38="מכירה",D38*E38-G38-D38*IFERROR(SUMIFS($I$5:I38,$C$5:C38,C38)/SUMIFS($D$5:D38,$C$5:C38,C38,$B$5:B38,"קנייה"),0),0)</f>
        <v/>
      </c>
      <c r="K38" s="26" t="n"/>
    </row>
    <row r="39">
      <c r="A39" s="39" t="n"/>
      <c r="B39" s="26" t="n"/>
      <c r="C39" s="26" t="n"/>
      <c r="D39" s="40" t="n"/>
      <c r="E39" s="29" t="n"/>
      <c r="F39" s="29" t="n"/>
      <c r="G39" s="29" t="n"/>
      <c r="H39" s="28">
        <f>IF(B39="","",IF(B39="קנייה",-(D39*E39+G39),IF(B39="מכירה",D39*E39-G39,IF(B39="דיבידנד",F39-G39,IF(B39="הפקדה",F39-G39,IF(B39="משיכה",-F39-G39,-G39))))))</f>
        <v/>
      </c>
      <c r="I39" s="28">
        <f>IF(B39="קנייה",D39*E39+G39,0)</f>
        <v/>
      </c>
      <c r="J39" s="41">
        <f>IF(B39="מכירה",D39*E39-G39-D39*IFERROR(SUMIFS($I$5:I39,$C$5:C39,C39)/SUMIFS($D$5:D39,$C$5:C39,C39,$B$5:B39,"קנייה"),0),0)</f>
        <v/>
      </c>
      <c r="K39" s="26" t="n"/>
    </row>
    <row r="40">
      <c r="A40" s="39" t="n"/>
      <c r="B40" s="26" t="n"/>
      <c r="C40" s="26" t="n"/>
      <c r="D40" s="40" t="n"/>
      <c r="E40" s="29" t="n"/>
      <c r="F40" s="29" t="n"/>
      <c r="G40" s="29" t="n"/>
      <c r="H40" s="28">
        <f>IF(B40="","",IF(B40="קנייה",-(D40*E40+G40),IF(B40="מכירה",D40*E40-G40,IF(B40="דיבידנד",F40-G40,IF(B40="הפקדה",F40-G40,IF(B40="משיכה",-F40-G40,-G40))))))</f>
        <v/>
      </c>
      <c r="I40" s="28">
        <f>IF(B40="קנייה",D40*E40+G40,0)</f>
        <v/>
      </c>
      <c r="J40" s="41">
        <f>IF(B40="מכירה",D40*E40-G40-D40*IFERROR(SUMIFS($I$5:I40,$C$5:C40,C40)/SUMIFS($D$5:D40,$C$5:C40,C40,$B$5:B40,"קנייה"),0),0)</f>
        <v/>
      </c>
      <c r="K40" s="26" t="n"/>
    </row>
    <row r="41">
      <c r="A41" s="39" t="n"/>
      <c r="B41" s="26" t="n"/>
      <c r="C41" s="26" t="n"/>
      <c r="D41" s="40" t="n"/>
      <c r="E41" s="29" t="n"/>
      <c r="F41" s="29" t="n"/>
      <c r="G41" s="29" t="n"/>
      <c r="H41" s="28">
        <f>IF(B41="","",IF(B41="קנייה",-(D41*E41+G41),IF(B41="מכירה",D41*E41-G41,IF(B41="דיבידנד",F41-G41,IF(B41="הפקדה",F41-G41,IF(B41="משיכה",-F41-G41,-G41))))))</f>
        <v/>
      </c>
      <c r="I41" s="28">
        <f>IF(B41="קנייה",D41*E41+G41,0)</f>
        <v/>
      </c>
      <c r="J41" s="41">
        <f>IF(B41="מכירה",D41*E41-G41-D41*IFERROR(SUMIFS($I$5:I41,$C$5:C41,C41)/SUMIFS($D$5:D41,$C$5:C41,C41,$B$5:B41,"קנייה"),0),0)</f>
        <v/>
      </c>
      <c r="K41" s="26" t="n"/>
    </row>
    <row r="42">
      <c r="A42" s="39" t="n"/>
      <c r="B42" s="26" t="n"/>
      <c r="C42" s="26" t="n"/>
      <c r="D42" s="40" t="n"/>
      <c r="E42" s="29" t="n"/>
      <c r="F42" s="29" t="n"/>
      <c r="G42" s="29" t="n"/>
      <c r="H42" s="28">
        <f>IF(B42="","",IF(B42="קנייה",-(D42*E42+G42),IF(B42="מכירה",D42*E42-G42,IF(B42="דיבידנד",F42-G42,IF(B42="הפקדה",F42-G42,IF(B42="משיכה",-F42-G42,-G42))))))</f>
        <v/>
      </c>
      <c r="I42" s="28">
        <f>IF(B42="קנייה",D42*E42+G42,0)</f>
        <v/>
      </c>
      <c r="J42" s="41">
        <f>IF(B42="מכירה",D42*E42-G42-D42*IFERROR(SUMIFS($I$5:I42,$C$5:C42,C42)/SUMIFS($D$5:D42,$C$5:C42,C42,$B$5:B42,"קנייה"),0),0)</f>
        <v/>
      </c>
      <c r="K42" s="26" t="n"/>
    </row>
    <row r="43">
      <c r="A43" s="39" t="n"/>
      <c r="B43" s="26" t="n"/>
      <c r="C43" s="26" t="n"/>
      <c r="D43" s="40" t="n"/>
      <c r="E43" s="29" t="n"/>
      <c r="F43" s="29" t="n"/>
      <c r="G43" s="29" t="n"/>
      <c r="H43" s="28">
        <f>IF(B43="","",IF(B43="קנייה",-(D43*E43+G43),IF(B43="מכירה",D43*E43-G43,IF(B43="דיבידנד",F43-G43,IF(B43="הפקדה",F43-G43,IF(B43="משיכה",-F43-G43,-G43))))))</f>
        <v/>
      </c>
      <c r="I43" s="28">
        <f>IF(B43="קנייה",D43*E43+G43,0)</f>
        <v/>
      </c>
      <c r="J43" s="41">
        <f>IF(B43="מכירה",D43*E43-G43-D43*IFERROR(SUMIFS($I$5:I43,$C$5:C43,C43)/SUMIFS($D$5:D43,$C$5:C43,C43,$B$5:B43,"קנייה"),0),0)</f>
        <v/>
      </c>
      <c r="K43" s="26" t="n"/>
    </row>
    <row r="44">
      <c r="A44" s="39" t="n"/>
      <c r="B44" s="26" t="n"/>
      <c r="C44" s="26" t="n"/>
      <c r="D44" s="40" t="n"/>
      <c r="E44" s="29" t="n"/>
      <c r="F44" s="29" t="n"/>
      <c r="G44" s="29" t="n"/>
      <c r="H44" s="28">
        <f>IF(B44="","",IF(B44="קנייה",-(D44*E44+G44),IF(B44="מכירה",D44*E44-G44,IF(B44="דיבידנד",F44-G44,IF(B44="הפקדה",F44-G44,IF(B44="משיכה",-F44-G44,-G44))))))</f>
        <v/>
      </c>
      <c r="I44" s="28">
        <f>IF(B44="קנייה",D44*E44+G44,0)</f>
        <v/>
      </c>
      <c r="J44" s="41">
        <f>IF(B44="מכירה",D44*E44-G44-D44*IFERROR(SUMIFS($I$5:I44,$C$5:C44,C44)/SUMIFS($D$5:D44,$C$5:C44,C44,$B$5:B44,"קנייה"),0),0)</f>
        <v/>
      </c>
      <c r="K44" s="26" t="n"/>
    </row>
    <row r="45">
      <c r="A45" s="39" t="n"/>
      <c r="B45" s="26" t="n"/>
      <c r="C45" s="26" t="n"/>
      <c r="D45" s="40" t="n"/>
      <c r="E45" s="29" t="n"/>
      <c r="F45" s="29" t="n"/>
      <c r="G45" s="29" t="n"/>
      <c r="H45" s="28">
        <f>IF(B45="","",IF(B45="קנייה",-(D45*E45+G45),IF(B45="מכירה",D45*E45-G45,IF(B45="דיבידנד",F45-G45,IF(B45="הפקדה",F45-G45,IF(B45="משיכה",-F45-G45,-G45))))))</f>
        <v/>
      </c>
      <c r="I45" s="28">
        <f>IF(B45="קנייה",D45*E45+G45,0)</f>
        <v/>
      </c>
      <c r="J45" s="41">
        <f>IF(B45="מכירה",D45*E45-G45-D45*IFERROR(SUMIFS($I$5:I45,$C$5:C45,C45)/SUMIFS($D$5:D45,$C$5:C45,C45,$B$5:B45,"קנייה"),0),0)</f>
        <v/>
      </c>
      <c r="K45" s="26" t="n"/>
    </row>
    <row r="46">
      <c r="A46" s="39" t="n"/>
      <c r="B46" s="26" t="n"/>
      <c r="C46" s="26" t="n"/>
      <c r="D46" s="40" t="n"/>
      <c r="E46" s="29" t="n"/>
      <c r="F46" s="29" t="n"/>
      <c r="G46" s="29" t="n"/>
      <c r="H46" s="28">
        <f>IF(B46="","",IF(B46="קנייה",-(D46*E46+G46),IF(B46="מכירה",D46*E46-G46,IF(B46="דיבידנד",F46-G46,IF(B46="הפקדה",F46-G46,IF(B46="משיכה",-F46-G46,-G46))))))</f>
        <v/>
      </c>
      <c r="I46" s="28">
        <f>IF(B46="קנייה",D46*E46+G46,0)</f>
        <v/>
      </c>
      <c r="J46" s="41">
        <f>IF(B46="מכירה",D46*E46-G46-D46*IFERROR(SUMIFS($I$5:I46,$C$5:C46,C46)/SUMIFS($D$5:D46,$C$5:C46,C46,$B$5:B46,"קנייה"),0),0)</f>
        <v/>
      </c>
      <c r="K46" s="26" t="n"/>
    </row>
    <row r="47">
      <c r="A47" s="39" t="n"/>
      <c r="B47" s="26" t="n"/>
      <c r="C47" s="26" t="n"/>
      <c r="D47" s="40" t="n"/>
      <c r="E47" s="29" t="n"/>
      <c r="F47" s="29" t="n"/>
      <c r="G47" s="29" t="n"/>
      <c r="H47" s="28">
        <f>IF(B47="","",IF(B47="קנייה",-(D47*E47+G47),IF(B47="מכירה",D47*E47-G47,IF(B47="דיבידנד",F47-G47,IF(B47="הפקדה",F47-G47,IF(B47="משיכה",-F47-G47,-G47))))))</f>
        <v/>
      </c>
      <c r="I47" s="28">
        <f>IF(B47="קנייה",D47*E47+G47,0)</f>
        <v/>
      </c>
      <c r="J47" s="41">
        <f>IF(B47="מכירה",D47*E47-G47-D47*IFERROR(SUMIFS($I$5:I47,$C$5:C47,C47)/SUMIFS($D$5:D47,$C$5:C47,C47,$B$5:B47,"קנייה"),0),0)</f>
        <v/>
      </c>
      <c r="K47" s="26" t="n"/>
    </row>
    <row r="48">
      <c r="A48" s="39" t="n"/>
      <c r="B48" s="26" t="n"/>
      <c r="C48" s="26" t="n"/>
      <c r="D48" s="40" t="n"/>
      <c r="E48" s="29" t="n"/>
      <c r="F48" s="29" t="n"/>
      <c r="G48" s="29" t="n"/>
      <c r="H48" s="28">
        <f>IF(B48="","",IF(B48="קנייה",-(D48*E48+G48),IF(B48="מכירה",D48*E48-G48,IF(B48="דיבידנד",F48-G48,IF(B48="הפקדה",F48-G48,IF(B48="משיכה",-F48-G48,-G48))))))</f>
        <v/>
      </c>
      <c r="I48" s="28">
        <f>IF(B48="קנייה",D48*E48+G48,0)</f>
        <v/>
      </c>
      <c r="J48" s="41">
        <f>IF(B48="מכירה",D48*E48-G48-D48*IFERROR(SUMIFS($I$5:I48,$C$5:C48,C48)/SUMIFS($D$5:D48,$C$5:C48,C48,$B$5:B48,"קנייה"),0),0)</f>
        <v/>
      </c>
      <c r="K48" s="26" t="n"/>
    </row>
    <row r="49">
      <c r="A49" s="39" t="n"/>
      <c r="B49" s="26" t="n"/>
      <c r="C49" s="26" t="n"/>
      <c r="D49" s="40" t="n"/>
      <c r="E49" s="29" t="n"/>
      <c r="F49" s="29" t="n"/>
      <c r="G49" s="29" t="n"/>
      <c r="H49" s="28">
        <f>IF(B49="","",IF(B49="קנייה",-(D49*E49+G49),IF(B49="מכירה",D49*E49-G49,IF(B49="דיבידנד",F49-G49,IF(B49="הפקדה",F49-G49,IF(B49="משיכה",-F49-G49,-G49))))))</f>
        <v/>
      </c>
      <c r="I49" s="28">
        <f>IF(B49="קנייה",D49*E49+G49,0)</f>
        <v/>
      </c>
      <c r="J49" s="41">
        <f>IF(B49="מכירה",D49*E49-G49-D49*IFERROR(SUMIFS($I$5:I49,$C$5:C49,C49)/SUMIFS($D$5:D49,$C$5:C49,C49,$B$5:B49,"קנייה"),0),0)</f>
        <v/>
      </c>
      <c r="K49" s="26" t="n"/>
    </row>
    <row r="50">
      <c r="A50" s="39" t="n"/>
      <c r="B50" s="26" t="n"/>
      <c r="C50" s="26" t="n"/>
      <c r="D50" s="40" t="n"/>
      <c r="E50" s="29" t="n"/>
      <c r="F50" s="29" t="n"/>
      <c r="G50" s="29" t="n"/>
      <c r="H50" s="28">
        <f>IF(B50="","",IF(B50="קנייה",-(D50*E50+G50),IF(B50="מכירה",D50*E50-G50,IF(B50="דיבידנד",F50-G50,IF(B50="הפקדה",F50-G50,IF(B50="משיכה",-F50-G50,-G50))))))</f>
        <v/>
      </c>
      <c r="I50" s="28">
        <f>IF(B50="קנייה",D50*E50+G50,0)</f>
        <v/>
      </c>
      <c r="J50" s="41">
        <f>IF(B50="מכירה",D50*E50-G50-D50*IFERROR(SUMIFS($I$5:I50,$C$5:C50,C50)/SUMIFS($D$5:D50,$C$5:C50,C50,$B$5:B50,"קנייה"),0),0)</f>
        <v/>
      </c>
      <c r="K50" s="26" t="n"/>
    </row>
    <row r="51">
      <c r="A51" s="39" t="n"/>
      <c r="B51" s="26" t="n"/>
      <c r="C51" s="26" t="n"/>
      <c r="D51" s="40" t="n"/>
      <c r="E51" s="29" t="n"/>
      <c r="F51" s="29" t="n"/>
      <c r="G51" s="29" t="n"/>
      <c r="H51" s="28">
        <f>IF(B51="","",IF(B51="קנייה",-(D51*E51+G51),IF(B51="מכירה",D51*E51-G51,IF(B51="דיבידנד",F51-G51,IF(B51="הפקדה",F51-G51,IF(B51="משיכה",-F51-G51,-G51))))))</f>
        <v/>
      </c>
      <c r="I51" s="28">
        <f>IF(B51="קנייה",D51*E51+G51,0)</f>
        <v/>
      </c>
      <c r="J51" s="41">
        <f>IF(B51="מכירה",D51*E51-G51-D51*IFERROR(SUMIFS($I$5:I51,$C$5:C51,C51)/SUMIFS($D$5:D51,$C$5:C51,C51,$B$5:B51,"קנייה"),0),0)</f>
        <v/>
      </c>
      <c r="K51" s="26" t="n"/>
    </row>
    <row r="52">
      <c r="A52" s="39" t="n"/>
      <c r="B52" s="26" t="n"/>
      <c r="C52" s="26" t="n"/>
      <c r="D52" s="40" t="n"/>
      <c r="E52" s="29" t="n"/>
      <c r="F52" s="29" t="n"/>
      <c r="G52" s="29" t="n"/>
      <c r="H52" s="28">
        <f>IF(B52="","",IF(B52="קנייה",-(D52*E52+G52),IF(B52="מכירה",D52*E52-G52,IF(B52="דיבידנד",F52-G52,IF(B52="הפקדה",F52-G52,IF(B52="משיכה",-F52-G52,-G52))))))</f>
        <v/>
      </c>
      <c r="I52" s="28">
        <f>IF(B52="קנייה",D52*E52+G52,0)</f>
        <v/>
      </c>
      <c r="J52" s="41">
        <f>IF(B52="מכירה",D52*E52-G52-D52*IFERROR(SUMIFS($I$5:I52,$C$5:C52,C52)/SUMIFS($D$5:D52,$C$5:C52,C52,$B$5:B52,"קנייה"),0),0)</f>
        <v/>
      </c>
      <c r="K52" s="26" t="n"/>
    </row>
    <row r="53">
      <c r="A53" s="39" t="n"/>
      <c r="B53" s="26" t="n"/>
      <c r="C53" s="26" t="n"/>
      <c r="D53" s="40" t="n"/>
      <c r="E53" s="29" t="n"/>
      <c r="F53" s="29" t="n"/>
      <c r="G53" s="29" t="n"/>
      <c r="H53" s="28">
        <f>IF(B53="","",IF(B53="קנייה",-(D53*E53+G53),IF(B53="מכירה",D53*E53-G53,IF(B53="דיבידנד",F53-G53,IF(B53="הפקדה",F53-G53,IF(B53="משיכה",-F53-G53,-G53))))))</f>
        <v/>
      </c>
      <c r="I53" s="28">
        <f>IF(B53="קנייה",D53*E53+G53,0)</f>
        <v/>
      </c>
      <c r="J53" s="41">
        <f>IF(B53="מכירה",D53*E53-G53-D53*IFERROR(SUMIFS($I$5:I53,$C$5:C53,C53)/SUMIFS($D$5:D53,$C$5:C53,C53,$B$5:B53,"קנייה"),0),0)</f>
        <v/>
      </c>
      <c r="K53" s="26" t="n"/>
    </row>
    <row r="54">
      <c r="A54" s="39" t="n"/>
      <c r="B54" s="26" t="n"/>
      <c r="C54" s="26" t="n"/>
      <c r="D54" s="40" t="n"/>
      <c r="E54" s="29" t="n"/>
      <c r="F54" s="29" t="n"/>
      <c r="G54" s="29" t="n"/>
      <c r="H54" s="28">
        <f>IF(B54="","",IF(B54="קנייה",-(D54*E54+G54),IF(B54="מכירה",D54*E54-G54,IF(B54="דיבידנד",F54-G54,IF(B54="הפקדה",F54-G54,IF(B54="משיכה",-F54-G54,-G54))))))</f>
        <v/>
      </c>
      <c r="I54" s="28">
        <f>IF(B54="קנייה",D54*E54+G54,0)</f>
        <v/>
      </c>
      <c r="J54" s="41">
        <f>IF(B54="מכירה",D54*E54-G54-D54*IFERROR(SUMIFS($I$5:I54,$C$5:C54,C54)/SUMIFS($D$5:D54,$C$5:C54,C54,$B$5:B54,"קנייה"),0),0)</f>
        <v/>
      </c>
      <c r="K54" s="26" t="n"/>
    </row>
    <row r="55">
      <c r="A55" s="39" t="n"/>
      <c r="B55" s="26" t="n"/>
      <c r="C55" s="26" t="n"/>
      <c r="D55" s="40" t="n"/>
      <c r="E55" s="29" t="n"/>
      <c r="F55" s="29" t="n"/>
      <c r="G55" s="29" t="n"/>
      <c r="H55" s="28">
        <f>IF(B55="","",IF(B55="קנייה",-(D55*E55+G55),IF(B55="מכירה",D55*E55-G55,IF(B55="דיבידנד",F55-G55,IF(B55="הפקדה",F55-G55,IF(B55="משיכה",-F55-G55,-G55))))))</f>
        <v/>
      </c>
      <c r="I55" s="28">
        <f>IF(B55="קנייה",D55*E55+G55,0)</f>
        <v/>
      </c>
      <c r="J55" s="41">
        <f>IF(B55="מכירה",D55*E55-G55-D55*IFERROR(SUMIFS($I$5:I55,$C$5:C55,C55)/SUMIFS($D$5:D55,$C$5:C55,C55,$B$5:B55,"קנייה"),0),0)</f>
        <v/>
      </c>
      <c r="K55" s="26" t="n"/>
    </row>
    <row r="56">
      <c r="A56" s="39" t="n"/>
      <c r="B56" s="26" t="n"/>
      <c r="C56" s="26" t="n"/>
      <c r="D56" s="40" t="n"/>
      <c r="E56" s="29" t="n"/>
      <c r="F56" s="29" t="n"/>
      <c r="G56" s="29" t="n"/>
      <c r="H56" s="28">
        <f>IF(B56="","",IF(B56="קנייה",-(D56*E56+G56),IF(B56="מכירה",D56*E56-G56,IF(B56="דיבידנד",F56-G56,IF(B56="הפקדה",F56-G56,IF(B56="משיכה",-F56-G56,-G56))))))</f>
        <v/>
      </c>
      <c r="I56" s="28">
        <f>IF(B56="קנייה",D56*E56+G56,0)</f>
        <v/>
      </c>
      <c r="J56" s="41">
        <f>IF(B56="מכירה",D56*E56-G56-D56*IFERROR(SUMIFS($I$5:I56,$C$5:C56,C56)/SUMIFS($D$5:D56,$C$5:C56,C56,$B$5:B56,"קנייה"),0),0)</f>
        <v/>
      </c>
      <c r="K56" s="26" t="n"/>
    </row>
    <row r="57">
      <c r="A57" s="39" t="n"/>
      <c r="B57" s="26" t="n"/>
      <c r="C57" s="26" t="n"/>
      <c r="D57" s="40" t="n"/>
      <c r="E57" s="29" t="n"/>
      <c r="F57" s="29" t="n"/>
      <c r="G57" s="29" t="n"/>
      <c r="H57" s="28">
        <f>IF(B57="","",IF(B57="קנייה",-(D57*E57+G57),IF(B57="מכירה",D57*E57-G57,IF(B57="דיבידנד",F57-G57,IF(B57="הפקדה",F57-G57,IF(B57="משיכה",-F57-G57,-G57))))))</f>
        <v/>
      </c>
      <c r="I57" s="28">
        <f>IF(B57="קנייה",D57*E57+G57,0)</f>
        <v/>
      </c>
      <c r="J57" s="41">
        <f>IF(B57="מכירה",D57*E57-G57-D57*IFERROR(SUMIFS($I$5:I57,$C$5:C57,C57)/SUMIFS($D$5:D57,$C$5:C57,C57,$B$5:B57,"קנייה"),0),0)</f>
        <v/>
      </c>
      <c r="K57" s="26" t="n"/>
    </row>
    <row r="58">
      <c r="A58" s="39" t="n"/>
      <c r="B58" s="26" t="n"/>
      <c r="C58" s="26" t="n"/>
      <c r="D58" s="40" t="n"/>
      <c r="E58" s="29" t="n"/>
      <c r="F58" s="29" t="n"/>
      <c r="G58" s="29" t="n"/>
      <c r="H58" s="28">
        <f>IF(B58="","",IF(B58="קנייה",-(D58*E58+G58),IF(B58="מכירה",D58*E58-G58,IF(B58="דיבידנד",F58-G58,IF(B58="הפקדה",F58-G58,IF(B58="משיכה",-F58-G58,-G58))))))</f>
        <v/>
      </c>
      <c r="I58" s="28">
        <f>IF(B58="קנייה",D58*E58+G58,0)</f>
        <v/>
      </c>
      <c r="J58" s="41">
        <f>IF(B58="מכירה",D58*E58-G58-D58*IFERROR(SUMIFS($I$5:I58,$C$5:C58,C58)/SUMIFS($D$5:D58,$C$5:C58,C58,$B$5:B58,"קנייה"),0),0)</f>
        <v/>
      </c>
      <c r="K58" s="26" t="n"/>
    </row>
    <row r="59">
      <c r="A59" s="39" t="n"/>
      <c r="B59" s="26" t="n"/>
      <c r="C59" s="26" t="n"/>
      <c r="D59" s="40" t="n"/>
      <c r="E59" s="29" t="n"/>
      <c r="F59" s="29" t="n"/>
      <c r="G59" s="29" t="n"/>
      <c r="H59" s="28">
        <f>IF(B59="","",IF(B59="קנייה",-(D59*E59+G59),IF(B59="מכירה",D59*E59-G59,IF(B59="דיבידנד",F59-G59,IF(B59="הפקדה",F59-G59,IF(B59="משיכה",-F59-G59,-G59))))))</f>
        <v/>
      </c>
      <c r="I59" s="28">
        <f>IF(B59="קנייה",D59*E59+G59,0)</f>
        <v/>
      </c>
      <c r="J59" s="41">
        <f>IF(B59="מכירה",D59*E59-G59-D59*IFERROR(SUMIFS($I$5:I59,$C$5:C59,C59)/SUMIFS($D$5:D59,$C$5:C59,C59,$B$5:B59,"קנייה"),0),0)</f>
        <v/>
      </c>
      <c r="K59" s="26" t="n"/>
    </row>
    <row r="60">
      <c r="A60" s="39" t="n"/>
      <c r="B60" s="26" t="n"/>
      <c r="C60" s="26" t="n"/>
      <c r="D60" s="40" t="n"/>
      <c r="E60" s="29" t="n"/>
      <c r="F60" s="29" t="n"/>
      <c r="G60" s="29" t="n"/>
      <c r="H60" s="28">
        <f>IF(B60="","",IF(B60="קנייה",-(D60*E60+G60),IF(B60="מכירה",D60*E60-G60,IF(B60="דיבידנד",F60-G60,IF(B60="הפקדה",F60-G60,IF(B60="משיכה",-F60-G60,-G60))))))</f>
        <v/>
      </c>
      <c r="I60" s="28">
        <f>IF(B60="קנייה",D60*E60+G60,0)</f>
        <v/>
      </c>
      <c r="J60" s="41">
        <f>IF(B60="מכירה",D60*E60-G60-D60*IFERROR(SUMIFS($I$5:I60,$C$5:C60,C60)/SUMIFS($D$5:D60,$C$5:C60,C60,$B$5:B60,"קנייה"),0),0)</f>
        <v/>
      </c>
      <c r="K60" s="26" t="n"/>
    </row>
    <row r="61">
      <c r="A61" s="39" t="n"/>
      <c r="B61" s="26" t="n"/>
      <c r="C61" s="26" t="n"/>
      <c r="D61" s="40" t="n"/>
      <c r="E61" s="29" t="n"/>
      <c r="F61" s="29" t="n"/>
      <c r="G61" s="29" t="n"/>
      <c r="H61" s="28">
        <f>IF(B61="","",IF(B61="קנייה",-(D61*E61+G61),IF(B61="מכירה",D61*E61-G61,IF(B61="דיבידנד",F61-G61,IF(B61="הפקדה",F61-G61,IF(B61="משיכה",-F61-G61,-G61))))))</f>
        <v/>
      </c>
      <c r="I61" s="28">
        <f>IF(B61="קנייה",D61*E61+G61,0)</f>
        <v/>
      </c>
      <c r="J61" s="41">
        <f>IF(B61="מכירה",D61*E61-G61-D61*IFERROR(SUMIFS($I$5:I61,$C$5:C61,C61)/SUMIFS($D$5:D61,$C$5:C61,C61,$B$5:B61,"קנייה"),0),0)</f>
        <v/>
      </c>
      <c r="K61" s="26" t="n"/>
    </row>
    <row r="62">
      <c r="A62" s="39" t="n"/>
      <c r="B62" s="26" t="n"/>
      <c r="C62" s="26" t="n"/>
      <c r="D62" s="40" t="n"/>
      <c r="E62" s="29" t="n"/>
      <c r="F62" s="29" t="n"/>
      <c r="G62" s="29" t="n"/>
      <c r="H62" s="28">
        <f>IF(B62="","",IF(B62="קנייה",-(D62*E62+G62),IF(B62="מכירה",D62*E62-G62,IF(B62="דיבידנד",F62-G62,IF(B62="הפקדה",F62-G62,IF(B62="משיכה",-F62-G62,-G62))))))</f>
        <v/>
      </c>
      <c r="I62" s="28">
        <f>IF(B62="קנייה",D62*E62+G62,0)</f>
        <v/>
      </c>
      <c r="J62" s="41">
        <f>IF(B62="מכירה",D62*E62-G62-D62*IFERROR(SUMIFS($I$5:I62,$C$5:C62,C62)/SUMIFS($D$5:D62,$C$5:C62,C62,$B$5:B62,"קנייה"),0),0)</f>
        <v/>
      </c>
      <c r="K62" s="26" t="n"/>
    </row>
    <row r="63">
      <c r="A63" s="39" t="n"/>
      <c r="B63" s="26" t="n"/>
      <c r="C63" s="26" t="n"/>
      <c r="D63" s="40" t="n"/>
      <c r="E63" s="29" t="n"/>
      <c r="F63" s="29" t="n"/>
      <c r="G63" s="29" t="n"/>
      <c r="H63" s="28">
        <f>IF(B63="","",IF(B63="קנייה",-(D63*E63+G63),IF(B63="מכירה",D63*E63-G63,IF(B63="דיבידנד",F63-G63,IF(B63="הפקדה",F63-G63,IF(B63="משיכה",-F63-G63,-G63))))))</f>
        <v/>
      </c>
      <c r="I63" s="28">
        <f>IF(B63="קנייה",D63*E63+G63,0)</f>
        <v/>
      </c>
      <c r="J63" s="41">
        <f>IF(B63="מכירה",D63*E63-G63-D63*IFERROR(SUMIFS($I$5:I63,$C$5:C63,C63)/SUMIFS($D$5:D63,$C$5:C63,C63,$B$5:B63,"קנייה"),0),0)</f>
        <v/>
      </c>
      <c r="K63" s="26" t="n"/>
    </row>
    <row r="64">
      <c r="A64" s="39" t="n"/>
      <c r="B64" s="26" t="n"/>
      <c r="C64" s="26" t="n"/>
      <c r="D64" s="40" t="n"/>
      <c r="E64" s="29" t="n"/>
      <c r="F64" s="29" t="n"/>
      <c r="G64" s="29" t="n"/>
      <c r="H64" s="28">
        <f>IF(B64="","",IF(B64="קנייה",-(D64*E64+G64),IF(B64="מכירה",D64*E64-G64,IF(B64="דיבידנד",F64-G64,IF(B64="הפקדה",F64-G64,IF(B64="משיכה",-F64-G64,-G64))))))</f>
        <v/>
      </c>
      <c r="I64" s="28">
        <f>IF(B64="קנייה",D64*E64+G64,0)</f>
        <v/>
      </c>
      <c r="J64" s="41">
        <f>IF(B64="מכירה",D64*E64-G64-D64*IFERROR(SUMIFS($I$5:I64,$C$5:C64,C64)/SUMIFS($D$5:D64,$C$5:C64,C64,$B$5:B64,"קנייה"),0),0)</f>
        <v/>
      </c>
      <c r="K64" s="26" t="n"/>
    </row>
    <row r="65">
      <c r="A65" s="39" t="n"/>
      <c r="B65" s="26" t="n"/>
      <c r="C65" s="26" t="n"/>
      <c r="D65" s="40" t="n"/>
      <c r="E65" s="29" t="n"/>
      <c r="F65" s="29" t="n"/>
      <c r="G65" s="29" t="n"/>
      <c r="H65" s="28">
        <f>IF(B65="","",IF(B65="קנייה",-(D65*E65+G65),IF(B65="מכירה",D65*E65-G65,IF(B65="דיבידנד",F65-G65,IF(B65="הפקדה",F65-G65,IF(B65="משיכה",-F65-G65,-G65))))))</f>
        <v/>
      </c>
      <c r="I65" s="28">
        <f>IF(B65="קנייה",D65*E65+G65,0)</f>
        <v/>
      </c>
      <c r="J65" s="41">
        <f>IF(B65="מכירה",D65*E65-G65-D65*IFERROR(SUMIFS($I$5:I65,$C$5:C65,C65)/SUMIFS($D$5:D65,$C$5:C65,C65,$B$5:B65,"קנייה"),0),0)</f>
        <v/>
      </c>
      <c r="K65" s="26" t="n"/>
    </row>
    <row r="66">
      <c r="A66" s="39" t="n"/>
      <c r="B66" s="26" t="n"/>
      <c r="C66" s="26" t="n"/>
      <c r="D66" s="40" t="n"/>
      <c r="E66" s="29" t="n"/>
      <c r="F66" s="29" t="n"/>
      <c r="G66" s="29" t="n"/>
      <c r="H66" s="28">
        <f>IF(B66="","",IF(B66="קנייה",-(D66*E66+G66),IF(B66="מכירה",D66*E66-G66,IF(B66="דיבידנד",F66-G66,IF(B66="הפקדה",F66-G66,IF(B66="משיכה",-F66-G66,-G66))))))</f>
        <v/>
      </c>
      <c r="I66" s="28">
        <f>IF(B66="קנייה",D66*E66+G66,0)</f>
        <v/>
      </c>
      <c r="J66" s="41">
        <f>IF(B66="מכירה",D66*E66-G66-D66*IFERROR(SUMIFS($I$5:I66,$C$5:C66,C66)/SUMIFS($D$5:D66,$C$5:C66,C66,$B$5:B66,"קנייה"),0),0)</f>
        <v/>
      </c>
      <c r="K66" s="26" t="n"/>
    </row>
    <row r="67">
      <c r="A67" s="39" t="n"/>
      <c r="B67" s="26" t="n"/>
      <c r="C67" s="26" t="n"/>
      <c r="D67" s="40" t="n"/>
      <c r="E67" s="29" t="n"/>
      <c r="F67" s="29" t="n"/>
      <c r="G67" s="29" t="n"/>
      <c r="H67" s="28">
        <f>IF(B67="","",IF(B67="קנייה",-(D67*E67+G67),IF(B67="מכירה",D67*E67-G67,IF(B67="דיבידנד",F67-G67,IF(B67="הפקדה",F67-G67,IF(B67="משיכה",-F67-G67,-G67))))))</f>
        <v/>
      </c>
      <c r="I67" s="28">
        <f>IF(B67="קנייה",D67*E67+G67,0)</f>
        <v/>
      </c>
      <c r="J67" s="41">
        <f>IF(B67="מכירה",D67*E67-G67-D67*IFERROR(SUMIFS($I$5:I67,$C$5:C67,C67)/SUMIFS($D$5:D67,$C$5:C67,C67,$B$5:B67,"קנייה"),0),0)</f>
        <v/>
      </c>
      <c r="K67" s="26" t="n"/>
    </row>
    <row r="68">
      <c r="A68" s="39" t="n"/>
      <c r="B68" s="26" t="n"/>
      <c r="C68" s="26" t="n"/>
      <c r="D68" s="40" t="n"/>
      <c r="E68" s="29" t="n"/>
      <c r="F68" s="29" t="n"/>
      <c r="G68" s="29" t="n"/>
      <c r="H68" s="28">
        <f>IF(B68="","",IF(B68="קנייה",-(D68*E68+G68),IF(B68="מכירה",D68*E68-G68,IF(B68="דיבידנד",F68-G68,IF(B68="הפקדה",F68-G68,IF(B68="משיכה",-F68-G68,-G68))))))</f>
        <v/>
      </c>
      <c r="I68" s="28">
        <f>IF(B68="קנייה",D68*E68+G68,0)</f>
        <v/>
      </c>
      <c r="J68" s="41">
        <f>IF(B68="מכירה",D68*E68-G68-D68*IFERROR(SUMIFS($I$5:I68,$C$5:C68,C68)/SUMIFS($D$5:D68,$C$5:C68,C68,$B$5:B68,"קנייה"),0),0)</f>
        <v/>
      </c>
      <c r="K68" s="26" t="n"/>
    </row>
    <row r="69">
      <c r="A69" s="39" t="n"/>
      <c r="B69" s="26" t="n"/>
      <c r="C69" s="26" t="n"/>
      <c r="D69" s="40" t="n"/>
      <c r="E69" s="29" t="n"/>
      <c r="F69" s="29" t="n"/>
      <c r="G69" s="29" t="n"/>
      <c r="H69" s="28">
        <f>IF(B69="","",IF(B69="קנייה",-(D69*E69+G69),IF(B69="מכירה",D69*E69-G69,IF(B69="דיבידנד",F69-G69,IF(B69="הפקדה",F69-G69,IF(B69="משיכה",-F69-G69,-G69))))))</f>
        <v/>
      </c>
      <c r="I69" s="28">
        <f>IF(B69="קנייה",D69*E69+G69,0)</f>
        <v/>
      </c>
      <c r="J69" s="41">
        <f>IF(B69="מכירה",D69*E69-G69-D69*IFERROR(SUMIFS($I$5:I69,$C$5:C69,C69)/SUMIFS($D$5:D69,$C$5:C69,C69,$B$5:B69,"קנייה"),0),0)</f>
        <v/>
      </c>
      <c r="K69" s="26" t="n"/>
    </row>
    <row r="70">
      <c r="A70" s="39" t="n"/>
      <c r="B70" s="26" t="n"/>
      <c r="C70" s="26" t="n"/>
      <c r="D70" s="40" t="n"/>
      <c r="E70" s="29" t="n"/>
      <c r="F70" s="29" t="n"/>
      <c r="G70" s="29" t="n"/>
      <c r="H70" s="28">
        <f>IF(B70="","",IF(B70="קנייה",-(D70*E70+G70),IF(B70="מכירה",D70*E70-G70,IF(B70="דיבידנד",F70-G70,IF(B70="הפקדה",F70-G70,IF(B70="משיכה",-F70-G70,-G70))))))</f>
        <v/>
      </c>
      <c r="I70" s="28">
        <f>IF(B70="קנייה",D70*E70+G70,0)</f>
        <v/>
      </c>
      <c r="J70" s="41">
        <f>IF(B70="מכירה",D70*E70-G70-D70*IFERROR(SUMIFS($I$5:I70,$C$5:C70,C70)/SUMIFS($D$5:D70,$C$5:C70,C70,$B$5:B70,"קנייה"),0),0)</f>
        <v/>
      </c>
      <c r="K70" s="26" t="n"/>
    </row>
    <row r="71">
      <c r="A71" s="39" t="n"/>
      <c r="B71" s="26" t="n"/>
      <c r="C71" s="26" t="n"/>
      <c r="D71" s="40" t="n"/>
      <c r="E71" s="29" t="n"/>
      <c r="F71" s="29" t="n"/>
      <c r="G71" s="29" t="n"/>
      <c r="H71" s="28">
        <f>IF(B71="","",IF(B71="קנייה",-(D71*E71+G71),IF(B71="מכירה",D71*E71-G71,IF(B71="דיבידנד",F71-G71,IF(B71="הפקדה",F71-G71,IF(B71="משיכה",-F71-G71,-G71))))))</f>
        <v/>
      </c>
      <c r="I71" s="28">
        <f>IF(B71="קנייה",D71*E71+G71,0)</f>
        <v/>
      </c>
      <c r="J71" s="41">
        <f>IF(B71="מכירה",D71*E71-G71-D71*IFERROR(SUMIFS($I$5:I71,$C$5:C71,C71)/SUMIFS($D$5:D71,$C$5:C71,C71,$B$5:B71,"קנייה"),0),0)</f>
        <v/>
      </c>
      <c r="K71" s="26" t="n"/>
    </row>
    <row r="72">
      <c r="A72" s="39" t="n"/>
      <c r="B72" s="26" t="n"/>
      <c r="C72" s="26" t="n"/>
      <c r="D72" s="40" t="n"/>
      <c r="E72" s="29" t="n"/>
      <c r="F72" s="29" t="n"/>
      <c r="G72" s="29" t="n"/>
      <c r="H72" s="28">
        <f>IF(B72="","",IF(B72="קנייה",-(D72*E72+G72),IF(B72="מכירה",D72*E72-G72,IF(B72="דיבידנד",F72-G72,IF(B72="הפקדה",F72-G72,IF(B72="משיכה",-F72-G72,-G72))))))</f>
        <v/>
      </c>
      <c r="I72" s="28">
        <f>IF(B72="קנייה",D72*E72+G72,0)</f>
        <v/>
      </c>
      <c r="J72" s="41">
        <f>IF(B72="מכירה",D72*E72-G72-D72*IFERROR(SUMIFS($I$5:I72,$C$5:C72,C72)/SUMIFS($D$5:D72,$C$5:C72,C72,$B$5:B72,"קנייה"),0),0)</f>
        <v/>
      </c>
      <c r="K72" s="26" t="n"/>
    </row>
    <row r="73">
      <c r="A73" s="39" t="n"/>
      <c r="B73" s="26" t="n"/>
      <c r="C73" s="26" t="n"/>
      <c r="D73" s="40" t="n"/>
      <c r="E73" s="29" t="n"/>
      <c r="F73" s="29" t="n"/>
      <c r="G73" s="29" t="n"/>
      <c r="H73" s="28">
        <f>IF(B73="","",IF(B73="קנייה",-(D73*E73+G73),IF(B73="מכירה",D73*E73-G73,IF(B73="דיבידנד",F73-G73,IF(B73="הפקדה",F73-G73,IF(B73="משיכה",-F73-G73,-G73))))))</f>
        <v/>
      </c>
      <c r="I73" s="28">
        <f>IF(B73="קנייה",D73*E73+G73,0)</f>
        <v/>
      </c>
      <c r="J73" s="41">
        <f>IF(B73="מכירה",D73*E73-G73-D73*IFERROR(SUMIFS($I$5:I73,$C$5:C73,C73)/SUMIFS($D$5:D73,$C$5:C73,C73,$B$5:B73,"קנייה"),0),0)</f>
        <v/>
      </c>
      <c r="K73" s="26" t="n"/>
    </row>
    <row r="74">
      <c r="A74" s="39" t="n"/>
      <c r="B74" s="26" t="n"/>
      <c r="C74" s="26" t="n"/>
      <c r="D74" s="40" t="n"/>
      <c r="E74" s="29" t="n"/>
      <c r="F74" s="29" t="n"/>
      <c r="G74" s="29" t="n"/>
      <c r="H74" s="28">
        <f>IF(B74="","",IF(B74="קנייה",-(D74*E74+G74),IF(B74="מכירה",D74*E74-G74,IF(B74="דיבידנד",F74-G74,IF(B74="הפקדה",F74-G74,IF(B74="משיכה",-F74-G74,-G74))))))</f>
        <v/>
      </c>
      <c r="I74" s="28">
        <f>IF(B74="קנייה",D74*E74+G74,0)</f>
        <v/>
      </c>
      <c r="J74" s="41">
        <f>IF(B74="מכירה",D74*E74-G74-D74*IFERROR(SUMIFS($I$5:I74,$C$5:C74,C74)/SUMIFS($D$5:D74,$C$5:C74,C74,$B$5:B74,"קנייה"),0),0)</f>
        <v/>
      </c>
      <c r="K74" s="26" t="n"/>
    </row>
    <row r="75">
      <c r="A75" s="39" t="n"/>
      <c r="B75" s="26" t="n"/>
      <c r="C75" s="26" t="n"/>
      <c r="D75" s="40" t="n"/>
      <c r="E75" s="29" t="n"/>
      <c r="F75" s="29" t="n"/>
      <c r="G75" s="29" t="n"/>
      <c r="H75" s="28">
        <f>IF(B75="","",IF(B75="קנייה",-(D75*E75+G75),IF(B75="מכירה",D75*E75-G75,IF(B75="דיבידנד",F75-G75,IF(B75="הפקדה",F75-G75,IF(B75="משיכה",-F75-G75,-G75))))))</f>
        <v/>
      </c>
      <c r="I75" s="28">
        <f>IF(B75="קנייה",D75*E75+G75,0)</f>
        <v/>
      </c>
      <c r="J75" s="41">
        <f>IF(B75="מכירה",D75*E75-G75-D75*IFERROR(SUMIFS($I$5:I75,$C$5:C75,C75)/SUMIFS($D$5:D75,$C$5:C75,C75,$B$5:B75,"קנייה"),0),0)</f>
        <v/>
      </c>
      <c r="K75" s="26" t="n"/>
    </row>
    <row r="76">
      <c r="A76" s="39" t="n"/>
      <c r="B76" s="26" t="n"/>
      <c r="C76" s="26" t="n"/>
      <c r="D76" s="40" t="n"/>
      <c r="E76" s="29" t="n"/>
      <c r="F76" s="29" t="n"/>
      <c r="G76" s="29" t="n"/>
      <c r="H76" s="28">
        <f>IF(B76="","",IF(B76="קנייה",-(D76*E76+G76),IF(B76="מכירה",D76*E76-G76,IF(B76="דיבידנד",F76-G76,IF(B76="הפקדה",F76-G76,IF(B76="משיכה",-F76-G76,-G76))))))</f>
        <v/>
      </c>
      <c r="I76" s="28">
        <f>IF(B76="קנייה",D76*E76+G76,0)</f>
        <v/>
      </c>
      <c r="J76" s="41">
        <f>IF(B76="מכירה",D76*E76-G76-D76*IFERROR(SUMIFS($I$5:I76,$C$5:C76,C76)/SUMIFS($D$5:D76,$C$5:C76,C76,$B$5:B76,"קנייה"),0),0)</f>
        <v/>
      </c>
      <c r="K76" s="26" t="n"/>
    </row>
    <row r="77">
      <c r="A77" s="39" t="n"/>
      <c r="B77" s="26" t="n"/>
      <c r="C77" s="26" t="n"/>
      <c r="D77" s="40" t="n"/>
      <c r="E77" s="29" t="n"/>
      <c r="F77" s="29" t="n"/>
      <c r="G77" s="29" t="n"/>
      <c r="H77" s="28">
        <f>IF(B77="","",IF(B77="קנייה",-(D77*E77+G77),IF(B77="מכירה",D77*E77-G77,IF(B77="דיבידנד",F77-G77,IF(B77="הפקדה",F77-G77,IF(B77="משיכה",-F77-G77,-G77))))))</f>
        <v/>
      </c>
      <c r="I77" s="28">
        <f>IF(B77="קנייה",D77*E77+G77,0)</f>
        <v/>
      </c>
      <c r="J77" s="41">
        <f>IF(B77="מכירה",D77*E77-G77-D77*IFERROR(SUMIFS($I$5:I77,$C$5:C77,C77)/SUMIFS($D$5:D77,$C$5:C77,C77,$B$5:B77,"קנייה"),0),0)</f>
        <v/>
      </c>
      <c r="K77" s="26" t="n"/>
    </row>
    <row r="78">
      <c r="A78" s="39" t="n"/>
      <c r="B78" s="26" t="n"/>
      <c r="C78" s="26" t="n"/>
      <c r="D78" s="40" t="n"/>
      <c r="E78" s="29" t="n"/>
      <c r="F78" s="29" t="n"/>
      <c r="G78" s="29" t="n"/>
      <c r="H78" s="28">
        <f>IF(B78="","",IF(B78="קנייה",-(D78*E78+G78),IF(B78="מכירה",D78*E78-G78,IF(B78="דיבידנד",F78-G78,IF(B78="הפקדה",F78-G78,IF(B78="משיכה",-F78-G78,-G78))))))</f>
        <v/>
      </c>
      <c r="I78" s="28">
        <f>IF(B78="קנייה",D78*E78+G78,0)</f>
        <v/>
      </c>
      <c r="J78" s="41">
        <f>IF(B78="מכירה",D78*E78-G78-D78*IFERROR(SUMIFS($I$5:I78,$C$5:C78,C78)/SUMIFS($D$5:D78,$C$5:C78,C78,$B$5:B78,"קנייה"),0),0)</f>
        <v/>
      </c>
      <c r="K78" s="26" t="n"/>
    </row>
    <row r="79">
      <c r="A79" s="39" t="n"/>
      <c r="B79" s="26" t="n"/>
      <c r="C79" s="26" t="n"/>
      <c r="D79" s="40" t="n"/>
      <c r="E79" s="29" t="n"/>
      <c r="F79" s="29" t="n"/>
      <c r="G79" s="29" t="n"/>
      <c r="H79" s="28">
        <f>IF(B79="","",IF(B79="קנייה",-(D79*E79+G79),IF(B79="מכירה",D79*E79-G79,IF(B79="דיבידנד",F79-G79,IF(B79="הפקדה",F79-G79,IF(B79="משיכה",-F79-G79,-G79))))))</f>
        <v/>
      </c>
      <c r="I79" s="28">
        <f>IF(B79="קנייה",D79*E79+G79,0)</f>
        <v/>
      </c>
      <c r="J79" s="41">
        <f>IF(B79="מכירה",D79*E79-G79-D79*IFERROR(SUMIFS($I$5:I79,$C$5:C79,C79)/SUMIFS($D$5:D79,$C$5:C79,C79,$B$5:B79,"קנייה"),0),0)</f>
        <v/>
      </c>
      <c r="K79" s="26" t="n"/>
    </row>
    <row r="80">
      <c r="A80" s="39" t="n"/>
      <c r="B80" s="26" t="n"/>
      <c r="C80" s="26" t="n"/>
      <c r="D80" s="40" t="n"/>
      <c r="E80" s="29" t="n"/>
      <c r="F80" s="29" t="n"/>
      <c r="G80" s="29" t="n"/>
      <c r="H80" s="28">
        <f>IF(B80="","",IF(B80="קנייה",-(D80*E80+G80),IF(B80="מכירה",D80*E80-G80,IF(B80="דיבידנד",F80-G80,IF(B80="הפקדה",F80-G80,IF(B80="משיכה",-F80-G80,-G80))))))</f>
        <v/>
      </c>
      <c r="I80" s="28">
        <f>IF(B80="קנייה",D80*E80+G80,0)</f>
        <v/>
      </c>
      <c r="J80" s="41">
        <f>IF(B80="מכירה",D80*E80-G80-D80*IFERROR(SUMIFS($I$5:I80,$C$5:C80,C80)/SUMIFS($D$5:D80,$C$5:C80,C80,$B$5:B80,"קנייה"),0),0)</f>
        <v/>
      </c>
      <c r="K80" s="26" t="n"/>
    </row>
    <row r="81">
      <c r="A81" s="39" t="n"/>
      <c r="B81" s="26" t="n"/>
      <c r="C81" s="26" t="n"/>
      <c r="D81" s="40" t="n"/>
      <c r="E81" s="29" t="n"/>
      <c r="F81" s="29" t="n"/>
      <c r="G81" s="29" t="n"/>
      <c r="H81" s="28">
        <f>IF(B81="","",IF(B81="קנייה",-(D81*E81+G81),IF(B81="מכירה",D81*E81-G81,IF(B81="דיבידנד",F81-G81,IF(B81="הפקדה",F81-G81,IF(B81="משיכה",-F81-G81,-G81))))))</f>
        <v/>
      </c>
      <c r="I81" s="28">
        <f>IF(B81="קנייה",D81*E81+G81,0)</f>
        <v/>
      </c>
      <c r="J81" s="41">
        <f>IF(B81="מכירה",D81*E81-G81-D81*IFERROR(SUMIFS($I$5:I81,$C$5:C81,C81)/SUMIFS($D$5:D81,$C$5:C81,C81,$B$5:B81,"קנייה"),0),0)</f>
        <v/>
      </c>
      <c r="K81" s="26" t="n"/>
    </row>
    <row r="82">
      <c r="A82" s="39" t="n"/>
      <c r="B82" s="26" t="n"/>
      <c r="C82" s="26" t="n"/>
      <c r="D82" s="40" t="n"/>
      <c r="E82" s="29" t="n"/>
      <c r="F82" s="29" t="n"/>
      <c r="G82" s="29" t="n"/>
      <c r="H82" s="28">
        <f>IF(B82="","",IF(B82="קנייה",-(D82*E82+G82),IF(B82="מכירה",D82*E82-G82,IF(B82="דיבידנד",F82-G82,IF(B82="הפקדה",F82-G82,IF(B82="משיכה",-F82-G82,-G82))))))</f>
        <v/>
      </c>
      <c r="I82" s="28">
        <f>IF(B82="קנייה",D82*E82+G82,0)</f>
        <v/>
      </c>
      <c r="J82" s="41">
        <f>IF(B82="מכירה",D82*E82-G82-D82*IFERROR(SUMIFS($I$5:I82,$C$5:C82,C82)/SUMIFS($D$5:D82,$C$5:C82,C82,$B$5:B82,"קנייה"),0),0)</f>
        <v/>
      </c>
      <c r="K82" s="26" t="n"/>
    </row>
    <row r="83">
      <c r="A83" s="39" t="n"/>
      <c r="B83" s="26" t="n"/>
      <c r="C83" s="26" t="n"/>
      <c r="D83" s="40" t="n"/>
      <c r="E83" s="29" t="n"/>
      <c r="F83" s="29" t="n"/>
      <c r="G83" s="29" t="n"/>
      <c r="H83" s="28">
        <f>IF(B83="","",IF(B83="קנייה",-(D83*E83+G83),IF(B83="מכירה",D83*E83-G83,IF(B83="דיבידנד",F83-G83,IF(B83="הפקדה",F83-G83,IF(B83="משיכה",-F83-G83,-G83))))))</f>
        <v/>
      </c>
      <c r="I83" s="28">
        <f>IF(B83="קנייה",D83*E83+G83,0)</f>
        <v/>
      </c>
      <c r="J83" s="41">
        <f>IF(B83="מכירה",D83*E83-G83-D83*IFERROR(SUMIFS($I$5:I83,$C$5:C83,C83)/SUMIFS($D$5:D83,$C$5:C83,C83,$B$5:B83,"קנייה"),0),0)</f>
        <v/>
      </c>
      <c r="K83" s="26" t="n"/>
    </row>
    <row r="84">
      <c r="A84" s="39" t="n"/>
      <c r="B84" s="26" t="n"/>
      <c r="C84" s="26" t="n"/>
      <c r="D84" s="40" t="n"/>
      <c r="E84" s="29" t="n"/>
      <c r="F84" s="29" t="n"/>
      <c r="G84" s="29" t="n"/>
      <c r="H84" s="28">
        <f>IF(B84="","",IF(B84="קנייה",-(D84*E84+G84),IF(B84="מכירה",D84*E84-G84,IF(B84="דיבידנד",F84-G84,IF(B84="הפקדה",F84-G84,IF(B84="משיכה",-F84-G84,-G84))))))</f>
        <v/>
      </c>
      <c r="I84" s="28">
        <f>IF(B84="קנייה",D84*E84+G84,0)</f>
        <v/>
      </c>
      <c r="J84" s="41">
        <f>IF(B84="מכירה",D84*E84-G84-D84*IFERROR(SUMIFS($I$5:I84,$C$5:C84,C84)/SUMIFS($D$5:D84,$C$5:C84,C84,$B$5:B84,"קנייה"),0),0)</f>
        <v/>
      </c>
      <c r="K84" s="26" t="n"/>
    </row>
    <row r="85">
      <c r="A85" s="39" t="n"/>
      <c r="B85" s="26" t="n"/>
      <c r="C85" s="26" t="n"/>
      <c r="D85" s="40" t="n"/>
      <c r="E85" s="29" t="n"/>
      <c r="F85" s="29" t="n"/>
      <c r="G85" s="29" t="n"/>
      <c r="H85" s="28">
        <f>IF(B85="","",IF(B85="קנייה",-(D85*E85+G85),IF(B85="מכירה",D85*E85-G85,IF(B85="דיבידנד",F85-G85,IF(B85="הפקדה",F85-G85,IF(B85="משיכה",-F85-G85,-G85))))))</f>
        <v/>
      </c>
      <c r="I85" s="28">
        <f>IF(B85="קנייה",D85*E85+G85,0)</f>
        <v/>
      </c>
      <c r="J85" s="41">
        <f>IF(B85="מכירה",D85*E85-G85-D85*IFERROR(SUMIFS($I$5:I85,$C$5:C85,C85)/SUMIFS($D$5:D85,$C$5:C85,C85,$B$5:B85,"קנייה"),0),0)</f>
        <v/>
      </c>
      <c r="K85" s="26" t="n"/>
    </row>
    <row r="86">
      <c r="A86" s="39" t="n"/>
      <c r="B86" s="26" t="n"/>
      <c r="C86" s="26" t="n"/>
      <c r="D86" s="40" t="n"/>
      <c r="E86" s="29" t="n"/>
      <c r="F86" s="29" t="n"/>
      <c r="G86" s="29" t="n"/>
      <c r="H86" s="28">
        <f>IF(B86="","",IF(B86="קנייה",-(D86*E86+G86),IF(B86="מכירה",D86*E86-G86,IF(B86="דיבידנד",F86-G86,IF(B86="הפקדה",F86-G86,IF(B86="משיכה",-F86-G86,-G86))))))</f>
        <v/>
      </c>
      <c r="I86" s="28">
        <f>IF(B86="קנייה",D86*E86+G86,0)</f>
        <v/>
      </c>
      <c r="J86" s="41">
        <f>IF(B86="מכירה",D86*E86-G86-D86*IFERROR(SUMIFS($I$5:I86,$C$5:C86,C86)/SUMIFS($D$5:D86,$C$5:C86,C86,$B$5:B86,"קנייה"),0),0)</f>
        <v/>
      </c>
      <c r="K86" s="26" t="n"/>
    </row>
    <row r="87">
      <c r="A87" s="39" t="n"/>
      <c r="B87" s="26" t="n"/>
      <c r="C87" s="26" t="n"/>
      <c r="D87" s="40" t="n"/>
      <c r="E87" s="29" t="n"/>
      <c r="F87" s="29" t="n"/>
      <c r="G87" s="29" t="n"/>
      <c r="H87" s="28">
        <f>IF(B87="","",IF(B87="קנייה",-(D87*E87+G87),IF(B87="מכירה",D87*E87-G87,IF(B87="דיבידנד",F87-G87,IF(B87="הפקדה",F87-G87,IF(B87="משיכה",-F87-G87,-G87))))))</f>
        <v/>
      </c>
      <c r="I87" s="28">
        <f>IF(B87="קנייה",D87*E87+G87,0)</f>
        <v/>
      </c>
      <c r="J87" s="41">
        <f>IF(B87="מכירה",D87*E87-G87-D87*IFERROR(SUMIFS($I$5:I87,$C$5:C87,C87)/SUMIFS($D$5:D87,$C$5:C87,C87,$B$5:B87,"קנייה"),0),0)</f>
        <v/>
      </c>
      <c r="K87" s="26" t="n"/>
    </row>
    <row r="88">
      <c r="A88" s="39" t="n"/>
      <c r="B88" s="26" t="n"/>
      <c r="C88" s="26" t="n"/>
      <c r="D88" s="40" t="n"/>
      <c r="E88" s="29" t="n"/>
      <c r="F88" s="29" t="n"/>
      <c r="G88" s="29" t="n"/>
      <c r="H88" s="28">
        <f>IF(B88="","",IF(B88="קנייה",-(D88*E88+G88),IF(B88="מכירה",D88*E88-G88,IF(B88="דיבידנד",F88-G88,IF(B88="הפקדה",F88-G88,IF(B88="משיכה",-F88-G88,-G88))))))</f>
        <v/>
      </c>
      <c r="I88" s="28">
        <f>IF(B88="קנייה",D88*E88+G88,0)</f>
        <v/>
      </c>
      <c r="J88" s="41">
        <f>IF(B88="מכירה",D88*E88-G88-D88*IFERROR(SUMIFS($I$5:I88,$C$5:C88,C88)/SUMIFS($D$5:D88,$C$5:C88,C88,$B$5:B88,"קנייה"),0),0)</f>
        <v/>
      </c>
      <c r="K88" s="26" t="n"/>
    </row>
    <row r="89">
      <c r="A89" s="39" t="n"/>
      <c r="B89" s="26" t="n"/>
      <c r="C89" s="26" t="n"/>
      <c r="D89" s="40" t="n"/>
      <c r="E89" s="29" t="n"/>
      <c r="F89" s="29" t="n"/>
      <c r="G89" s="29" t="n"/>
      <c r="H89" s="28">
        <f>IF(B89="","",IF(B89="קנייה",-(D89*E89+G89),IF(B89="מכירה",D89*E89-G89,IF(B89="דיבידנד",F89-G89,IF(B89="הפקדה",F89-G89,IF(B89="משיכה",-F89-G89,-G89))))))</f>
        <v/>
      </c>
      <c r="I89" s="28">
        <f>IF(B89="קנייה",D89*E89+G89,0)</f>
        <v/>
      </c>
      <c r="J89" s="41">
        <f>IF(B89="מכירה",D89*E89-G89-D89*IFERROR(SUMIFS($I$5:I89,$C$5:C89,C89)/SUMIFS($D$5:D89,$C$5:C89,C89,$B$5:B89,"קנייה"),0),0)</f>
        <v/>
      </c>
      <c r="K89" s="26" t="n"/>
    </row>
    <row r="90">
      <c r="A90" s="39" t="n"/>
      <c r="B90" s="26" t="n"/>
      <c r="C90" s="26" t="n"/>
      <c r="D90" s="40" t="n"/>
      <c r="E90" s="29" t="n"/>
      <c r="F90" s="29" t="n"/>
      <c r="G90" s="29" t="n"/>
      <c r="H90" s="28">
        <f>IF(B90="","",IF(B90="קנייה",-(D90*E90+G90),IF(B90="מכירה",D90*E90-G90,IF(B90="דיבידנד",F90-G90,IF(B90="הפקדה",F90-G90,IF(B90="משיכה",-F90-G90,-G90))))))</f>
        <v/>
      </c>
      <c r="I90" s="28">
        <f>IF(B90="קנייה",D90*E90+G90,0)</f>
        <v/>
      </c>
      <c r="J90" s="41">
        <f>IF(B90="מכירה",D90*E90-G90-D90*IFERROR(SUMIFS($I$5:I90,$C$5:C90,C90)/SUMIFS($D$5:D90,$C$5:C90,C90,$B$5:B90,"קנייה"),0),0)</f>
        <v/>
      </c>
      <c r="K90" s="26" t="n"/>
    </row>
    <row r="91">
      <c r="A91" s="39" t="n"/>
      <c r="B91" s="26" t="n"/>
      <c r="C91" s="26" t="n"/>
      <c r="D91" s="40" t="n"/>
      <c r="E91" s="29" t="n"/>
      <c r="F91" s="29" t="n"/>
      <c r="G91" s="29" t="n"/>
      <c r="H91" s="28">
        <f>IF(B91="","",IF(B91="קנייה",-(D91*E91+G91),IF(B91="מכירה",D91*E91-G91,IF(B91="דיבידנד",F91-G91,IF(B91="הפקדה",F91-G91,IF(B91="משיכה",-F91-G91,-G91))))))</f>
        <v/>
      </c>
      <c r="I91" s="28">
        <f>IF(B91="קנייה",D91*E91+G91,0)</f>
        <v/>
      </c>
      <c r="J91" s="41">
        <f>IF(B91="מכירה",D91*E91-G91-D91*IFERROR(SUMIFS($I$5:I91,$C$5:C91,C91)/SUMIFS($D$5:D91,$C$5:C91,C91,$B$5:B91,"קנייה"),0),0)</f>
        <v/>
      </c>
      <c r="K91" s="26" t="n"/>
    </row>
    <row r="92">
      <c r="A92" s="39" t="n"/>
      <c r="B92" s="26" t="n"/>
      <c r="C92" s="26" t="n"/>
      <c r="D92" s="40" t="n"/>
      <c r="E92" s="29" t="n"/>
      <c r="F92" s="29" t="n"/>
      <c r="G92" s="29" t="n"/>
      <c r="H92" s="28">
        <f>IF(B92="","",IF(B92="קנייה",-(D92*E92+G92),IF(B92="מכירה",D92*E92-G92,IF(B92="דיבידנד",F92-G92,IF(B92="הפקדה",F92-G92,IF(B92="משיכה",-F92-G92,-G92))))))</f>
        <v/>
      </c>
      <c r="I92" s="28">
        <f>IF(B92="קנייה",D92*E92+G92,0)</f>
        <v/>
      </c>
      <c r="J92" s="41">
        <f>IF(B92="מכירה",D92*E92-G92-D92*IFERROR(SUMIFS($I$5:I92,$C$5:C92,C92)/SUMIFS($D$5:D92,$C$5:C92,C92,$B$5:B92,"קנייה"),0),0)</f>
        <v/>
      </c>
      <c r="K92" s="26" t="n"/>
    </row>
    <row r="93">
      <c r="A93" s="39" t="n"/>
      <c r="B93" s="26" t="n"/>
      <c r="C93" s="26" t="n"/>
      <c r="D93" s="40" t="n"/>
      <c r="E93" s="29" t="n"/>
      <c r="F93" s="29" t="n"/>
      <c r="G93" s="29" t="n"/>
      <c r="H93" s="28">
        <f>IF(B93="","",IF(B93="קנייה",-(D93*E93+G93),IF(B93="מכירה",D93*E93-G93,IF(B93="דיבידנד",F93-G93,IF(B93="הפקדה",F93-G93,IF(B93="משיכה",-F93-G93,-G93))))))</f>
        <v/>
      </c>
      <c r="I93" s="28">
        <f>IF(B93="קנייה",D93*E93+G93,0)</f>
        <v/>
      </c>
      <c r="J93" s="41">
        <f>IF(B93="מכירה",D93*E93-G93-D93*IFERROR(SUMIFS($I$5:I93,$C$5:C93,C93)/SUMIFS($D$5:D93,$C$5:C93,C93,$B$5:B93,"קנייה"),0),0)</f>
        <v/>
      </c>
      <c r="K93" s="26" t="n"/>
    </row>
    <row r="94">
      <c r="A94" s="39" t="n"/>
      <c r="B94" s="26" t="n"/>
      <c r="C94" s="26" t="n"/>
      <c r="D94" s="40" t="n"/>
      <c r="E94" s="29" t="n"/>
      <c r="F94" s="29" t="n"/>
      <c r="G94" s="29" t="n"/>
      <c r="H94" s="28">
        <f>IF(B94="","",IF(B94="קנייה",-(D94*E94+G94),IF(B94="מכירה",D94*E94-G94,IF(B94="דיבידנד",F94-G94,IF(B94="הפקדה",F94-G94,IF(B94="משיכה",-F94-G94,-G94))))))</f>
        <v/>
      </c>
      <c r="I94" s="28">
        <f>IF(B94="קנייה",D94*E94+G94,0)</f>
        <v/>
      </c>
      <c r="J94" s="41">
        <f>IF(B94="מכירה",D94*E94-G94-D94*IFERROR(SUMIFS($I$5:I94,$C$5:C94,C94)/SUMIFS($D$5:D94,$C$5:C94,C94,$B$5:B94,"קנייה"),0),0)</f>
        <v/>
      </c>
      <c r="K94" s="26" t="n"/>
    </row>
    <row r="95">
      <c r="A95" s="39" t="n"/>
      <c r="B95" s="26" t="n"/>
      <c r="C95" s="26" t="n"/>
      <c r="D95" s="40" t="n"/>
      <c r="E95" s="29" t="n"/>
      <c r="F95" s="29" t="n"/>
      <c r="G95" s="29" t="n"/>
      <c r="H95" s="28">
        <f>IF(B95="","",IF(B95="קנייה",-(D95*E95+G95),IF(B95="מכירה",D95*E95-G95,IF(B95="דיבידנד",F95-G95,IF(B95="הפקדה",F95-G95,IF(B95="משיכה",-F95-G95,-G95))))))</f>
        <v/>
      </c>
      <c r="I95" s="28">
        <f>IF(B95="קנייה",D95*E95+G95,0)</f>
        <v/>
      </c>
      <c r="J95" s="41">
        <f>IF(B95="מכירה",D95*E95-G95-D95*IFERROR(SUMIFS($I$5:I95,$C$5:C95,C95)/SUMIFS($D$5:D95,$C$5:C95,C95,$B$5:B95,"קנייה"),0),0)</f>
        <v/>
      </c>
      <c r="K95" s="26" t="n"/>
    </row>
    <row r="96">
      <c r="A96" s="39" t="n"/>
      <c r="B96" s="26" t="n"/>
      <c r="C96" s="26" t="n"/>
      <c r="D96" s="40" t="n"/>
      <c r="E96" s="29" t="n"/>
      <c r="F96" s="29" t="n"/>
      <c r="G96" s="29" t="n"/>
      <c r="H96" s="28">
        <f>IF(B96="","",IF(B96="קנייה",-(D96*E96+G96),IF(B96="מכירה",D96*E96-G96,IF(B96="דיבידנד",F96-G96,IF(B96="הפקדה",F96-G96,IF(B96="משיכה",-F96-G96,-G96))))))</f>
        <v/>
      </c>
      <c r="I96" s="28">
        <f>IF(B96="קנייה",D96*E96+G96,0)</f>
        <v/>
      </c>
      <c r="J96" s="41">
        <f>IF(B96="מכירה",D96*E96-G96-D96*IFERROR(SUMIFS($I$5:I96,$C$5:C96,C96)/SUMIFS($D$5:D96,$C$5:C96,C96,$B$5:B96,"קנייה"),0),0)</f>
        <v/>
      </c>
      <c r="K96" s="26" t="n"/>
    </row>
    <row r="97">
      <c r="A97" s="39" t="n"/>
      <c r="B97" s="26" t="n"/>
      <c r="C97" s="26" t="n"/>
      <c r="D97" s="40" t="n"/>
      <c r="E97" s="29" t="n"/>
      <c r="F97" s="29" t="n"/>
      <c r="G97" s="29" t="n"/>
      <c r="H97" s="28">
        <f>IF(B97="","",IF(B97="קנייה",-(D97*E97+G97),IF(B97="מכירה",D97*E97-G97,IF(B97="דיבידנד",F97-G97,IF(B97="הפקדה",F97-G97,IF(B97="משיכה",-F97-G97,-G97))))))</f>
        <v/>
      </c>
      <c r="I97" s="28">
        <f>IF(B97="קנייה",D97*E97+G97,0)</f>
        <v/>
      </c>
      <c r="J97" s="41">
        <f>IF(B97="מכירה",D97*E97-G97-D97*IFERROR(SUMIFS($I$5:I97,$C$5:C97,C97)/SUMIFS($D$5:D97,$C$5:C97,C97,$B$5:B97,"קנייה"),0),0)</f>
        <v/>
      </c>
      <c r="K97" s="26" t="n"/>
    </row>
    <row r="98">
      <c r="A98" s="39" t="n"/>
      <c r="B98" s="26" t="n"/>
      <c r="C98" s="26" t="n"/>
      <c r="D98" s="40" t="n"/>
      <c r="E98" s="29" t="n"/>
      <c r="F98" s="29" t="n"/>
      <c r="G98" s="29" t="n"/>
      <c r="H98" s="28">
        <f>IF(B98="","",IF(B98="קנייה",-(D98*E98+G98),IF(B98="מכירה",D98*E98-G98,IF(B98="דיבידנד",F98-G98,IF(B98="הפקדה",F98-G98,IF(B98="משיכה",-F98-G98,-G98))))))</f>
        <v/>
      </c>
      <c r="I98" s="28">
        <f>IF(B98="קנייה",D98*E98+G98,0)</f>
        <v/>
      </c>
      <c r="J98" s="41">
        <f>IF(B98="מכירה",D98*E98-G98-D98*IFERROR(SUMIFS($I$5:I98,$C$5:C98,C98)/SUMIFS($D$5:D98,$C$5:C98,C98,$B$5:B98,"קנייה"),0),0)</f>
        <v/>
      </c>
      <c r="K98" s="26" t="n"/>
    </row>
    <row r="99">
      <c r="A99" s="39" t="n"/>
      <c r="B99" s="26" t="n"/>
      <c r="C99" s="26" t="n"/>
      <c r="D99" s="40" t="n"/>
      <c r="E99" s="29" t="n"/>
      <c r="F99" s="29" t="n"/>
      <c r="G99" s="29" t="n"/>
      <c r="H99" s="28">
        <f>IF(B99="","",IF(B99="קנייה",-(D99*E99+G99),IF(B99="מכירה",D99*E99-G99,IF(B99="דיבידנד",F99-G99,IF(B99="הפקדה",F99-G99,IF(B99="משיכה",-F99-G99,-G99))))))</f>
        <v/>
      </c>
      <c r="I99" s="28">
        <f>IF(B99="קנייה",D99*E99+G99,0)</f>
        <v/>
      </c>
      <c r="J99" s="41">
        <f>IF(B99="מכירה",D99*E99-G99-D99*IFERROR(SUMIFS($I$5:I99,$C$5:C99,C99)/SUMIFS($D$5:D99,$C$5:C99,C99,$B$5:B99,"קנייה"),0),0)</f>
        <v/>
      </c>
      <c r="K99" s="26" t="n"/>
    </row>
    <row r="100">
      <c r="A100" s="39" t="n"/>
      <c r="B100" s="26" t="n"/>
      <c r="C100" s="26" t="n"/>
      <c r="D100" s="40" t="n"/>
      <c r="E100" s="29" t="n"/>
      <c r="F100" s="29" t="n"/>
      <c r="G100" s="29" t="n"/>
      <c r="H100" s="28">
        <f>IF(B100="","",IF(B100="קנייה",-(D100*E100+G100),IF(B100="מכירה",D100*E100-G100,IF(B100="דיבידנד",F100-G100,IF(B100="הפקדה",F100-G100,IF(B100="משיכה",-F100-G100,-G100))))))</f>
        <v/>
      </c>
      <c r="I100" s="28">
        <f>IF(B100="קנייה",D100*E100+G100,0)</f>
        <v/>
      </c>
      <c r="J100" s="41">
        <f>IF(B100="מכירה",D100*E100-G100-D100*IFERROR(SUMIFS($I$5:I100,$C$5:C100,C100)/SUMIFS($D$5:D100,$C$5:C100,C100,$B$5:B100,"קנייה"),0),0)</f>
        <v/>
      </c>
      <c r="K100" s="26" t="n"/>
    </row>
    <row r="101">
      <c r="A101" s="39" t="n"/>
      <c r="B101" s="26" t="n"/>
      <c r="C101" s="26" t="n"/>
      <c r="D101" s="40" t="n"/>
      <c r="E101" s="29" t="n"/>
      <c r="F101" s="29" t="n"/>
      <c r="G101" s="29" t="n"/>
      <c r="H101" s="28">
        <f>IF(B101="","",IF(B101="קנייה",-(D101*E101+G101),IF(B101="מכירה",D101*E101-G101,IF(B101="דיבידנד",F101-G101,IF(B101="הפקדה",F101-G101,IF(B101="משיכה",-F101-G101,-G101))))))</f>
        <v/>
      </c>
      <c r="I101" s="28">
        <f>IF(B101="קנייה",D101*E101+G101,0)</f>
        <v/>
      </c>
      <c r="J101" s="41">
        <f>IF(B101="מכירה",D101*E101-G101-D101*IFERROR(SUMIFS($I$5:I101,$C$5:C101,C101)/SUMIFS($D$5:D101,$C$5:C101,C101,$B$5:B101,"קנייה"),0),0)</f>
        <v/>
      </c>
      <c r="K101" s="26" t="n"/>
    </row>
    <row r="102">
      <c r="A102" s="39" t="n"/>
      <c r="B102" s="26" t="n"/>
      <c r="C102" s="26" t="n"/>
      <c r="D102" s="40" t="n"/>
      <c r="E102" s="29" t="n"/>
      <c r="F102" s="29" t="n"/>
      <c r="G102" s="29" t="n"/>
      <c r="H102" s="28">
        <f>IF(B102="","",IF(B102="קנייה",-(D102*E102+G102),IF(B102="מכירה",D102*E102-G102,IF(B102="דיבידנד",F102-G102,IF(B102="הפקדה",F102-G102,IF(B102="משיכה",-F102-G102,-G102))))))</f>
        <v/>
      </c>
      <c r="I102" s="28">
        <f>IF(B102="קנייה",D102*E102+G102,0)</f>
        <v/>
      </c>
      <c r="J102" s="41">
        <f>IF(B102="מכירה",D102*E102-G102-D102*IFERROR(SUMIFS($I$5:I102,$C$5:C102,C102)/SUMIFS($D$5:D102,$C$5:C102,C102,$B$5:B102,"קנייה"),0),0)</f>
        <v/>
      </c>
      <c r="K102" s="26" t="n"/>
    </row>
    <row r="103">
      <c r="A103" s="39" t="n"/>
      <c r="B103" s="26" t="n"/>
      <c r="C103" s="26" t="n"/>
      <c r="D103" s="40" t="n"/>
      <c r="E103" s="29" t="n"/>
      <c r="F103" s="29" t="n"/>
      <c r="G103" s="29" t="n"/>
      <c r="H103" s="28">
        <f>IF(B103="","",IF(B103="קנייה",-(D103*E103+G103),IF(B103="מכירה",D103*E103-G103,IF(B103="דיבידנד",F103-G103,IF(B103="הפקדה",F103-G103,IF(B103="משיכה",-F103-G103,-G103))))))</f>
        <v/>
      </c>
      <c r="I103" s="28">
        <f>IF(B103="קנייה",D103*E103+G103,0)</f>
        <v/>
      </c>
      <c r="J103" s="41">
        <f>IF(B103="מכירה",D103*E103-G103-D103*IFERROR(SUMIFS($I$5:I103,$C$5:C103,C103)/SUMIFS($D$5:D103,$C$5:C103,C103,$B$5:B103,"קנייה"),0),0)</f>
        <v/>
      </c>
      <c r="K103" s="26" t="n"/>
    </row>
    <row r="104">
      <c r="A104" s="39" t="n"/>
      <c r="B104" s="26" t="n"/>
      <c r="C104" s="26" t="n"/>
      <c r="D104" s="40" t="n"/>
      <c r="E104" s="29" t="n"/>
      <c r="F104" s="29" t="n"/>
      <c r="G104" s="29" t="n"/>
      <c r="H104" s="28">
        <f>IF(B104="","",IF(B104="קנייה",-(D104*E104+G104),IF(B104="מכירה",D104*E104-G104,IF(B104="דיבידנד",F104-G104,IF(B104="הפקדה",F104-G104,IF(B104="משיכה",-F104-G104,-G104))))))</f>
        <v/>
      </c>
      <c r="I104" s="28">
        <f>IF(B104="קנייה",D104*E104+G104,0)</f>
        <v/>
      </c>
      <c r="J104" s="41">
        <f>IF(B104="מכירה",D104*E104-G104-D104*IFERROR(SUMIFS($I$5:I104,$C$5:C104,C104)/SUMIFS($D$5:D104,$C$5:C104,C104,$B$5:B104,"קנייה"),0),0)</f>
        <v/>
      </c>
      <c r="K104" s="26" t="n"/>
    </row>
    <row r="105">
      <c r="A105" s="39" t="n"/>
      <c r="B105" s="26" t="n"/>
      <c r="C105" s="26" t="n"/>
      <c r="D105" s="40" t="n"/>
      <c r="E105" s="29" t="n"/>
      <c r="F105" s="29" t="n"/>
      <c r="G105" s="29" t="n"/>
      <c r="H105" s="28">
        <f>IF(B105="","",IF(B105="קנייה",-(D105*E105+G105),IF(B105="מכירה",D105*E105-G105,IF(B105="דיבידנד",F105-G105,IF(B105="הפקדה",F105-G105,IF(B105="משיכה",-F105-G105,-G105))))))</f>
        <v/>
      </c>
      <c r="I105" s="28">
        <f>IF(B105="קנייה",D105*E105+G105,0)</f>
        <v/>
      </c>
      <c r="J105" s="41">
        <f>IF(B105="מכירה",D105*E105-G105-D105*IFERROR(SUMIFS($I$5:I105,$C$5:C105,C105)/SUMIFS($D$5:D105,$C$5:C105,C105,$B$5:B105,"קנייה"),0),0)</f>
        <v/>
      </c>
      <c r="K105" s="26" t="n"/>
    </row>
    <row r="106">
      <c r="A106" s="39" t="n"/>
      <c r="B106" s="26" t="n"/>
      <c r="C106" s="26" t="n"/>
      <c r="D106" s="40" t="n"/>
      <c r="E106" s="29" t="n"/>
      <c r="F106" s="29" t="n"/>
      <c r="G106" s="29" t="n"/>
      <c r="H106" s="28">
        <f>IF(B106="","",IF(B106="קנייה",-(D106*E106+G106),IF(B106="מכירה",D106*E106-G106,IF(B106="דיבידנד",F106-G106,IF(B106="הפקדה",F106-G106,IF(B106="משיכה",-F106-G106,-G106))))))</f>
        <v/>
      </c>
      <c r="I106" s="28">
        <f>IF(B106="קנייה",D106*E106+G106,0)</f>
        <v/>
      </c>
      <c r="J106" s="41">
        <f>IF(B106="מכירה",D106*E106-G106-D106*IFERROR(SUMIFS($I$5:I106,$C$5:C106,C106)/SUMIFS($D$5:D106,$C$5:C106,C106,$B$5:B106,"קנייה"),0),0)</f>
        <v/>
      </c>
      <c r="K106" s="26" t="n"/>
    </row>
    <row r="107">
      <c r="A107" s="39" t="n"/>
      <c r="B107" s="26" t="n"/>
      <c r="C107" s="26" t="n"/>
      <c r="D107" s="40" t="n"/>
      <c r="E107" s="29" t="n"/>
      <c r="F107" s="29" t="n"/>
      <c r="G107" s="29" t="n"/>
      <c r="H107" s="28">
        <f>IF(B107="","",IF(B107="קנייה",-(D107*E107+G107),IF(B107="מכירה",D107*E107-G107,IF(B107="דיבידנד",F107-G107,IF(B107="הפקדה",F107-G107,IF(B107="משיכה",-F107-G107,-G107))))))</f>
        <v/>
      </c>
      <c r="I107" s="28">
        <f>IF(B107="קנייה",D107*E107+G107,0)</f>
        <v/>
      </c>
      <c r="J107" s="41">
        <f>IF(B107="מכירה",D107*E107-G107-D107*IFERROR(SUMIFS($I$5:I107,$C$5:C107,C107)/SUMIFS($D$5:D107,$C$5:C107,C107,$B$5:B107,"קנייה"),0),0)</f>
        <v/>
      </c>
      <c r="K107" s="26" t="n"/>
    </row>
    <row r="108">
      <c r="A108" s="39" t="n"/>
      <c r="B108" s="26" t="n"/>
      <c r="C108" s="26" t="n"/>
      <c r="D108" s="40" t="n"/>
      <c r="E108" s="29" t="n"/>
      <c r="F108" s="29" t="n"/>
      <c r="G108" s="29" t="n"/>
      <c r="H108" s="28">
        <f>IF(B108="","",IF(B108="קנייה",-(D108*E108+G108),IF(B108="מכירה",D108*E108-G108,IF(B108="דיבידנד",F108-G108,IF(B108="הפקדה",F108-G108,IF(B108="משיכה",-F108-G108,-G108))))))</f>
        <v/>
      </c>
      <c r="I108" s="28">
        <f>IF(B108="קנייה",D108*E108+G108,0)</f>
        <v/>
      </c>
      <c r="J108" s="41">
        <f>IF(B108="מכירה",D108*E108-G108-D108*IFERROR(SUMIFS($I$5:I108,$C$5:C108,C108)/SUMIFS($D$5:D108,$C$5:C108,C108,$B$5:B108,"קנייה"),0),0)</f>
        <v/>
      </c>
      <c r="K108" s="26" t="n"/>
    </row>
    <row r="109">
      <c r="A109" s="39" t="n"/>
      <c r="B109" s="26" t="n"/>
      <c r="C109" s="26" t="n"/>
      <c r="D109" s="40" t="n"/>
      <c r="E109" s="29" t="n"/>
      <c r="F109" s="29" t="n"/>
      <c r="G109" s="29" t="n"/>
      <c r="H109" s="28">
        <f>IF(B109="","",IF(B109="קנייה",-(D109*E109+G109),IF(B109="מכירה",D109*E109-G109,IF(B109="דיבידנד",F109-G109,IF(B109="הפקדה",F109-G109,IF(B109="משיכה",-F109-G109,-G109))))))</f>
        <v/>
      </c>
      <c r="I109" s="28">
        <f>IF(B109="קנייה",D109*E109+G109,0)</f>
        <v/>
      </c>
      <c r="J109" s="41">
        <f>IF(B109="מכירה",D109*E109-G109-D109*IFERROR(SUMIFS($I$5:I109,$C$5:C109,C109)/SUMIFS($D$5:D109,$C$5:C109,C109,$B$5:B109,"קנייה"),0),0)</f>
        <v/>
      </c>
      <c r="K109" s="26" t="n"/>
    </row>
    <row r="110">
      <c r="A110" s="39" t="n"/>
      <c r="B110" s="26" t="n"/>
      <c r="C110" s="26" t="n"/>
      <c r="D110" s="40" t="n"/>
      <c r="E110" s="29" t="n"/>
      <c r="F110" s="29" t="n"/>
      <c r="G110" s="29" t="n"/>
      <c r="H110" s="28">
        <f>IF(B110="","",IF(B110="קנייה",-(D110*E110+G110),IF(B110="מכירה",D110*E110-G110,IF(B110="דיבידנד",F110-G110,IF(B110="הפקדה",F110-G110,IF(B110="משיכה",-F110-G110,-G110))))))</f>
        <v/>
      </c>
      <c r="I110" s="28">
        <f>IF(B110="קנייה",D110*E110+G110,0)</f>
        <v/>
      </c>
      <c r="J110" s="41">
        <f>IF(B110="מכירה",D110*E110-G110-D110*IFERROR(SUMIFS($I$5:I110,$C$5:C110,C110)/SUMIFS($D$5:D110,$C$5:C110,C110,$B$5:B110,"קנייה"),0),0)</f>
        <v/>
      </c>
      <c r="K110" s="26" t="n"/>
    </row>
    <row r="111">
      <c r="A111" s="39" t="n"/>
      <c r="B111" s="26" t="n"/>
      <c r="C111" s="26" t="n"/>
      <c r="D111" s="40" t="n"/>
      <c r="E111" s="29" t="n"/>
      <c r="F111" s="29" t="n"/>
      <c r="G111" s="29" t="n"/>
      <c r="H111" s="28">
        <f>IF(B111="","",IF(B111="קנייה",-(D111*E111+G111),IF(B111="מכירה",D111*E111-G111,IF(B111="דיבידנד",F111-G111,IF(B111="הפקדה",F111-G111,IF(B111="משיכה",-F111-G111,-G111))))))</f>
        <v/>
      </c>
      <c r="I111" s="28">
        <f>IF(B111="קנייה",D111*E111+G111,0)</f>
        <v/>
      </c>
      <c r="J111" s="41">
        <f>IF(B111="מכירה",D111*E111-G111-D111*IFERROR(SUMIFS($I$5:I111,$C$5:C111,C111)/SUMIFS($D$5:D111,$C$5:C111,C111,$B$5:B111,"קנייה"),0),0)</f>
        <v/>
      </c>
      <c r="K111" s="26" t="n"/>
    </row>
    <row r="112">
      <c r="A112" s="39" t="n"/>
      <c r="B112" s="26" t="n"/>
      <c r="C112" s="26" t="n"/>
      <c r="D112" s="40" t="n"/>
      <c r="E112" s="29" t="n"/>
      <c r="F112" s="29" t="n"/>
      <c r="G112" s="29" t="n"/>
      <c r="H112" s="28">
        <f>IF(B112="","",IF(B112="קנייה",-(D112*E112+G112),IF(B112="מכירה",D112*E112-G112,IF(B112="דיבידנד",F112-G112,IF(B112="הפקדה",F112-G112,IF(B112="משיכה",-F112-G112,-G112))))))</f>
        <v/>
      </c>
      <c r="I112" s="28">
        <f>IF(B112="קנייה",D112*E112+G112,0)</f>
        <v/>
      </c>
      <c r="J112" s="41">
        <f>IF(B112="מכירה",D112*E112-G112-D112*IFERROR(SUMIFS($I$5:I112,$C$5:C112,C112)/SUMIFS($D$5:D112,$C$5:C112,C112,$B$5:B112,"קנייה"),0),0)</f>
        <v/>
      </c>
      <c r="K112" s="26" t="n"/>
    </row>
    <row r="113">
      <c r="A113" s="39" t="n"/>
      <c r="B113" s="26" t="n"/>
      <c r="C113" s="26" t="n"/>
      <c r="D113" s="40" t="n"/>
      <c r="E113" s="29" t="n"/>
      <c r="F113" s="29" t="n"/>
      <c r="G113" s="29" t="n"/>
      <c r="H113" s="28">
        <f>IF(B113="","",IF(B113="קנייה",-(D113*E113+G113),IF(B113="מכירה",D113*E113-G113,IF(B113="דיבידנד",F113-G113,IF(B113="הפקדה",F113-G113,IF(B113="משיכה",-F113-G113,-G113))))))</f>
        <v/>
      </c>
      <c r="I113" s="28">
        <f>IF(B113="קנייה",D113*E113+G113,0)</f>
        <v/>
      </c>
      <c r="J113" s="41">
        <f>IF(B113="מכירה",D113*E113-G113-D113*IFERROR(SUMIFS($I$5:I113,$C$5:C113,C113)/SUMIFS($D$5:D113,$C$5:C113,C113,$B$5:B113,"קנייה"),0),0)</f>
        <v/>
      </c>
      <c r="K113" s="26" t="n"/>
    </row>
    <row r="114">
      <c r="A114" s="39" t="n"/>
      <c r="B114" s="26" t="n"/>
      <c r="C114" s="26" t="n"/>
      <c r="D114" s="40" t="n"/>
      <c r="E114" s="29" t="n"/>
      <c r="F114" s="29" t="n"/>
      <c r="G114" s="29" t="n"/>
      <c r="H114" s="28">
        <f>IF(B114="","",IF(B114="קנייה",-(D114*E114+G114),IF(B114="מכירה",D114*E114-G114,IF(B114="דיבידנד",F114-G114,IF(B114="הפקדה",F114-G114,IF(B114="משיכה",-F114-G114,-G114))))))</f>
        <v/>
      </c>
      <c r="I114" s="28">
        <f>IF(B114="קנייה",D114*E114+G114,0)</f>
        <v/>
      </c>
      <c r="J114" s="41">
        <f>IF(B114="מכירה",D114*E114-G114-D114*IFERROR(SUMIFS($I$5:I114,$C$5:C114,C114)/SUMIFS($D$5:D114,$C$5:C114,C114,$B$5:B114,"קנייה"),0),0)</f>
        <v/>
      </c>
      <c r="K114" s="26" t="n"/>
    </row>
    <row r="115">
      <c r="A115" s="39" t="n"/>
      <c r="B115" s="26" t="n"/>
      <c r="C115" s="26" t="n"/>
      <c r="D115" s="40" t="n"/>
      <c r="E115" s="29" t="n"/>
      <c r="F115" s="29" t="n"/>
      <c r="G115" s="29" t="n"/>
      <c r="H115" s="28">
        <f>IF(B115="","",IF(B115="קנייה",-(D115*E115+G115),IF(B115="מכירה",D115*E115-G115,IF(B115="דיבידנד",F115-G115,IF(B115="הפקדה",F115-G115,IF(B115="משיכה",-F115-G115,-G115))))))</f>
        <v/>
      </c>
      <c r="I115" s="28">
        <f>IF(B115="קנייה",D115*E115+G115,0)</f>
        <v/>
      </c>
      <c r="J115" s="41">
        <f>IF(B115="מכירה",D115*E115-G115-D115*IFERROR(SUMIFS($I$5:I115,$C$5:C115,C115)/SUMIFS($D$5:D115,$C$5:C115,C115,$B$5:B115,"קנייה"),0),0)</f>
        <v/>
      </c>
      <c r="K115" s="26" t="n"/>
    </row>
    <row r="116">
      <c r="A116" s="39" t="n"/>
      <c r="B116" s="26" t="n"/>
      <c r="C116" s="26" t="n"/>
      <c r="D116" s="40" t="n"/>
      <c r="E116" s="29" t="n"/>
      <c r="F116" s="29" t="n"/>
      <c r="G116" s="29" t="n"/>
      <c r="H116" s="28">
        <f>IF(B116="","",IF(B116="קנייה",-(D116*E116+G116),IF(B116="מכירה",D116*E116-G116,IF(B116="דיבידנד",F116-G116,IF(B116="הפקדה",F116-G116,IF(B116="משיכה",-F116-G116,-G116))))))</f>
        <v/>
      </c>
      <c r="I116" s="28">
        <f>IF(B116="קנייה",D116*E116+G116,0)</f>
        <v/>
      </c>
      <c r="J116" s="41">
        <f>IF(B116="מכירה",D116*E116-G116-D116*IFERROR(SUMIFS($I$5:I116,$C$5:C116,C116)/SUMIFS($D$5:D116,$C$5:C116,C116,$B$5:B116,"קנייה"),0),0)</f>
        <v/>
      </c>
      <c r="K116" s="26" t="n"/>
    </row>
    <row r="117">
      <c r="A117" s="39" t="n"/>
      <c r="B117" s="26" t="n"/>
      <c r="C117" s="26" t="n"/>
      <c r="D117" s="40" t="n"/>
      <c r="E117" s="29" t="n"/>
      <c r="F117" s="29" t="n"/>
      <c r="G117" s="29" t="n"/>
      <c r="H117" s="28">
        <f>IF(B117="","",IF(B117="קנייה",-(D117*E117+G117),IF(B117="מכירה",D117*E117-G117,IF(B117="דיבידנד",F117-G117,IF(B117="הפקדה",F117-G117,IF(B117="משיכה",-F117-G117,-G117))))))</f>
        <v/>
      </c>
      <c r="I117" s="28">
        <f>IF(B117="קנייה",D117*E117+G117,0)</f>
        <v/>
      </c>
      <c r="J117" s="41">
        <f>IF(B117="מכירה",D117*E117-G117-D117*IFERROR(SUMIFS($I$5:I117,$C$5:C117,C117)/SUMIFS($D$5:D117,$C$5:C117,C117,$B$5:B117,"קנייה"),0),0)</f>
        <v/>
      </c>
      <c r="K117" s="26" t="n"/>
    </row>
    <row r="118">
      <c r="A118" s="39" t="n"/>
      <c r="B118" s="26" t="n"/>
      <c r="C118" s="26" t="n"/>
      <c r="D118" s="40" t="n"/>
      <c r="E118" s="29" t="n"/>
      <c r="F118" s="29" t="n"/>
      <c r="G118" s="29" t="n"/>
      <c r="H118" s="28">
        <f>IF(B118="","",IF(B118="קנייה",-(D118*E118+G118),IF(B118="מכירה",D118*E118-G118,IF(B118="דיבידנד",F118-G118,IF(B118="הפקדה",F118-G118,IF(B118="משיכה",-F118-G118,-G118))))))</f>
        <v/>
      </c>
      <c r="I118" s="28">
        <f>IF(B118="קנייה",D118*E118+G118,0)</f>
        <v/>
      </c>
      <c r="J118" s="41">
        <f>IF(B118="מכירה",D118*E118-G118-D118*IFERROR(SUMIFS($I$5:I118,$C$5:C118,C118)/SUMIFS($D$5:D118,$C$5:C118,C118,$B$5:B118,"קנייה"),0),0)</f>
        <v/>
      </c>
      <c r="K118" s="26" t="n"/>
    </row>
    <row r="119">
      <c r="A119" s="39" t="n"/>
      <c r="B119" s="26" t="n"/>
      <c r="C119" s="26" t="n"/>
      <c r="D119" s="40" t="n"/>
      <c r="E119" s="29" t="n"/>
      <c r="F119" s="29" t="n"/>
      <c r="G119" s="29" t="n"/>
      <c r="H119" s="28">
        <f>IF(B119="","",IF(B119="קנייה",-(D119*E119+G119),IF(B119="מכירה",D119*E119-G119,IF(B119="דיבידנד",F119-G119,IF(B119="הפקדה",F119-G119,IF(B119="משיכה",-F119-G119,-G119))))))</f>
        <v/>
      </c>
      <c r="I119" s="28">
        <f>IF(B119="קנייה",D119*E119+G119,0)</f>
        <v/>
      </c>
      <c r="J119" s="41">
        <f>IF(B119="מכירה",D119*E119-G119-D119*IFERROR(SUMIFS($I$5:I119,$C$5:C119,C119)/SUMIFS($D$5:D119,$C$5:C119,C119,$B$5:B119,"קנייה"),0),0)</f>
        <v/>
      </c>
      <c r="K119" s="26" t="n"/>
    </row>
    <row r="120">
      <c r="A120" s="39" t="n"/>
      <c r="B120" s="26" t="n"/>
      <c r="C120" s="26" t="n"/>
      <c r="D120" s="40" t="n"/>
      <c r="E120" s="29" t="n"/>
      <c r="F120" s="29" t="n"/>
      <c r="G120" s="29" t="n"/>
      <c r="H120" s="28">
        <f>IF(B120="","",IF(B120="קנייה",-(D120*E120+G120),IF(B120="מכירה",D120*E120-G120,IF(B120="דיבידנד",F120-G120,IF(B120="הפקדה",F120-G120,IF(B120="משיכה",-F120-G120,-G120))))))</f>
        <v/>
      </c>
      <c r="I120" s="28">
        <f>IF(B120="קנייה",D120*E120+G120,0)</f>
        <v/>
      </c>
      <c r="J120" s="41">
        <f>IF(B120="מכירה",D120*E120-G120-D120*IFERROR(SUMIFS($I$5:I120,$C$5:C120,C120)/SUMIFS($D$5:D120,$C$5:C120,C120,$B$5:B120,"קנייה"),0),0)</f>
        <v/>
      </c>
      <c r="K120" s="26" t="n"/>
    </row>
    <row r="121">
      <c r="A121" s="39" t="n"/>
      <c r="B121" s="26" t="n"/>
      <c r="C121" s="26" t="n"/>
      <c r="D121" s="40" t="n"/>
      <c r="E121" s="29" t="n"/>
      <c r="F121" s="29" t="n"/>
      <c r="G121" s="29" t="n"/>
      <c r="H121" s="28">
        <f>IF(B121="","",IF(B121="קנייה",-(D121*E121+G121),IF(B121="מכירה",D121*E121-G121,IF(B121="דיבידנד",F121-G121,IF(B121="הפקדה",F121-G121,IF(B121="משיכה",-F121-G121,-G121))))))</f>
        <v/>
      </c>
      <c r="I121" s="28">
        <f>IF(B121="קנייה",D121*E121+G121,0)</f>
        <v/>
      </c>
      <c r="J121" s="41">
        <f>IF(B121="מכירה",D121*E121-G121-D121*IFERROR(SUMIFS($I$5:I121,$C$5:C121,C121)/SUMIFS($D$5:D121,$C$5:C121,C121,$B$5:B121,"קנייה"),0),0)</f>
        <v/>
      </c>
      <c r="K121" s="26" t="n"/>
    </row>
    <row r="122">
      <c r="A122" s="39" t="n"/>
      <c r="B122" s="26" t="n"/>
      <c r="C122" s="26" t="n"/>
      <c r="D122" s="40" t="n"/>
      <c r="E122" s="29" t="n"/>
      <c r="F122" s="29" t="n"/>
      <c r="G122" s="29" t="n"/>
      <c r="H122" s="28">
        <f>IF(B122="","",IF(B122="קנייה",-(D122*E122+G122),IF(B122="מכירה",D122*E122-G122,IF(B122="דיבידנד",F122-G122,IF(B122="הפקדה",F122-G122,IF(B122="משיכה",-F122-G122,-G122))))))</f>
        <v/>
      </c>
      <c r="I122" s="28">
        <f>IF(B122="קנייה",D122*E122+G122,0)</f>
        <v/>
      </c>
      <c r="J122" s="41">
        <f>IF(B122="מכירה",D122*E122-G122-D122*IFERROR(SUMIFS($I$5:I122,$C$5:C122,C122)/SUMIFS($D$5:D122,$C$5:C122,C122,$B$5:B122,"קנייה"),0),0)</f>
        <v/>
      </c>
      <c r="K122" s="26" t="n"/>
    </row>
    <row r="123">
      <c r="A123" s="39" t="n"/>
      <c r="B123" s="26" t="n"/>
      <c r="C123" s="26" t="n"/>
      <c r="D123" s="40" t="n"/>
      <c r="E123" s="29" t="n"/>
      <c r="F123" s="29" t="n"/>
      <c r="G123" s="29" t="n"/>
      <c r="H123" s="28">
        <f>IF(B123="","",IF(B123="קנייה",-(D123*E123+G123),IF(B123="מכירה",D123*E123-G123,IF(B123="דיבידנד",F123-G123,IF(B123="הפקדה",F123-G123,IF(B123="משיכה",-F123-G123,-G123))))))</f>
        <v/>
      </c>
      <c r="I123" s="28">
        <f>IF(B123="קנייה",D123*E123+G123,0)</f>
        <v/>
      </c>
      <c r="J123" s="41">
        <f>IF(B123="מכירה",D123*E123-G123-D123*IFERROR(SUMIFS($I$5:I123,$C$5:C123,C123)/SUMIFS($D$5:D123,$C$5:C123,C123,$B$5:B123,"קנייה"),0),0)</f>
        <v/>
      </c>
      <c r="K123" s="26" t="n"/>
    </row>
    <row r="124">
      <c r="A124" s="39" t="n"/>
      <c r="B124" s="26" t="n"/>
      <c r="C124" s="26" t="n"/>
      <c r="D124" s="40" t="n"/>
      <c r="E124" s="29" t="n"/>
      <c r="F124" s="29" t="n"/>
      <c r="G124" s="29" t="n"/>
      <c r="H124" s="28">
        <f>IF(B124="","",IF(B124="קנייה",-(D124*E124+G124),IF(B124="מכירה",D124*E124-G124,IF(B124="דיבידנד",F124-G124,IF(B124="הפקדה",F124-G124,IF(B124="משיכה",-F124-G124,-G124))))))</f>
        <v/>
      </c>
      <c r="I124" s="28">
        <f>IF(B124="קנייה",D124*E124+G124,0)</f>
        <v/>
      </c>
      <c r="J124" s="41">
        <f>IF(B124="מכירה",D124*E124-G124-D124*IFERROR(SUMIFS($I$5:I124,$C$5:C124,C124)/SUMIFS($D$5:D124,$C$5:C124,C124,$B$5:B124,"קנייה"),0),0)</f>
        <v/>
      </c>
      <c r="K124" s="26" t="n"/>
    </row>
    <row r="125">
      <c r="A125" s="39" t="n"/>
      <c r="B125" s="26" t="n"/>
      <c r="C125" s="26" t="n"/>
      <c r="D125" s="40" t="n"/>
      <c r="E125" s="29" t="n"/>
      <c r="F125" s="29" t="n"/>
      <c r="G125" s="29" t="n"/>
      <c r="H125" s="28">
        <f>IF(B125="","",IF(B125="קנייה",-(D125*E125+G125),IF(B125="מכירה",D125*E125-G125,IF(B125="דיבידנד",F125-G125,IF(B125="הפקדה",F125-G125,IF(B125="משיכה",-F125-G125,-G125))))))</f>
        <v/>
      </c>
      <c r="I125" s="28">
        <f>IF(B125="קנייה",D125*E125+G125,0)</f>
        <v/>
      </c>
      <c r="J125" s="41">
        <f>IF(B125="מכירה",D125*E125-G125-D125*IFERROR(SUMIFS($I$5:I125,$C$5:C125,C125)/SUMIFS($D$5:D125,$C$5:C125,C125,$B$5:B125,"קנייה"),0),0)</f>
        <v/>
      </c>
      <c r="K125" s="26" t="n"/>
    </row>
    <row r="126">
      <c r="A126" s="39" t="n"/>
      <c r="B126" s="26" t="n"/>
      <c r="C126" s="26" t="n"/>
      <c r="D126" s="40" t="n"/>
      <c r="E126" s="29" t="n"/>
      <c r="F126" s="29" t="n"/>
      <c r="G126" s="29" t="n"/>
      <c r="H126" s="28">
        <f>IF(B126="","",IF(B126="קנייה",-(D126*E126+G126),IF(B126="מכירה",D126*E126-G126,IF(B126="דיבידנד",F126-G126,IF(B126="הפקדה",F126-G126,IF(B126="משיכה",-F126-G126,-G126))))))</f>
        <v/>
      </c>
      <c r="I126" s="28">
        <f>IF(B126="קנייה",D126*E126+G126,0)</f>
        <v/>
      </c>
      <c r="J126" s="41">
        <f>IF(B126="מכירה",D126*E126-G126-D126*IFERROR(SUMIFS($I$5:I126,$C$5:C126,C126)/SUMIFS($D$5:D126,$C$5:C126,C126,$B$5:B126,"קנייה"),0),0)</f>
        <v/>
      </c>
      <c r="K126" s="26" t="n"/>
    </row>
    <row r="127">
      <c r="A127" s="39" t="n"/>
      <c r="B127" s="26" t="n"/>
      <c r="C127" s="26" t="n"/>
      <c r="D127" s="40" t="n"/>
      <c r="E127" s="29" t="n"/>
      <c r="F127" s="29" t="n"/>
      <c r="G127" s="29" t="n"/>
      <c r="H127" s="28">
        <f>IF(B127="","",IF(B127="קנייה",-(D127*E127+G127),IF(B127="מכירה",D127*E127-G127,IF(B127="דיבידנד",F127-G127,IF(B127="הפקדה",F127-G127,IF(B127="משיכה",-F127-G127,-G127))))))</f>
        <v/>
      </c>
      <c r="I127" s="28">
        <f>IF(B127="קנייה",D127*E127+G127,0)</f>
        <v/>
      </c>
      <c r="J127" s="41">
        <f>IF(B127="מכירה",D127*E127-G127-D127*IFERROR(SUMIFS($I$5:I127,$C$5:C127,C127)/SUMIFS($D$5:D127,$C$5:C127,C127,$B$5:B127,"קנייה"),0),0)</f>
        <v/>
      </c>
      <c r="K127" s="26" t="n"/>
    </row>
    <row r="128">
      <c r="A128" s="39" t="n"/>
      <c r="B128" s="26" t="n"/>
      <c r="C128" s="26" t="n"/>
      <c r="D128" s="40" t="n"/>
      <c r="E128" s="29" t="n"/>
      <c r="F128" s="29" t="n"/>
      <c r="G128" s="29" t="n"/>
      <c r="H128" s="28">
        <f>IF(B128="","",IF(B128="קנייה",-(D128*E128+G128),IF(B128="מכירה",D128*E128-G128,IF(B128="דיבידנד",F128-G128,IF(B128="הפקדה",F128-G128,IF(B128="משיכה",-F128-G128,-G128))))))</f>
        <v/>
      </c>
      <c r="I128" s="28">
        <f>IF(B128="קנייה",D128*E128+G128,0)</f>
        <v/>
      </c>
      <c r="J128" s="41">
        <f>IF(B128="מכירה",D128*E128-G128-D128*IFERROR(SUMIFS($I$5:I128,$C$5:C128,C128)/SUMIFS($D$5:D128,$C$5:C128,C128,$B$5:B128,"קנייה"),0),0)</f>
        <v/>
      </c>
      <c r="K128" s="26" t="n"/>
    </row>
    <row r="129">
      <c r="A129" s="39" t="n"/>
      <c r="B129" s="26" t="n"/>
      <c r="C129" s="26" t="n"/>
      <c r="D129" s="40" t="n"/>
      <c r="E129" s="29" t="n"/>
      <c r="F129" s="29" t="n"/>
      <c r="G129" s="29" t="n"/>
      <c r="H129" s="28">
        <f>IF(B129="","",IF(B129="קנייה",-(D129*E129+G129),IF(B129="מכירה",D129*E129-G129,IF(B129="דיבידנד",F129-G129,IF(B129="הפקדה",F129-G129,IF(B129="משיכה",-F129-G129,-G129))))))</f>
        <v/>
      </c>
      <c r="I129" s="28">
        <f>IF(B129="קנייה",D129*E129+G129,0)</f>
        <v/>
      </c>
      <c r="J129" s="41">
        <f>IF(B129="מכירה",D129*E129-G129-D129*IFERROR(SUMIFS($I$5:I129,$C$5:C129,C129)/SUMIFS($D$5:D129,$C$5:C129,C129,$B$5:B129,"קנייה"),0),0)</f>
        <v/>
      </c>
      <c r="K129" s="26" t="n"/>
    </row>
    <row r="130">
      <c r="A130" s="39" t="n"/>
      <c r="B130" s="26" t="n"/>
      <c r="C130" s="26" t="n"/>
      <c r="D130" s="40" t="n"/>
      <c r="E130" s="29" t="n"/>
      <c r="F130" s="29" t="n"/>
      <c r="G130" s="29" t="n"/>
      <c r="H130" s="28">
        <f>IF(B130="","",IF(B130="קנייה",-(D130*E130+G130),IF(B130="מכירה",D130*E130-G130,IF(B130="דיבידנד",F130-G130,IF(B130="הפקדה",F130-G130,IF(B130="משיכה",-F130-G130,-G130))))))</f>
        <v/>
      </c>
      <c r="I130" s="28">
        <f>IF(B130="קנייה",D130*E130+G130,0)</f>
        <v/>
      </c>
      <c r="J130" s="41">
        <f>IF(B130="מכירה",D130*E130-G130-D130*IFERROR(SUMIFS($I$5:I130,$C$5:C130,C130)/SUMIFS($D$5:D130,$C$5:C130,C130,$B$5:B130,"קנייה"),0),0)</f>
        <v/>
      </c>
      <c r="K130" s="26" t="n"/>
    </row>
    <row r="131">
      <c r="A131" s="39" t="n"/>
      <c r="B131" s="26" t="n"/>
      <c r="C131" s="26" t="n"/>
      <c r="D131" s="40" t="n"/>
      <c r="E131" s="29" t="n"/>
      <c r="F131" s="29" t="n"/>
      <c r="G131" s="29" t="n"/>
      <c r="H131" s="28">
        <f>IF(B131="","",IF(B131="קנייה",-(D131*E131+G131),IF(B131="מכירה",D131*E131-G131,IF(B131="דיבידנד",F131-G131,IF(B131="הפקדה",F131-G131,IF(B131="משיכה",-F131-G131,-G131))))))</f>
        <v/>
      </c>
      <c r="I131" s="28">
        <f>IF(B131="קנייה",D131*E131+G131,0)</f>
        <v/>
      </c>
      <c r="J131" s="41">
        <f>IF(B131="מכירה",D131*E131-G131-D131*IFERROR(SUMIFS($I$5:I131,$C$5:C131,C131)/SUMIFS($D$5:D131,$C$5:C131,C131,$B$5:B131,"קנייה"),0),0)</f>
        <v/>
      </c>
      <c r="K131" s="26" t="n"/>
    </row>
    <row r="132">
      <c r="A132" s="39" t="n"/>
      <c r="B132" s="26" t="n"/>
      <c r="C132" s="26" t="n"/>
      <c r="D132" s="40" t="n"/>
      <c r="E132" s="29" t="n"/>
      <c r="F132" s="29" t="n"/>
      <c r="G132" s="29" t="n"/>
      <c r="H132" s="28">
        <f>IF(B132="","",IF(B132="קנייה",-(D132*E132+G132),IF(B132="מכירה",D132*E132-G132,IF(B132="דיבידנד",F132-G132,IF(B132="הפקדה",F132-G132,IF(B132="משיכה",-F132-G132,-G132))))))</f>
        <v/>
      </c>
      <c r="I132" s="28">
        <f>IF(B132="קנייה",D132*E132+G132,0)</f>
        <v/>
      </c>
      <c r="J132" s="41">
        <f>IF(B132="מכירה",D132*E132-G132-D132*IFERROR(SUMIFS($I$5:I132,$C$5:C132,C132)/SUMIFS($D$5:D132,$C$5:C132,C132,$B$5:B132,"קנייה"),0),0)</f>
        <v/>
      </c>
      <c r="K132" s="26" t="n"/>
    </row>
    <row r="133">
      <c r="A133" s="39" t="n"/>
      <c r="B133" s="26" t="n"/>
      <c r="C133" s="26" t="n"/>
      <c r="D133" s="40" t="n"/>
      <c r="E133" s="29" t="n"/>
      <c r="F133" s="29" t="n"/>
      <c r="G133" s="29" t="n"/>
      <c r="H133" s="28">
        <f>IF(B133="","",IF(B133="קנייה",-(D133*E133+G133),IF(B133="מכירה",D133*E133-G133,IF(B133="דיבידנד",F133-G133,IF(B133="הפקדה",F133-G133,IF(B133="משיכה",-F133-G133,-G133))))))</f>
        <v/>
      </c>
      <c r="I133" s="28">
        <f>IF(B133="קנייה",D133*E133+G133,0)</f>
        <v/>
      </c>
      <c r="J133" s="41">
        <f>IF(B133="מכירה",D133*E133-G133-D133*IFERROR(SUMIFS($I$5:I133,$C$5:C133,C133)/SUMIFS($D$5:D133,$C$5:C133,C133,$B$5:B133,"קנייה"),0),0)</f>
        <v/>
      </c>
      <c r="K133" s="26" t="n"/>
    </row>
    <row r="134">
      <c r="A134" s="39" t="n"/>
      <c r="B134" s="26" t="n"/>
      <c r="C134" s="26" t="n"/>
      <c r="D134" s="40" t="n"/>
      <c r="E134" s="29" t="n"/>
      <c r="F134" s="29" t="n"/>
      <c r="G134" s="29" t="n"/>
      <c r="H134" s="28">
        <f>IF(B134="","",IF(B134="קנייה",-(D134*E134+G134),IF(B134="מכירה",D134*E134-G134,IF(B134="דיבידנד",F134-G134,IF(B134="הפקדה",F134-G134,IF(B134="משיכה",-F134-G134,-G134))))))</f>
        <v/>
      </c>
      <c r="I134" s="28">
        <f>IF(B134="קנייה",D134*E134+G134,0)</f>
        <v/>
      </c>
      <c r="J134" s="41">
        <f>IF(B134="מכירה",D134*E134-G134-D134*IFERROR(SUMIFS($I$5:I134,$C$5:C134,C134)/SUMIFS($D$5:D134,$C$5:C134,C134,$B$5:B134,"קנייה"),0),0)</f>
        <v/>
      </c>
      <c r="K134" s="26" t="n"/>
    </row>
    <row r="135">
      <c r="A135" s="39" t="n"/>
      <c r="B135" s="26" t="n"/>
      <c r="C135" s="26" t="n"/>
      <c r="D135" s="40" t="n"/>
      <c r="E135" s="29" t="n"/>
      <c r="F135" s="29" t="n"/>
      <c r="G135" s="29" t="n"/>
      <c r="H135" s="28">
        <f>IF(B135="","",IF(B135="קנייה",-(D135*E135+G135),IF(B135="מכירה",D135*E135-G135,IF(B135="דיבידנד",F135-G135,IF(B135="הפקדה",F135-G135,IF(B135="משיכה",-F135-G135,-G135))))))</f>
        <v/>
      </c>
      <c r="I135" s="28">
        <f>IF(B135="קנייה",D135*E135+G135,0)</f>
        <v/>
      </c>
      <c r="J135" s="41">
        <f>IF(B135="מכירה",D135*E135-G135-D135*IFERROR(SUMIFS($I$5:I135,$C$5:C135,C135)/SUMIFS($D$5:D135,$C$5:C135,C135,$B$5:B135,"קנייה"),0),0)</f>
        <v/>
      </c>
      <c r="K135" s="26" t="n"/>
    </row>
    <row r="136">
      <c r="A136" s="39" t="n"/>
      <c r="B136" s="26" t="n"/>
      <c r="C136" s="26" t="n"/>
      <c r="D136" s="40" t="n"/>
      <c r="E136" s="29" t="n"/>
      <c r="F136" s="29" t="n"/>
      <c r="G136" s="29" t="n"/>
      <c r="H136" s="28">
        <f>IF(B136="","",IF(B136="קנייה",-(D136*E136+G136),IF(B136="מכירה",D136*E136-G136,IF(B136="דיבידנד",F136-G136,IF(B136="הפקדה",F136-G136,IF(B136="משיכה",-F136-G136,-G136))))))</f>
        <v/>
      </c>
      <c r="I136" s="28">
        <f>IF(B136="קנייה",D136*E136+G136,0)</f>
        <v/>
      </c>
      <c r="J136" s="41">
        <f>IF(B136="מכירה",D136*E136-G136-D136*IFERROR(SUMIFS($I$5:I136,$C$5:C136,C136)/SUMIFS($D$5:D136,$C$5:C136,C136,$B$5:B136,"קנייה"),0),0)</f>
        <v/>
      </c>
      <c r="K136" s="26" t="n"/>
    </row>
    <row r="137">
      <c r="A137" s="39" t="n"/>
      <c r="B137" s="26" t="n"/>
      <c r="C137" s="26" t="n"/>
      <c r="D137" s="40" t="n"/>
      <c r="E137" s="29" t="n"/>
      <c r="F137" s="29" t="n"/>
      <c r="G137" s="29" t="n"/>
      <c r="H137" s="28">
        <f>IF(B137="","",IF(B137="קנייה",-(D137*E137+G137),IF(B137="מכירה",D137*E137-G137,IF(B137="דיבידנד",F137-G137,IF(B137="הפקדה",F137-G137,IF(B137="משיכה",-F137-G137,-G137))))))</f>
        <v/>
      </c>
      <c r="I137" s="28">
        <f>IF(B137="קנייה",D137*E137+G137,0)</f>
        <v/>
      </c>
      <c r="J137" s="41">
        <f>IF(B137="מכירה",D137*E137-G137-D137*IFERROR(SUMIFS($I$5:I137,$C$5:C137,C137)/SUMIFS($D$5:D137,$C$5:C137,C137,$B$5:B137,"קנייה"),0),0)</f>
        <v/>
      </c>
      <c r="K137" s="26" t="n"/>
    </row>
    <row r="138">
      <c r="A138" s="39" t="n"/>
      <c r="B138" s="26" t="n"/>
      <c r="C138" s="26" t="n"/>
      <c r="D138" s="40" t="n"/>
      <c r="E138" s="29" t="n"/>
      <c r="F138" s="29" t="n"/>
      <c r="G138" s="29" t="n"/>
      <c r="H138" s="28">
        <f>IF(B138="","",IF(B138="קנייה",-(D138*E138+G138),IF(B138="מכירה",D138*E138-G138,IF(B138="דיבידנד",F138-G138,IF(B138="הפקדה",F138-G138,IF(B138="משיכה",-F138-G138,-G138))))))</f>
        <v/>
      </c>
      <c r="I138" s="28">
        <f>IF(B138="קנייה",D138*E138+G138,0)</f>
        <v/>
      </c>
      <c r="J138" s="41">
        <f>IF(B138="מכירה",D138*E138-G138-D138*IFERROR(SUMIFS($I$5:I138,$C$5:C138,C138)/SUMIFS($D$5:D138,$C$5:C138,C138,$B$5:B138,"קנייה"),0),0)</f>
        <v/>
      </c>
      <c r="K138" s="26" t="n"/>
    </row>
    <row r="139">
      <c r="A139" s="39" t="n"/>
      <c r="B139" s="26" t="n"/>
      <c r="C139" s="26" t="n"/>
      <c r="D139" s="40" t="n"/>
      <c r="E139" s="29" t="n"/>
      <c r="F139" s="29" t="n"/>
      <c r="G139" s="29" t="n"/>
      <c r="H139" s="28">
        <f>IF(B139="","",IF(B139="קנייה",-(D139*E139+G139),IF(B139="מכירה",D139*E139-G139,IF(B139="דיבידנד",F139-G139,IF(B139="הפקדה",F139-G139,IF(B139="משיכה",-F139-G139,-G139))))))</f>
        <v/>
      </c>
      <c r="I139" s="28">
        <f>IF(B139="קנייה",D139*E139+G139,0)</f>
        <v/>
      </c>
      <c r="J139" s="41">
        <f>IF(B139="מכירה",D139*E139-G139-D139*IFERROR(SUMIFS($I$5:I139,$C$5:C139,C139)/SUMIFS($D$5:D139,$C$5:C139,C139,$B$5:B139,"קנייה"),0),0)</f>
        <v/>
      </c>
      <c r="K139" s="26" t="n"/>
    </row>
    <row r="140">
      <c r="A140" s="39" t="n"/>
      <c r="B140" s="26" t="n"/>
      <c r="C140" s="26" t="n"/>
      <c r="D140" s="40" t="n"/>
      <c r="E140" s="29" t="n"/>
      <c r="F140" s="29" t="n"/>
      <c r="G140" s="29" t="n"/>
      <c r="H140" s="28">
        <f>IF(B140="","",IF(B140="קנייה",-(D140*E140+G140),IF(B140="מכירה",D140*E140-G140,IF(B140="דיבידנד",F140-G140,IF(B140="הפקדה",F140-G140,IF(B140="משיכה",-F140-G140,-G140))))))</f>
        <v/>
      </c>
      <c r="I140" s="28">
        <f>IF(B140="קנייה",D140*E140+G140,0)</f>
        <v/>
      </c>
      <c r="J140" s="41">
        <f>IF(B140="מכירה",D140*E140-G140-D140*IFERROR(SUMIFS($I$5:I140,$C$5:C140,C140)/SUMIFS($D$5:D140,$C$5:C140,C140,$B$5:B140,"קנייה"),0),0)</f>
        <v/>
      </c>
      <c r="K140" s="26" t="n"/>
    </row>
    <row r="141">
      <c r="A141" s="39" t="n"/>
      <c r="B141" s="26" t="n"/>
      <c r="C141" s="26" t="n"/>
      <c r="D141" s="40" t="n"/>
      <c r="E141" s="29" t="n"/>
      <c r="F141" s="29" t="n"/>
      <c r="G141" s="29" t="n"/>
      <c r="H141" s="28">
        <f>IF(B141="","",IF(B141="קנייה",-(D141*E141+G141),IF(B141="מכירה",D141*E141-G141,IF(B141="דיבידנד",F141-G141,IF(B141="הפקדה",F141-G141,IF(B141="משיכה",-F141-G141,-G141))))))</f>
        <v/>
      </c>
      <c r="I141" s="28">
        <f>IF(B141="קנייה",D141*E141+G141,0)</f>
        <v/>
      </c>
      <c r="J141" s="41">
        <f>IF(B141="מכירה",D141*E141-G141-D141*IFERROR(SUMIFS($I$5:I141,$C$5:C141,C141)/SUMIFS($D$5:D141,$C$5:C141,C141,$B$5:B141,"קנייה"),0),0)</f>
        <v/>
      </c>
      <c r="K141" s="26" t="n"/>
    </row>
    <row r="142">
      <c r="A142" s="39" t="n"/>
      <c r="B142" s="26" t="n"/>
      <c r="C142" s="26" t="n"/>
      <c r="D142" s="40" t="n"/>
      <c r="E142" s="29" t="n"/>
      <c r="F142" s="29" t="n"/>
      <c r="G142" s="29" t="n"/>
      <c r="H142" s="28">
        <f>IF(B142="","",IF(B142="קנייה",-(D142*E142+G142),IF(B142="מכירה",D142*E142-G142,IF(B142="דיבידנד",F142-G142,IF(B142="הפקדה",F142-G142,IF(B142="משיכה",-F142-G142,-G142))))))</f>
        <v/>
      </c>
      <c r="I142" s="28">
        <f>IF(B142="קנייה",D142*E142+G142,0)</f>
        <v/>
      </c>
      <c r="J142" s="41">
        <f>IF(B142="מכירה",D142*E142-G142-D142*IFERROR(SUMIFS($I$5:I142,$C$5:C142,C142)/SUMIFS($D$5:D142,$C$5:C142,C142,$B$5:B142,"קנייה"),0),0)</f>
        <v/>
      </c>
      <c r="K142" s="26" t="n"/>
    </row>
    <row r="143">
      <c r="A143" s="39" t="n"/>
      <c r="B143" s="26" t="n"/>
      <c r="C143" s="26" t="n"/>
      <c r="D143" s="40" t="n"/>
      <c r="E143" s="29" t="n"/>
      <c r="F143" s="29" t="n"/>
      <c r="G143" s="29" t="n"/>
      <c r="H143" s="28">
        <f>IF(B143="","",IF(B143="קנייה",-(D143*E143+G143),IF(B143="מכירה",D143*E143-G143,IF(B143="דיבידנד",F143-G143,IF(B143="הפקדה",F143-G143,IF(B143="משיכה",-F143-G143,-G143))))))</f>
        <v/>
      </c>
      <c r="I143" s="28">
        <f>IF(B143="קנייה",D143*E143+G143,0)</f>
        <v/>
      </c>
      <c r="J143" s="41">
        <f>IF(B143="מכירה",D143*E143-G143-D143*IFERROR(SUMIFS($I$5:I143,$C$5:C143,C143)/SUMIFS($D$5:D143,$C$5:C143,C143,$B$5:B143,"קנייה"),0),0)</f>
        <v/>
      </c>
      <c r="K143" s="26" t="n"/>
    </row>
    <row r="144">
      <c r="A144" s="39" t="n"/>
      <c r="B144" s="26" t="n"/>
      <c r="C144" s="26" t="n"/>
      <c r="D144" s="40" t="n"/>
      <c r="E144" s="29" t="n"/>
      <c r="F144" s="29" t="n"/>
      <c r="G144" s="29" t="n"/>
      <c r="H144" s="28">
        <f>IF(B144="","",IF(B144="קנייה",-(D144*E144+G144),IF(B144="מכירה",D144*E144-G144,IF(B144="דיבידנד",F144-G144,IF(B144="הפקדה",F144-G144,IF(B144="משיכה",-F144-G144,-G144))))))</f>
        <v/>
      </c>
      <c r="I144" s="28">
        <f>IF(B144="קנייה",D144*E144+G144,0)</f>
        <v/>
      </c>
      <c r="J144" s="41">
        <f>IF(B144="מכירה",D144*E144-G144-D144*IFERROR(SUMIFS($I$5:I144,$C$5:C144,C144)/SUMIFS($D$5:D144,$C$5:C144,C144,$B$5:B144,"קנייה"),0),0)</f>
        <v/>
      </c>
      <c r="K144" s="26" t="n"/>
    </row>
    <row r="145">
      <c r="A145" s="39" t="n"/>
      <c r="B145" s="26" t="n"/>
      <c r="C145" s="26" t="n"/>
      <c r="D145" s="40" t="n"/>
      <c r="E145" s="29" t="n"/>
      <c r="F145" s="29" t="n"/>
      <c r="G145" s="29" t="n"/>
      <c r="H145" s="28">
        <f>IF(B145="","",IF(B145="קנייה",-(D145*E145+G145),IF(B145="מכירה",D145*E145-G145,IF(B145="דיבידנד",F145-G145,IF(B145="הפקדה",F145-G145,IF(B145="משיכה",-F145-G145,-G145))))))</f>
        <v/>
      </c>
      <c r="I145" s="28">
        <f>IF(B145="קנייה",D145*E145+G145,0)</f>
        <v/>
      </c>
      <c r="J145" s="41">
        <f>IF(B145="מכירה",D145*E145-G145-D145*IFERROR(SUMIFS($I$5:I145,$C$5:C145,C145)/SUMIFS($D$5:D145,$C$5:C145,C145,$B$5:B145,"קנייה"),0),0)</f>
        <v/>
      </c>
      <c r="K145" s="26" t="n"/>
    </row>
    <row r="146">
      <c r="A146" s="39" t="n"/>
      <c r="B146" s="26" t="n"/>
      <c r="C146" s="26" t="n"/>
      <c r="D146" s="40" t="n"/>
      <c r="E146" s="29" t="n"/>
      <c r="F146" s="29" t="n"/>
      <c r="G146" s="29" t="n"/>
      <c r="H146" s="28">
        <f>IF(B146="","",IF(B146="קנייה",-(D146*E146+G146),IF(B146="מכירה",D146*E146-G146,IF(B146="דיבידנד",F146-G146,IF(B146="הפקדה",F146-G146,IF(B146="משיכה",-F146-G146,-G146))))))</f>
        <v/>
      </c>
      <c r="I146" s="28">
        <f>IF(B146="קנייה",D146*E146+G146,0)</f>
        <v/>
      </c>
      <c r="J146" s="41">
        <f>IF(B146="מכירה",D146*E146-G146-D146*IFERROR(SUMIFS($I$5:I146,$C$5:C146,C146)/SUMIFS($D$5:D146,$C$5:C146,C146,$B$5:B146,"קנייה"),0),0)</f>
        <v/>
      </c>
      <c r="K146" s="26" t="n"/>
    </row>
    <row r="147">
      <c r="A147" s="39" t="n"/>
      <c r="B147" s="26" t="n"/>
      <c r="C147" s="26" t="n"/>
      <c r="D147" s="40" t="n"/>
      <c r="E147" s="29" t="n"/>
      <c r="F147" s="29" t="n"/>
      <c r="G147" s="29" t="n"/>
      <c r="H147" s="28">
        <f>IF(B147="","",IF(B147="קנייה",-(D147*E147+G147),IF(B147="מכירה",D147*E147-G147,IF(B147="דיבידנד",F147-G147,IF(B147="הפקדה",F147-G147,IF(B147="משיכה",-F147-G147,-G147))))))</f>
        <v/>
      </c>
      <c r="I147" s="28">
        <f>IF(B147="קנייה",D147*E147+G147,0)</f>
        <v/>
      </c>
      <c r="J147" s="41">
        <f>IF(B147="מכירה",D147*E147-G147-D147*IFERROR(SUMIFS($I$5:I147,$C$5:C147,C147)/SUMIFS($D$5:D147,$C$5:C147,C147,$B$5:B147,"קנייה"),0),0)</f>
        <v/>
      </c>
      <c r="K147" s="26" t="n"/>
    </row>
    <row r="148">
      <c r="A148" s="39" t="n"/>
      <c r="B148" s="26" t="n"/>
      <c r="C148" s="26" t="n"/>
      <c r="D148" s="40" t="n"/>
      <c r="E148" s="29" t="n"/>
      <c r="F148" s="29" t="n"/>
      <c r="G148" s="29" t="n"/>
      <c r="H148" s="28">
        <f>IF(B148="","",IF(B148="קנייה",-(D148*E148+G148),IF(B148="מכירה",D148*E148-G148,IF(B148="דיבידנד",F148-G148,IF(B148="הפקדה",F148-G148,IF(B148="משיכה",-F148-G148,-G148))))))</f>
        <v/>
      </c>
      <c r="I148" s="28">
        <f>IF(B148="קנייה",D148*E148+G148,0)</f>
        <v/>
      </c>
      <c r="J148" s="41">
        <f>IF(B148="מכירה",D148*E148-G148-D148*IFERROR(SUMIFS($I$5:I148,$C$5:C148,C148)/SUMIFS($D$5:D148,$C$5:C148,C148,$B$5:B148,"קנייה"),0),0)</f>
        <v/>
      </c>
      <c r="K148" s="26" t="n"/>
    </row>
    <row r="149">
      <c r="A149" s="39" t="n"/>
      <c r="B149" s="26" t="n"/>
      <c r="C149" s="26" t="n"/>
      <c r="D149" s="40" t="n"/>
      <c r="E149" s="29" t="n"/>
      <c r="F149" s="29" t="n"/>
      <c r="G149" s="29" t="n"/>
      <c r="H149" s="28">
        <f>IF(B149="","",IF(B149="קנייה",-(D149*E149+G149),IF(B149="מכירה",D149*E149-G149,IF(B149="דיבידנד",F149-G149,IF(B149="הפקדה",F149-G149,IF(B149="משיכה",-F149-G149,-G149))))))</f>
        <v/>
      </c>
      <c r="I149" s="28">
        <f>IF(B149="קנייה",D149*E149+G149,0)</f>
        <v/>
      </c>
      <c r="J149" s="41">
        <f>IF(B149="מכירה",D149*E149-G149-D149*IFERROR(SUMIFS($I$5:I149,$C$5:C149,C149)/SUMIFS($D$5:D149,$C$5:C149,C149,$B$5:B149,"קנייה"),0),0)</f>
        <v/>
      </c>
      <c r="K149" s="26" t="n"/>
    </row>
    <row r="150">
      <c r="A150" s="39" t="n"/>
      <c r="B150" s="26" t="n"/>
      <c r="C150" s="26" t="n"/>
      <c r="D150" s="40" t="n"/>
      <c r="E150" s="29" t="n"/>
      <c r="F150" s="29" t="n"/>
      <c r="G150" s="29" t="n"/>
      <c r="H150" s="28">
        <f>IF(B150="","",IF(B150="קנייה",-(D150*E150+G150),IF(B150="מכירה",D150*E150-G150,IF(B150="דיבידנד",F150-G150,IF(B150="הפקדה",F150-G150,IF(B150="משיכה",-F150-G150,-G150))))))</f>
        <v/>
      </c>
      <c r="I150" s="28">
        <f>IF(B150="קנייה",D150*E150+G150,0)</f>
        <v/>
      </c>
      <c r="J150" s="41">
        <f>IF(B150="מכירה",D150*E150-G150-D150*IFERROR(SUMIFS($I$5:I150,$C$5:C150,C150)/SUMIFS($D$5:D150,$C$5:C150,C150,$B$5:B150,"קנייה"),0),0)</f>
        <v/>
      </c>
      <c r="K150" s="26" t="n"/>
    </row>
    <row r="151">
      <c r="A151" s="39" t="n"/>
      <c r="B151" s="26" t="n"/>
      <c r="C151" s="26" t="n"/>
      <c r="D151" s="40" t="n"/>
      <c r="E151" s="29" t="n"/>
      <c r="F151" s="29" t="n"/>
      <c r="G151" s="29" t="n"/>
      <c r="H151" s="28">
        <f>IF(B151="","",IF(B151="קנייה",-(D151*E151+G151),IF(B151="מכירה",D151*E151-G151,IF(B151="דיבידנד",F151-G151,IF(B151="הפקדה",F151-G151,IF(B151="משיכה",-F151-G151,-G151))))))</f>
        <v/>
      </c>
      <c r="I151" s="28">
        <f>IF(B151="קנייה",D151*E151+G151,0)</f>
        <v/>
      </c>
      <c r="J151" s="41">
        <f>IF(B151="מכירה",D151*E151-G151-D151*IFERROR(SUMIFS($I$5:I151,$C$5:C151,C151)/SUMIFS($D$5:D151,$C$5:C151,C151,$B$5:B151,"קנייה"),0),0)</f>
        <v/>
      </c>
      <c r="K151" s="26" t="n"/>
    </row>
    <row r="152">
      <c r="A152" s="39" t="n"/>
      <c r="B152" s="26" t="n"/>
      <c r="C152" s="26" t="n"/>
      <c r="D152" s="40" t="n"/>
      <c r="E152" s="29" t="n"/>
      <c r="F152" s="29" t="n"/>
      <c r="G152" s="29" t="n"/>
      <c r="H152" s="28">
        <f>IF(B152="","",IF(B152="קנייה",-(D152*E152+G152),IF(B152="מכירה",D152*E152-G152,IF(B152="דיבידנד",F152-G152,IF(B152="הפקדה",F152-G152,IF(B152="משיכה",-F152-G152,-G152))))))</f>
        <v/>
      </c>
      <c r="I152" s="28">
        <f>IF(B152="קנייה",D152*E152+G152,0)</f>
        <v/>
      </c>
      <c r="J152" s="41">
        <f>IF(B152="מכירה",D152*E152-G152-D152*IFERROR(SUMIFS($I$5:I152,$C$5:C152,C152)/SUMIFS($D$5:D152,$C$5:C152,C152,$B$5:B152,"קנייה"),0),0)</f>
        <v/>
      </c>
      <c r="K152" s="26" t="n"/>
    </row>
    <row r="153">
      <c r="A153" s="39" t="n"/>
      <c r="B153" s="26" t="n"/>
      <c r="C153" s="26" t="n"/>
      <c r="D153" s="40" t="n"/>
      <c r="E153" s="29" t="n"/>
      <c r="F153" s="29" t="n"/>
      <c r="G153" s="29" t="n"/>
      <c r="H153" s="28">
        <f>IF(B153="","",IF(B153="קנייה",-(D153*E153+G153),IF(B153="מכירה",D153*E153-G153,IF(B153="דיבידנד",F153-G153,IF(B153="הפקדה",F153-G153,IF(B153="משיכה",-F153-G153,-G153))))))</f>
        <v/>
      </c>
      <c r="I153" s="28">
        <f>IF(B153="קנייה",D153*E153+G153,0)</f>
        <v/>
      </c>
      <c r="J153" s="41">
        <f>IF(B153="מכירה",D153*E153-G153-D153*IFERROR(SUMIFS($I$5:I153,$C$5:C153,C153)/SUMIFS($D$5:D153,$C$5:C153,C153,$B$5:B153,"קנייה"),0),0)</f>
        <v/>
      </c>
      <c r="K153" s="26" t="n"/>
    </row>
    <row r="154">
      <c r="A154" s="39" t="n"/>
      <c r="B154" s="26" t="n"/>
      <c r="C154" s="26" t="n"/>
      <c r="D154" s="40" t="n"/>
      <c r="E154" s="29" t="n"/>
      <c r="F154" s="29" t="n"/>
      <c r="G154" s="29" t="n"/>
      <c r="H154" s="28">
        <f>IF(B154="","",IF(B154="קנייה",-(D154*E154+G154),IF(B154="מכירה",D154*E154-G154,IF(B154="דיבידנד",F154-G154,IF(B154="הפקדה",F154-G154,IF(B154="משיכה",-F154-G154,-G154))))))</f>
        <v/>
      </c>
      <c r="I154" s="28">
        <f>IF(B154="קנייה",D154*E154+G154,0)</f>
        <v/>
      </c>
      <c r="J154" s="41">
        <f>IF(B154="מכירה",D154*E154-G154-D154*IFERROR(SUMIFS($I$5:I154,$C$5:C154,C154)/SUMIFS($D$5:D154,$C$5:C154,C154,$B$5:B154,"קנייה"),0),0)</f>
        <v/>
      </c>
      <c r="K154" s="26" t="n"/>
    </row>
    <row r="155">
      <c r="A155" s="39" t="n"/>
      <c r="B155" s="26" t="n"/>
      <c r="C155" s="26" t="n"/>
      <c r="D155" s="40" t="n"/>
      <c r="E155" s="29" t="n"/>
      <c r="F155" s="29" t="n"/>
      <c r="G155" s="29" t="n"/>
      <c r="H155" s="28">
        <f>IF(B155="","",IF(B155="קנייה",-(D155*E155+G155),IF(B155="מכירה",D155*E155-G155,IF(B155="דיבידנד",F155-G155,IF(B155="הפקדה",F155-G155,IF(B155="משיכה",-F155-G155,-G155))))))</f>
        <v/>
      </c>
      <c r="I155" s="28">
        <f>IF(B155="קנייה",D155*E155+G155,0)</f>
        <v/>
      </c>
      <c r="J155" s="41">
        <f>IF(B155="מכירה",D155*E155-G155-D155*IFERROR(SUMIFS($I$5:I155,$C$5:C155,C155)/SUMIFS($D$5:D155,$C$5:C155,C155,$B$5:B155,"קנייה"),0),0)</f>
        <v/>
      </c>
      <c r="K155" s="26" t="n"/>
    </row>
    <row r="156">
      <c r="A156" s="39" t="n"/>
      <c r="B156" s="26" t="n"/>
      <c r="C156" s="26" t="n"/>
      <c r="D156" s="40" t="n"/>
      <c r="E156" s="29" t="n"/>
      <c r="F156" s="29" t="n"/>
      <c r="G156" s="29" t="n"/>
      <c r="H156" s="28">
        <f>IF(B156="","",IF(B156="קנייה",-(D156*E156+G156),IF(B156="מכירה",D156*E156-G156,IF(B156="דיבידנד",F156-G156,IF(B156="הפקדה",F156-G156,IF(B156="משיכה",-F156-G156,-G156))))))</f>
        <v/>
      </c>
      <c r="I156" s="28">
        <f>IF(B156="קנייה",D156*E156+G156,0)</f>
        <v/>
      </c>
      <c r="J156" s="41">
        <f>IF(B156="מכירה",D156*E156-G156-D156*IFERROR(SUMIFS($I$5:I156,$C$5:C156,C156)/SUMIFS($D$5:D156,$C$5:C156,C156,$B$5:B156,"קנייה"),0),0)</f>
        <v/>
      </c>
      <c r="K156" s="26" t="n"/>
    </row>
    <row r="157">
      <c r="A157" s="39" t="n"/>
      <c r="B157" s="26" t="n"/>
      <c r="C157" s="26" t="n"/>
      <c r="D157" s="40" t="n"/>
      <c r="E157" s="29" t="n"/>
      <c r="F157" s="29" t="n"/>
      <c r="G157" s="29" t="n"/>
      <c r="H157" s="28">
        <f>IF(B157="","",IF(B157="קנייה",-(D157*E157+G157),IF(B157="מכירה",D157*E157-G157,IF(B157="דיבידנד",F157-G157,IF(B157="הפקדה",F157-G157,IF(B157="משיכה",-F157-G157,-G157))))))</f>
        <v/>
      </c>
      <c r="I157" s="28">
        <f>IF(B157="קנייה",D157*E157+G157,0)</f>
        <v/>
      </c>
      <c r="J157" s="41">
        <f>IF(B157="מכירה",D157*E157-G157-D157*IFERROR(SUMIFS($I$5:I157,$C$5:C157,C157)/SUMIFS($D$5:D157,$C$5:C157,C157,$B$5:B157,"קנייה"),0),0)</f>
        <v/>
      </c>
      <c r="K157" s="26" t="n"/>
    </row>
    <row r="158">
      <c r="A158" s="39" t="n"/>
      <c r="B158" s="26" t="n"/>
      <c r="C158" s="26" t="n"/>
      <c r="D158" s="40" t="n"/>
      <c r="E158" s="29" t="n"/>
      <c r="F158" s="29" t="n"/>
      <c r="G158" s="29" t="n"/>
      <c r="H158" s="28">
        <f>IF(B158="","",IF(B158="קנייה",-(D158*E158+G158),IF(B158="מכירה",D158*E158-G158,IF(B158="דיבידנד",F158-G158,IF(B158="הפקדה",F158-G158,IF(B158="משיכה",-F158-G158,-G158))))))</f>
        <v/>
      </c>
      <c r="I158" s="28">
        <f>IF(B158="קנייה",D158*E158+G158,0)</f>
        <v/>
      </c>
      <c r="J158" s="41">
        <f>IF(B158="מכירה",D158*E158-G158-D158*IFERROR(SUMIFS($I$5:I158,$C$5:C158,C158)/SUMIFS($D$5:D158,$C$5:C158,C158,$B$5:B158,"קנייה"),0),0)</f>
        <v/>
      </c>
      <c r="K158" s="26" t="n"/>
    </row>
    <row r="159">
      <c r="A159" s="39" t="n"/>
      <c r="B159" s="26" t="n"/>
      <c r="C159" s="26" t="n"/>
      <c r="D159" s="40" t="n"/>
      <c r="E159" s="29" t="n"/>
      <c r="F159" s="29" t="n"/>
      <c r="G159" s="29" t="n"/>
      <c r="H159" s="28">
        <f>IF(B159="","",IF(B159="קנייה",-(D159*E159+G159),IF(B159="מכירה",D159*E159-G159,IF(B159="דיבידנד",F159-G159,IF(B159="הפקדה",F159-G159,IF(B159="משיכה",-F159-G159,-G159))))))</f>
        <v/>
      </c>
      <c r="I159" s="28">
        <f>IF(B159="קנייה",D159*E159+G159,0)</f>
        <v/>
      </c>
      <c r="J159" s="41">
        <f>IF(B159="מכירה",D159*E159-G159-D159*IFERROR(SUMIFS($I$5:I159,$C$5:C159,C159)/SUMIFS($D$5:D159,$C$5:C159,C159,$B$5:B159,"קנייה"),0),0)</f>
        <v/>
      </c>
      <c r="K159" s="26" t="n"/>
    </row>
    <row r="160">
      <c r="A160" s="39" t="n"/>
      <c r="B160" s="26" t="n"/>
      <c r="C160" s="26" t="n"/>
      <c r="D160" s="40" t="n"/>
      <c r="E160" s="29" t="n"/>
      <c r="F160" s="29" t="n"/>
      <c r="G160" s="29" t="n"/>
      <c r="H160" s="28">
        <f>IF(B160="","",IF(B160="קנייה",-(D160*E160+G160),IF(B160="מכירה",D160*E160-G160,IF(B160="דיבידנד",F160-G160,IF(B160="הפקדה",F160-G160,IF(B160="משיכה",-F160-G160,-G160))))))</f>
        <v/>
      </c>
      <c r="I160" s="28">
        <f>IF(B160="קנייה",D160*E160+G160,0)</f>
        <v/>
      </c>
      <c r="J160" s="41">
        <f>IF(B160="מכירה",D160*E160-G160-D160*IFERROR(SUMIFS($I$5:I160,$C$5:C160,C160)/SUMIFS($D$5:D160,$C$5:C160,C160,$B$5:B160,"קנייה"),0),0)</f>
        <v/>
      </c>
      <c r="K160" s="26" t="n"/>
    </row>
    <row r="161">
      <c r="A161" s="39" t="n"/>
      <c r="B161" s="26" t="n"/>
      <c r="C161" s="26" t="n"/>
      <c r="D161" s="40" t="n"/>
      <c r="E161" s="29" t="n"/>
      <c r="F161" s="29" t="n"/>
      <c r="G161" s="29" t="n"/>
      <c r="H161" s="28">
        <f>IF(B161="","",IF(B161="קנייה",-(D161*E161+G161),IF(B161="מכירה",D161*E161-G161,IF(B161="דיבידנד",F161-G161,IF(B161="הפקדה",F161-G161,IF(B161="משיכה",-F161-G161,-G161))))))</f>
        <v/>
      </c>
      <c r="I161" s="28">
        <f>IF(B161="קנייה",D161*E161+G161,0)</f>
        <v/>
      </c>
      <c r="J161" s="41">
        <f>IF(B161="מכירה",D161*E161-G161-D161*IFERROR(SUMIFS($I$5:I161,$C$5:C161,C161)/SUMIFS($D$5:D161,$C$5:C161,C161,$B$5:B161,"קנייה"),0),0)</f>
        <v/>
      </c>
      <c r="K161" s="26" t="n"/>
    </row>
    <row r="162">
      <c r="A162" s="39" t="n"/>
      <c r="B162" s="26" t="n"/>
      <c r="C162" s="26" t="n"/>
      <c r="D162" s="40" t="n"/>
      <c r="E162" s="29" t="n"/>
      <c r="F162" s="29" t="n"/>
      <c r="G162" s="29" t="n"/>
      <c r="H162" s="28">
        <f>IF(B162="","",IF(B162="קנייה",-(D162*E162+G162),IF(B162="מכירה",D162*E162-G162,IF(B162="דיבידנד",F162-G162,IF(B162="הפקדה",F162-G162,IF(B162="משיכה",-F162-G162,-G162))))))</f>
        <v/>
      </c>
      <c r="I162" s="28">
        <f>IF(B162="קנייה",D162*E162+G162,0)</f>
        <v/>
      </c>
      <c r="J162" s="41">
        <f>IF(B162="מכירה",D162*E162-G162-D162*IFERROR(SUMIFS($I$5:I162,$C$5:C162,C162)/SUMIFS($D$5:D162,$C$5:C162,C162,$B$5:B162,"קנייה"),0),0)</f>
        <v/>
      </c>
      <c r="K162" s="26" t="n"/>
    </row>
    <row r="163">
      <c r="A163" s="39" t="n"/>
      <c r="B163" s="26" t="n"/>
      <c r="C163" s="26" t="n"/>
      <c r="D163" s="40" t="n"/>
      <c r="E163" s="29" t="n"/>
      <c r="F163" s="29" t="n"/>
      <c r="G163" s="29" t="n"/>
      <c r="H163" s="28">
        <f>IF(B163="","",IF(B163="קנייה",-(D163*E163+G163),IF(B163="מכירה",D163*E163-G163,IF(B163="דיבידנד",F163-G163,IF(B163="הפקדה",F163-G163,IF(B163="משיכה",-F163-G163,-G163))))))</f>
        <v/>
      </c>
      <c r="I163" s="28">
        <f>IF(B163="קנייה",D163*E163+G163,0)</f>
        <v/>
      </c>
      <c r="J163" s="41">
        <f>IF(B163="מכירה",D163*E163-G163-D163*IFERROR(SUMIFS($I$5:I163,$C$5:C163,C163)/SUMIFS($D$5:D163,$C$5:C163,C163,$B$5:B163,"קנייה"),0),0)</f>
        <v/>
      </c>
      <c r="K163" s="26" t="n"/>
    </row>
    <row r="164">
      <c r="A164" s="39" t="n"/>
      <c r="B164" s="26" t="n"/>
      <c r="C164" s="26" t="n"/>
      <c r="D164" s="40" t="n"/>
      <c r="E164" s="29" t="n"/>
      <c r="F164" s="29" t="n"/>
      <c r="G164" s="29" t="n"/>
      <c r="H164" s="28">
        <f>IF(B164="","",IF(B164="קנייה",-(D164*E164+G164),IF(B164="מכירה",D164*E164-G164,IF(B164="דיבידנד",F164-G164,IF(B164="הפקדה",F164-G164,IF(B164="משיכה",-F164-G164,-G164))))))</f>
        <v/>
      </c>
      <c r="I164" s="28">
        <f>IF(B164="קנייה",D164*E164+G164,0)</f>
        <v/>
      </c>
      <c r="J164" s="41">
        <f>IF(B164="מכירה",D164*E164-G164-D164*IFERROR(SUMIFS($I$5:I164,$C$5:C164,C164)/SUMIFS($D$5:D164,$C$5:C164,C164,$B$5:B164,"קנייה"),0),0)</f>
        <v/>
      </c>
      <c r="K164" s="26" t="n"/>
    </row>
    <row r="165">
      <c r="A165" s="39" t="n"/>
      <c r="B165" s="26" t="n"/>
      <c r="C165" s="26" t="n"/>
      <c r="D165" s="40" t="n"/>
      <c r="E165" s="29" t="n"/>
      <c r="F165" s="29" t="n"/>
      <c r="G165" s="29" t="n"/>
      <c r="H165" s="28">
        <f>IF(B165="","",IF(B165="קנייה",-(D165*E165+G165),IF(B165="מכירה",D165*E165-G165,IF(B165="דיבידנד",F165-G165,IF(B165="הפקדה",F165-G165,IF(B165="משיכה",-F165-G165,-G165))))))</f>
        <v/>
      </c>
      <c r="I165" s="28">
        <f>IF(B165="קנייה",D165*E165+G165,0)</f>
        <v/>
      </c>
      <c r="J165" s="41">
        <f>IF(B165="מכירה",D165*E165-G165-D165*IFERROR(SUMIFS($I$5:I165,$C$5:C165,C165)/SUMIFS($D$5:D165,$C$5:C165,C165,$B$5:B165,"קנייה"),0),0)</f>
        <v/>
      </c>
      <c r="K165" s="26" t="n"/>
    </row>
    <row r="166">
      <c r="A166" s="39" t="n"/>
      <c r="B166" s="26" t="n"/>
      <c r="C166" s="26" t="n"/>
      <c r="D166" s="40" t="n"/>
      <c r="E166" s="29" t="n"/>
      <c r="F166" s="29" t="n"/>
      <c r="G166" s="29" t="n"/>
      <c r="H166" s="28">
        <f>IF(B166="","",IF(B166="קנייה",-(D166*E166+G166),IF(B166="מכירה",D166*E166-G166,IF(B166="דיבידנד",F166-G166,IF(B166="הפקדה",F166-G166,IF(B166="משיכה",-F166-G166,-G166))))))</f>
        <v/>
      </c>
      <c r="I166" s="28">
        <f>IF(B166="קנייה",D166*E166+G166,0)</f>
        <v/>
      </c>
      <c r="J166" s="41">
        <f>IF(B166="מכירה",D166*E166-G166-D166*IFERROR(SUMIFS($I$5:I166,$C$5:C166,C166)/SUMIFS($D$5:D166,$C$5:C166,C166,$B$5:B166,"קנייה"),0),0)</f>
        <v/>
      </c>
      <c r="K166" s="26" t="n"/>
    </row>
    <row r="167">
      <c r="A167" s="39" t="n"/>
      <c r="B167" s="26" t="n"/>
      <c r="C167" s="26" t="n"/>
      <c r="D167" s="40" t="n"/>
      <c r="E167" s="29" t="n"/>
      <c r="F167" s="29" t="n"/>
      <c r="G167" s="29" t="n"/>
      <c r="H167" s="28">
        <f>IF(B167="","",IF(B167="קנייה",-(D167*E167+G167),IF(B167="מכירה",D167*E167-G167,IF(B167="דיבידנד",F167-G167,IF(B167="הפקדה",F167-G167,IF(B167="משיכה",-F167-G167,-G167))))))</f>
        <v/>
      </c>
      <c r="I167" s="28">
        <f>IF(B167="קנייה",D167*E167+G167,0)</f>
        <v/>
      </c>
      <c r="J167" s="41">
        <f>IF(B167="מכירה",D167*E167-G167-D167*IFERROR(SUMIFS($I$5:I167,$C$5:C167,C167)/SUMIFS($D$5:D167,$C$5:C167,C167,$B$5:B167,"קנייה"),0),0)</f>
        <v/>
      </c>
      <c r="K167" s="26" t="n"/>
    </row>
    <row r="168">
      <c r="A168" s="39" t="n"/>
      <c r="B168" s="26" t="n"/>
      <c r="C168" s="26" t="n"/>
      <c r="D168" s="40" t="n"/>
      <c r="E168" s="29" t="n"/>
      <c r="F168" s="29" t="n"/>
      <c r="G168" s="29" t="n"/>
      <c r="H168" s="28">
        <f>IF(B168="","",IF(B168="קנייה",-(D168*E168+G168),IF(B168="מכירה",D168*E168-G168,IF(B168="דיבידנד",F168-G168,IF(B168="הפקדה",F168-G168,IF(B168="משיכה",-F168-G168,-G168))))))</f>
        <v/>
      </c>
      <c r="I168" s="28">
        <f>IF(B168="קנייה",D168*E168+G168,0)</f>
        <v/>
      </c>
      <c r="J168" s="41">
        <f>IF(B168="מכירה",D168*E168-G168-D168*IFERROR(SUMIFS($I$5:I168,$C$5:C168,C168)/SUMIFS($D$5:D168,$C$5:C168,C168,$B$5:B168,"קנייה"),0),0)</f>
        <v/>
      </c>
      <c r="K168" s="26" t="n"/>
    </row>
    <row r="169">
      <c r="A169" s="39" t="n"/>
      <c r="B169" s="26" t="n"/>
      <c r="C169" s="26" t="n"/>
      <c r="D169" s="40" t="n"/>
      <c r="E169" s="29" t="n"/>
      <c r="F169" s="29" t="n"/>
      <c r="G169" s="29" t="n"/>
      <c r="H169" s="28">
        <f>IF(B169="","",IF(B169="קנייה",-(D169*E169+G169),IF(B169="מכירה",D169*E169-G169,IF(B169="דיבידנד",F169-G169,IF(B169="הפקדה",F169-G169,IF(B169="משיכה",-F169-G169,-G169))))))</f>
        <v/>
      </c>
      <c r="I169" s="28">
        <f>IF(B169="קנייה",D169*E169+G169,0)</f>
        <v/>
      </c>
      <c r="J169" s="41">
        <f>IF(B169="מכירה",D169*E169-G169-D169*IFERROR(SUMIFS($I$5:I169,$C$5:C169,C169)/SUMIFS($D$5:D169,$C$5:C169,C169,$B$5:B169,"קנייה"),0),0)</f>
        <v/>
      </c>
      <c r="K169" s="26" t="n"/>
    </row>
    <row r="170">
      <c r="A170" s="39" t="n"/>
      <c r="B170" s="26" t="n"/>
      <c r="C170" s="26" t="n"/>
      <c r="D170" s="40" t="n"/>
      <c r="E170" s="29" t="n"/>
      <c r="F170" s="29" t="n"/>
      <c r="G170" s="29" t="n"/>
      <c r="H170" s="28">
        <f>IF(B170="","",IF(B170="קנייה",-(D170*E170+G170),IF(B170="מכירה",D170*E170-G170,IF(B170="דיבידנד",F170-G170,IF(B170="הפקדה",F170-G170,IF(B170="משיכה",-F170-G170,-G170))))))</f>
        <v/>
      </c>
      <c r="I170" s="28">
        <f>IF(B170="קנייה",D170*E170+G170,0)</f>
        <v/>
      </c>
      <c r="J170" s="41">
        <f>IF(B170="מכירה",D170*E170-G170-D170*IFERROR(SUMIFS($I$5:I170,$C$5:C170,C170)/SUMIFS($D$5:D170,$C$5:C170,C170,$B$5:B170,"קנייה"),0),0)</f>
        <v/>
      </c>
      <c r="K170" s="26" t="n"/>
    </row>
    <row r="171">
      <c r="A171" s="39" t="n"/>
      <c r="B171" s="26" t="n"/>
      <c r="C171" s="26" t="n"/>
      <c r="D171" s="40" t="n"/>
      <c r="E171" s="29" t="n"/>
      <c r="F171" s="29" t="n"/>
      <c r="G171" s="29" t="n"/>
      <c r="H171" s="28">
        <f>IF(B171="","",IF(B171="קנייה",-(D171*E171+G171),IF(B171="מכירה",D171*E171-G171,IF(B171="דיבידנד",F171-G171,IF(B171="הפקדה",F171-G171,IF(B171="משיכה",-F171-G171,-G171))))))</f>
        <v/>
      </c>
      <c r="I171" s="28">
        <f>IF(B171="קנייה",D171*E171+G171,0)</f>
        <v/>
      </c>
      <c r="J171" s="41">
        <f>IF(B171="מכירה",D171*E171-G171-D171*IFERROR(SUMIFS($I$5:I171,$C$5:C171,C171)/SUMIFS($D$5:D171,$C$5:C171,C171,$B$5:B171,"קנייה"),0),0)</f>
        <v/>
      </c>
      <c r="K171" s="26" t="n"/>
    </row>
    <row r="172">
      <c r="A172" s="39" t="n"/>
      <c r="B172" s="26" t="n"/>
      <c r="C172" s="26" t="n"/>
      <c r="D172" s="40" t="n"/>
      <c r="E172" s="29" t="n"/>
      <c r="F172" s="29" t="n"/>
      <c r="G172" s="29" t="n"/>
      <c r="H172" s="28">
        <f>IF(B172="","",IF(B172="קנייה",-(D172*E172+G172),IF(B172="מכירה",D172*E172-G172,IF(B172="דיבידנד",F172-G172,IF(B172="הפקדה",F172-G172,IF(B172="משיכה",-F172-G172,-G172))))))</f>
        <v/>
      </c>
      <c r="I172" s="28">
        <f>IF(B172="קנייה",D172*E172+G172,0)</f>
        <v/>
      </c>
      <c r="J172" s="41">
        <f>IF(B172="מכירה",D172*E172-G172-D172*IFERROR(SUMIFS($I$5:I172,$C$5:C172,C172)/SUMIFS($D$5:D172,$C$5:C172,C172,$B$5:B172,"קנייה"),0),0)</f>
        <v/>
      </c>
      <c r="K172" s="26" t="n"/>
    </row>
    <row r="173">
      <c r="A173" s="39" t="n"/>
      <c r="B173" s="26" t="n"/>
      <c r="C173" s="26" t="n"/>
      <c r="D173" s="40" t="n"/>
      <c r="E173" s="29" t="n"/>
      <c r="F173" s="29" t="n"/>
      <c r="G173" s="29" t="n"/>
      <c r="H173" s="28">
        <f>IF(B173="","",IF(B173="קנייה",-(D173*E173+G173),IF(B173="מכירה",D173*E173-G173,IF(B173="דיבידנד",F173-G173,IF(B173="הפקדה",F173-G173,IF(B173="משיכה",-F173-G173,-G173))))))</f>
        <v/>
      </c>
      <c r="I173" s="28">
        <f>IF(B173="קנייה",D173*E173+G173,0)</f>
        <v/>
      </c>
      <c r="J173" s="41">
        <f>IF(B173="מכירה",D173*E173-G173-D173*IFERROR(SUMIFS($I$5:I173,$C$5:C173,C173)/SUMIFS($D$5:D173,$C$5:C173,C173,$B$5:B173,"קנייה"),0),0)</f>
        <v/>
      </c>
      <c r="K173" s="26" t="n"/>
    </row>
    <row r="174">
      <c r="A174" s="39" t="n"/>
      <c r="B174" s="26" t="n"/>
      <c r="C174" s="26" t="n"/>
      <c r="D174" s="40" t="n"/>
      <c r="E174" s="29" t="n"/>
      <c r="F174" s="29" t="n"/>
      <c r="G174" s="29" t="n"/>
      <c r="H174" s="28">
        <f>IF(B174="","",IF(B174="קנייה",-(D174*E174+G174),IF(B174="מכירה",D174*E174-G174,IF(B174="דיבידנד",F174-G174,IF(B174="הפקדה",F174-G174,IF(B174="משיכה",-F174-G174,-G174))))))</f>
        <v/>
      </c>
      <c r="I174" s="28">
        <f>IF(B174="קנייה",D174*E174+G174,0)</f>
        <v/>
      </c>
      <c r="J174" s="41">
        <f>IF(B174="מכירה",D174*E174-G174-D174*IFERROR(SUMIFS($I$5:I174,$C$5:C174,C174)/SUMIFS($D$5:D174,$C$5:C174,C174,$B$5:B174,"קנייה"),0),0)</f>
        <v/>
      </c>
      <c r="K174" s="26" t="n"/>
    </row>
    <row r="175">
      <c r="A175" s="39" t="n"/>
      <c r="B175" s="26" t="n"/>
      <c r="C175" s="26" t="n"/>
      <c r="D175" s="40" t="n"/>
      <c r="E175" s="29" t="n"/>
      <c r="F175" s="29" t="n"/>
      <c r="G175" s="29" t="n"/>
      <c r="H175" s="28">
        <f>IF(B175="","",IF(B175="קנייה",-(D175*E175+G175),IF(B175="מכירה",D175*E175-G175,IF(B175="דיבידנד",F175-G175,IF(B175="הפקדה",F175-G175,IF(B175="משיכה",-F175-G175,-G175))))))</f>
        <v/>
      </c>
      <c r="I175" s="28">
        <f>IF(B175="קנייה",D175*E175+G175,0)</f>
        <v/>
      </c>
      <c r="J175" s="41">
        <f>IF(B175="מכירה",D175*E175-G175-D175*IFERROR(SUMIFS($I$5:I175,$C$5:C175,C175)/SUMIFS($D$5:D175,$C$5:C175,C175,$B$5:B175,"קנייה"),0),0)</f>
        <v/>
      </c>
      <c r="K175" s="26" t="n"/>
    </row>
    <row r="176">
      <c r="A176" s="39" t="n"/>
      <c r="B176" s="26" t="n"/>
      <c r="C176" s="26" t="n"/>
      <c r="D176" s="40" t="n"/>
      <c r="E176" s="29" t="n"/>
      <c r="F176" s="29" t="n"/>
      <c r="G176" s="29" t="n"/>
      <c r="H176" s="28">
        <f>IF(B176="","",IF(B176="קנייה",-(D176*E176+G176),IF(B176="מכירה",D176*E176-G176,IF(B176="דיבידנד",F176-G176,IF(B176="הפקדה",F176-G176,IF(B176="משיכה",-F176-G176,-G176))))))</f>
        <v/>
      </c>
      <c r="I176" s="28">
        <f>IF(B176="קנייה",D176*E176+G176,0)</f>
        <v/>
      </c>
      <c r="J176" s="41">
        <f>IF(B176="מכירה",D176*E176-G176-D176*IFERROR(SUMIFS($I$5:I176,$C$5:C176,C176)/SUMIFS($D$5:D176,$C$5:C176,C176,$B$5:B176,"קנייה"),0),0)</f>
        <v/>
      </c>
      <c r="K176" s="26" t="n"/>
    </row>
    <row r="177">
      <c r="A177" s="39" t="n"/>
      <c r="B177" s="26" t="n"/>
      <c r="C177" s="26" t="n"/>
      <c r="D177" s="40" t="n"/>
      <c r="E177" s="29" t="n"/>
      <c r="F177" s="29" t="n"/>
      <c r="G177" s="29" t="n"/>
      <c r="H177" s="28">
        <f>IF(B177="","",IF(B177="קנייה",-(D177*E177+G177),IF(B177="מכירה",D177*E177-G177,IF(B177="דיבידנד",F177-G177,IF(B177="הפקדה",F177-G177,IF(B177="משיכה",-F177-G177,-G177))))))</f>
        <v/>
      </c>
      <c r="I177" s="28">
        <f>IF(B177="קנייה",D177*E177+G177,0)</f>
        <v/>
      </c>
      <c r="J177" s="41">
        <f>IF(B177="מכירה",D177*E177-G177-D177*IFERROR(SUMIFS($I$5:I177,$C$5:C177,C177)/SUMIFS($D$5:D177,$C$5:C177,C177,$B$5:B177,"קנייה"),0),0)</f>
        <v/>
      </c>
      <c r="K177" s="26" t="n"/>
    </row>
    <row r="178">
      <c r="A178" s="39" t="n"/>
      <c r="B178" s="26" t="n"/>
      <c r="C178" s="26" t="n"/>
      <c r="D178" s="40" t="n"/>
      <c r="E178" s="29" t="n"/>
      <c r="F178" s="29" t="n"/>
      <c r="G178" s="29" t="n"/>
      <c r="H178" s="28">
        <f>IF(B178="","",IF(B178="קנייה",-(D178*E178+G178),IF(B178="מכירה",D178*E178-G178,IF(B178="דיבידנד",F178-G178,IF(B178="הפקדה",F178-G178,IF(B178="משיכה",-F178-G178,-G178))))))</f>
        <v/>
      </c>
      <c r="I178" s="28">
        <f>IF(B178="קנייה",D178*E178+G178,0)</f>
        <v/>
      </c>
      <c r="J178" s="41">
        <f>IF(B178="מכירה",D178*E178-G178-D178*IFERROR(SUMIFS($I$5:I178,$C$5:C178,C178)/SUMIFS($D$5:D178,$C$5:C178,C178,$B$5:B178,"קנייה"),0),0)</f>
        <v/>
      </c>
      <c r="K178" s="26" t="n"/>
    </row>
    <row r="179">
      <c r="A179" s="39" t="n"/>
      <c r="B179" s="26" t="n"/>
      <c r="C179" s="26" t="n"/>
      <c r="D179" s="40" t="n"/>
      <c r="E179" s="29" t="n"/>
      <c r="F179" s="29" t="n"/>
      <c r="G179" s="29" t="n"/>
      <c r="H179" s="28">
        <f>IF(B179="","",IF(B179="קנייה",-(D179*E179+G179),IF(B179="מכירה",D179*E179-G179,IF(B179="דיבידנד",F179-G179,IF(B179="הפקדה",F179-G179,IF(B179="משיכה",-F179-G179,-G179))))))</f>
        <v/>
      </c>
      <c r="I179" s="28">
        <f>IF(B179="קנייה",D179*E179+G179,0)</f>
        <v/>
      </c>
      <c r="J179" s="41">
        <f>IF(B179="מכירה",D179*E179-G179-D179*IFERROR(SUMIFS($I$5:I179,$C$5:C179,C179)/SUMIFS($D$5:D179,$C$5:C179,C179,$B$5:B179,"קנייה"),0),0)</f>
        <v/>
      </c>
      <c r="K179" s="26" t="n"/>
    </row>
    <row r="180">
      <c r="A180" s="39" t="n"/>
      <c r="B180" s="26" t="n"/>
      <c r="C180" s="26" t="n"/>
      <c r="D180" s="40" t="n"/>
      <c r="E180" s="29" t="n"/>
      <c r="F180" s="29" t="n"/>
      <c r="G180" s="29" t="n"/>
      <c r="H180" s="28">
        <f>IF(B180="","",IF(B180="קנייה",-(D180*E180+G180),IF(B180="מכירה",D180*E180-G180,IF(B180="דיבידנד",F180-G180,IF(B180="הפקדה",F180-G180,IF(B180="משיכה",-F180-G180,-G180))))))</f>
        <v/>
      </c>
      <c r="I180" s="28">
        <f>IF(B180="קנייה",D180*E180+G180,0)</f>
        <v/>
      </c>
      <c r="J180" s="41">
        <f>IF(B180="מכירה",D180*E180-G180-D180*IFERROR(SUMIFS($I$5:I180,$C$5:C180,C180)/SUMIFS($D$5:D180,$C$5:C180,C180,$B$5:B180,"קנייה"),0),0)</f>
        <v/>
      </c>
      <c r="K180" s="26" t="n"/>
    </row>
    <row r="181">
      <c r="A181" s="39" t="n"/>
      <c r="B181" s="26" t="n"/>
      <c r="C181" s="26" t="n"/>
      <c r="D181" s="40" t="n"/>
      <c r="E181" s="29" t="n"/>
      <c r="F181" s="29" t="n"/>
      <c r="G181" s="29" t="n"/>
      <c r="H181" s="28">
        <f>IF(B181="","",IF(B181="קנייה",-(D181*E181+G181),IF(B181="מכירה",D181*E181-G181,IF(B181="דיבידנד",F181-G181,IF(B181="הפקדה",F181-G181,IF(B181="משיכה",-F181-G181,-G181))))))</f>
        <v/>
      </c>
      <c r="I181" s="28">
        <f>IF(B181="קנייה",D181*E181+G181,0)</f>
        <v/>
      </c>
      <c r="J181" s="41">
        <f>IF(B181="מכירה",D181*E181-G181-D181*IFERROR(SUMIFS($I$5:I181,$C$5:C181,C181)/SUMIFS($D$5:D181,$C$5:C181,C181,$B$5:B181,"קנייה"),0),0)</f>
        <v/>
      </c>
      <c r="K181" s="26" t="n"/>
    </row>
    <row r="182">
      <c r="A182" s="39" t="n"/>
      <c r="B182" s="26" t="n"/>
      <c r="C182" s="26" t="n"/>
      <c r="D182" s="40" t="n"/>
      <c r="E182" s="29" t="n"/>
      <c r="F182" s="29" t="n"/>
      <c r="G182" s="29" t="n"/>
      <c r="H182" s="28">
        <f>IF(B182="","",IF(B182="קנייה",-(D182*E182+G182),IF(B182="מכירה",D182*E182-G182,IF(B182="דיבידנד",F182-G182,IF(B182="הפקדה",F182-G182,IF(B182="משיכה",-F182-G182,-G182))))))</f>
        <v/>
      </c>
      <c r="I182" s="28">
        <f>IF(B182="קנייה",D182*E182+G182,0)</f>
        <v/>
      </c>
      <c r="J182" s="41">
        <f>IF(B182="מכירה",D182*E182-G182-D182*IFERROR(SUMIFS($I$5:I182,$C$5:C182,C182)/SUMIFS($D$5:D182,$C$5:C182,C182,$B$5:B182,"קנייה"),0),0)</f>
        <v/>
      </c>
      <c r="K182" s="26" t="n"/>
    </row>
    <row r="183">
      <c r="A183" s="39" t="n"/>
      <c r="B183" s="26" t="n"/>
      <c r="C183" s="26" t="n"/>
      <c r="D183" s="40" t="n"/>
      <c r="E183" s="29" t="n"/>
      <c r="F183" s="29" t="n"/>
      <c r="G183" s="29" t="n"/>
      <c r="H183" s="28">
        <f>IF(B183="","",IF(B183="קנייה",-(D183*E183+G183),IF(B183="מכירה",D183*E183-G183,IF(B183="דיבידנד",F183-G183,IF(B183="הפקדה",F183-G183,IF(B183="משיכה",-F183-G183,-G183))))))</f>
        <v/>
      </c>
      <c r="I183" s="28">
        <f>IF(B183="קנייה",D183*E183+G183,0)</f>
        <v/>
      </c>
      <c r="J183" s="41">
        <f>IF(B183="מכירה",D183*E183-G183-D183*IFERROR(SUMIFS($I$5:I183,$C$5:C183,C183)/SUMIFS($D$5:D183,$C$5:C183,C183,$B$5:B183,"קנייה"),0),0)</f>
        <v/>
      </c>
      <c r="K183" s="26" t="n"/>
    </row>
    <row r="184">
      <c r="A184" s="39" t="n"/>
      <c r="B184" s="26" t="n"/>
      <c r="C184" s="26" t="n"/>
      <c r="D184" s="40" t="n"/>
      <c r="E184" s="29" t="n"/>
      <c r="F184" s="29" t="n"/>
      <c r="G184" s="29" t="n"/>
      <c r="H184" s="28">
        <f>IF(B184="","",IF(B184="קנייה",-(D184*E184+G184),IF(B184="מכירה",D184*E184-G184,IF(B184="דיבידנד",F184-G184,IF(B184="הפקדה",F184-G184,IF(B184="משיכה",-F184-G184,-G184))))))</f>
        <v/>
      </c>
      <c r="I184" s="28">
        <f>IF(B184="קנייה",D184*E184+G184,0)</f>
        <v/>
      </c>
      <c r="J184" s="41">
        <f>IF(B184="מכירה",D184*E184-G184-D184*IFERROR(SUMIFS($I$5:I184,$C$5:C184,C184)/SUMIFS($D$5:D184,$C$5:C184,C184,$B$5:B184,"קנייה"),0),0)</f>
        <v/>
      </c>
      <c r="K184" s="26" t="n"/>
    </row>
    <row r="185">
      <c r="A185" s="39" t="n"/>
      <c r="B185" s="26" t="n"/>
      <c r="C185" s="26" t="n"/>
      <c r="D185" s="40" t="n"/>
      <c r="E185" s="29" t="n"/>
      <c r="F185" s="29" t="n"/>
      <c r="G185" s="29" t="n"/>
      <c r="H185" s="28">
        <f>IF(B185="","",IF(B185="קנייה",-(D185*E185+G185),IF(B185="מכירה",D185*E185-G185,IF(B185="דיבידנד",F185-G185,IF(B185="הפקדה",F185-G185,IF(B185="משיכה",-F185-G185,-G185))))))</f>
        <v/>
      </c>
      <c r="I185" s="28">
        <f>IF(B185="קנייה",D185*E185+G185,0)</f>
        <v/>
      </c>
      <c r="J185" s="41">
        <f>IF(B185="מכירה",D185*E185-G185-D185*IFERROR(SUMIFS($I$5:I185,$C$5:C185,C185)/SUMIFS($D$5:D185,$C$5:C185,C185,$B$5:B185,"קנייה"),0),0)</f>
        <v/>
      </c>
      <c r="K185" s="26" t="n"/>
    </row>
    <row r="186">
      <c r="A186" s="39" t="n"/>
      <c r="B186" s="26" t="n"/>
      <c r="C186" s="26" t="n"/>
      <c r="D186" s="40" t="n"/>
      <c r="E186" s="29" t="n"/>
      <c r="F186" s="29" t="n"/>
      <c r="G186" s="29" t="n"/>
      <c r="H186" s="28">
        <f>IF(B186="","",IF(B186="קנייה",-(D186*E186+G186),IF(B186="מכירה",D186*E186-G186,IF(B186="דיבידנד",F186-G186,IF(B186="הפקדה",F186-G186,IF(B186="משיכה",-F186-G186,-G186))))))</f>
        <v/>
      </c>
      <c r="I186" s="28">
        <f>IF(B186="קנייה",D186*E186+G186,0)</f>
        <v/>
      </c>
      <c r="J186" s="41">
        <f>IF(B186="מכירה",D186*E186-G186-D186*IFERROR(SUMIFS($I$5:I186,$C$5:C186,C186)/SUMIFS($D$5:D186,$C$5:C186,C186,$B$5:B186,"קנייה"),0),0)</f>
        <v/>
      </c>
      <c r="K186" s="26" t="n"/>
    </row>
    <row r="187">
      <c r="A187" s="39" t="n"/>
      <c r="B187" s="26" t="n"/>
      <c r="C187" s="26" t="n"/>
      <c r="D187" s="40" t="n"/>
      <c r="E187" s="29" t="n"/>
      <c r="F187" s="29" t="n"/>
      <c r="G187" s="29" t="n"/>
      <c r="H187" s="28">
        <f>IF(B187="","",IF(B187="קנייה",-(D187*E187+G187),IF(B187="מכירה",D187*E187-G187,IF(B187="דיבידנד",F187-G187,IF(B187="הפקדה",F187-G187,IF(B187="משיכה",-F187-G187,-G187))))))</f>
        <v/>
      </c>
      <c r="I187" s="28">
        <f>IF(B187="קנייה",D187*E187+G187,0)</f>
        <v/>
      </c>
      <c r="J187" s="41">
        <f>IF(B187="מכירה",D187*E187-G187-D187*IFERROR(SUMIFS($I$5:I187,$C$5:C187,C187)/SUMIFS($D$5:D187,$C$5:C187,C187,$B$5:B187,"קנייה"),0),0)</f>
        <v/>
      </c>
      <c r="K187" s="26" t="n"/>
    </row>
    <row r="188">
      <c r="A188" s="39" t="n"/>
      <c r="B188" s="26" t="n"/>
      <c r="C188" s="26" t="n"/>
      <c r="D188" s="40" t="n"/>
      <c r="E188" s="29" t="n"/>
      <c r="F188" s="29" t="n"/>
      <c r="G188" s="29" t="n"/>
      <c r="H188" s="28">
        <f>IF(B188="","",IF(B188="קנייה",-(D188*E188+G188),IF(B188="מכירה",D188*E188-G188,IF(B188="דיבידנד",F188-G188,IF(B188="הפקדה",F188-G188,IF(B188="משיכה",-F188-G188,-G188))))))</f>
        <v/>
      </c>
      <c r="I188" s="28">
        <f>IF(B188="קנייה",D188*E188+G188,0)</f>
        <v/>
      </c>
      <c r="J188" s="41">
        <f>IF(B188="מכירה",D188*E188-G188-D188*IFERROR(SUMIFS($I$5:I188,$C$5:C188,C188)/SUMIFS($D$5:D188,$C$5:C188,C188,$B$5:B188,"קנייה"),0),0)</f>
        <v/>
      </c>
      <c r="K188" s="26" t="n"/>
    </row>
    <row r="189">
      <c r="A189" s="39" t="n"/>
      <c r="B189" s="26" t="n"/>
      <c r="C189" s="26" t="n"/>
      <c r="D189" s="40" t="n"/>
      <c r="E189" s="29" t="n"/>
      <c r="F189" s="29" t="n"/>
      <c r="G189" s="29" t="n"/>
      <c r="H189" s="28">
        <f>IF(B189="","",IF(B189="קנייה",-(D189*E189+G189),IF(B189="מכירה",D189*E189-G189,IF(B189="דיבידנד",F189-G189,IF(B189="הפקדה",F189-G189,IF(B189="משיכה",-F189-G189,-G189))))))</f>
        <v/>
      </c>
      <c r="I189" s="28">
        <f>IF(B189="קנייה",D189*E189+G189,0)</f>
        <v/>
      </c>
      <c r="J189" s="41">
        <f>IF(B189="מכירה",D189*E189-G189-D189*IFERROR(SUMIFS($I$5:I189,$C$5:C189,C189)/SUMIFS($D$5:D189,$C$5:C189,C189,$B$5:B189,"קנייה"),0),0)</f>
        <v/>
      </c>
      <c r="K189" s="26" t="n"/>
    </row>
    <row r="190">
      <c r="A190" s="39" t="n"/>
      <c r="B190" s="26" t="n"/>
      <c r="C190" s="26" t="n"/>
      <c r="D190" s="40" t="n"/>
      <c r="E190" s="29" t="n"/>
      <c r="F190" s="29" t="n"/>
      <c r="G190" s="29" t="n"/>
      <c r="H190" s="28">
        <f>IF(B190="","",IF(B190="קנייה",-(D190*E190+G190),IF(B190="מכירה",D190*E190-G190,IF(B190="דיבידנד",F190-G190,IF(B190="הפקדה",F190-G190,IF(B190="משיכה",-F190-G190,-G190))))))</f>
        <v/>
      </c>
      <c r="I190" s="28">
        <f>IF(B190="קנייה",D190*E190+G190,0)</f>
        <v/>
      </c>
      <c r="J190" s="41">
        <f>IF(B190="מכירה",D190*E190-G190-D190*IFERROR(SUMIFS($I$5:I190,$C$5:C190,C190)/SUMIFS($D$5:D190,$C$5:C190,C190,$B$5:B190,"קנייה"),0),0)</f>
        <v/>
      </c>
      <c r="K190" s="26" t="n"/>
    </row>
    <row r="191">
      <c r="A191" s="39" t="n"/>
      <c r="B191" s="26" t="n"/>
      <c r="C191" s="26" t="n"/>
      <c r="D191" s="40" t="n"/>
      <c r="E191" s="29" t="n"/>
      <c r="F191" s="29" t="n"/>
      <c r="G191" s="29" t="n"/>
      <c r="H191" s="28">
        <f>IF(B191="","",IF(B191="קנייה",-(D191*E191+G191),IF(B191="מכירה",D191*E191-G191,IF(B191="דיבידנד",F191-G191,IF(B191="הפקדה",F191-G191,IF(B191="משיכה",-F191-G191,-G191))))))</f>
        <v/>
      </c>
      <c r="I191" s="28">
        <f>IF(B191="קנייה",D191*E191+G191,0)</f>
        <v/>
      </c>
      <c r="J191" s="41">
        <f>IF(B191="מכירה",D191*E191-G191-D191*IFERROR(SUMIFS($I$5:I191,$C$5:C191,C191)/SUMIFS($D$5:D191,$C$5:C191,C191,$B$5:B191,"קנייה"),0),0)</f>
        <v/>
      </c>
      <c r="K191" s="26" t="n"/>
    </row>
    <row r="192">
      <c r="A192" s="39" t="n"/>
      <c r="B192" s="26" t="n"/>
      <c r="C192" s="26" t="n"/>
      <c r="D192" s="40" t="n"/>
      <c r="E192" s="29" t="n"/>
      <c r="F192" s="29" t="n"/>
      <c r="G192" s="29" t="n"/>
      <c r="H192" s="28">
        <f>IF(B192="","",IF(B192="קנייה",-(D192*E192+G192),IF(B192="מכירה",D192*E192-G192,IF(B192="דיבידנד",F192-G192,IF(B192="הפקדה",F192-G192,IF(B192="משיכה",-F192-G192,-G192))))))</f>
        <v/>
      </c>
      <c r="I192" s="28">
        <f>IF(B192="קנייה",D192*E192+G192,0)</f>
        <v/>
      </c>
      <c r="J192" s="41">
        <f>IF(B192="מכירה",D192*E192-G192-D192*IFERROR(SUMIFS($I$5:I192,$C$5:C192,C192)/SUMIFS($D$5:D192,$C$5:C192,C192,$B$5:B192,"קנייה"),0),0)</f>
        <v/>
      </c>
      <c r="K192" s="26" t="n"/>
    </row>
    <row r="193">
      <c r="A193" s="39" t="n"/>
      <c r="B193" s="26" t="n"/>
      <c r="C193" s="26" t="n"/>
      <c r="D193" s="40" t="n"/>
      <c r="E193" s="29" t="n"/>
      <c r="F193" s="29" t="n"/>
      <c r="G193" s="29" t="n"/>
      <c r="H193" s="28">
        <f>IF(B193="","",IF(B193="קנייה",-(D193*E193+G193),IF(B193="מכירה",D193*E193-G193,IF(B193="דיבידנד",F193-G193,IF(B193="הפקדה",F193-G193,IF(B193="משיכה",-F193-G193,-G193))))))</f>
        <v/>
      </c>
      <c r="I193" s="28">
        <f>IF(B193="קנייה",D193*E193+G193,0)</f>
        <v/>
      </c>
      <c r="J193" s="41">
        <f>IF(B193="מכירה",D193*E193-G193-D193*IFERROR(SUMIFS($I$5:I193,$C$5:C193,C193)/SUMIFS($D$5:D193,$C$5:C193,C193,$B$5:B193,"קנייה"),0),0)</f>
        <v/>
      </c>
      <c r="K193" s="26" t="n"/>
    </row>
    <row r="194">
      <c r="A194" s="39" t="n"/>
      <c r="B194" s="26" t="n"/>
      <c r="C194" s="26" t="n"/>
      <c r="D194" s="40" t="n"/>
      <c r="E194" s="29" t="n"/>
      <c r="F194" s="29" t="n"/>
      <c r="G194" s="29" t="n"/>
      <c r="H194" s="28">
        <f>IF(B194="","",IF(B194="קנייה",-(D194*E194+G194),IF(B194="מכירה",D194*E194-G194,IF(B194="דיבידנד",F194-G194,IF(B194="הפקדה",F194-G194,IF(B194="משיכה",-F194-G194,-G194))))))</f>
        <v/>
      </c>
      <c r="I194" s="28">
        <f>IF(B194="קנייה",D194*E194+G194,0)</f>
        <v/>
      </c>
      <c r="J194" s="41">
        <f>IF(B194="מכירה",D194*E194-G194-D194*IFERROR(SUMIFS($I$5:I194,$C$5:C194,C194)/SUMIFS($D$5:D194,$C$5:C194,C194,$B$5:B194,"קנייה"),0),0)</f>
        <v/>
      </c>
      <c r="K194" s="26" t="n"/>
    </row>
    <row r="195">
      <c r="A195" s="39" t="n"/>
      <c r="B195" s="26" t="n"/>
      <c r="C195" s="26" t="n"/>
      <c r="D195" s="40" t="n"/>
      <c r="E195" s="29" t="n"/>
      <c r="F195" s="29" t="n"/>
      <c r="G195" s="29" t="n"/>
      <c r="H195" s="28">
        <f>IF(B195="","",IF(B195="קנייה",-(D195*E195+G195),IF(B195="מכירה",D195*E195-G195,IF(B195="דיבידנד",F195-G195,IF(B195="הפקדה",F195-G195,IF(B195="משיכה",-F195-G195,-G195))))))</f>
        <v/>
      </c>
      <c r="I195" s="28">
        <f>IF(B195="קנייה",D195*E195+G195,0)</f>
        <v/>
      </c>
      <c r="J195" s="41">
        <f>IF(B195="מכירה",D195*E195-G195-D195*IFERROR(SUMIFS($I$5:I195,$C$5:C195,C195)/SUMIFS($D$5:D195,$C$5:C195,C195,$B$5:B195,"קנייה"),0),0)</f>
        <v/>
      </c>
      <c r="K195" s="26" t="n"/>
    </row>
    <row r="196">
      <c r="A196" s="39" t="n"/>
      <c r="B196" s="26" t="n"/>
      <c r="C196" s="26" t="n"/>
      <c r="D196" s="40" t="n"/>
      <c r="E196" s="29" t="n"/>
      <c r="F196" s="29" t="n"/>
      <c r="G196" s="29" t="n"/>
      <c r="H196" s="28">
        <f>IF(B196="","",IF(B196="קנייה",-(D196*E196+G196),IF(B196="מכירה",D196*E196-G196,IF(B196="דיבידנד",F196-G196,IF(B196="הפקדה",F196-G196,IF(B196="משיכה",-F196-G196,-G196))))))</f>
        <v/>
      </c>
      <c r="I196" s="28">
        <f>IF(B196="קנייה",D196*E196+G196,0)</f>
        <v/>
      </c>
      <c r="J196" s="41">
        <f>IF(B196="מכירה",D196*E196-G196-D196*IFERROR(SUMIFS($I$5:I196,$C$5:C196,C196)/SUMIFS($D$5:D196,$C$5:C196,C196,$B$5:B196,"קנייה"),0),0)</f>
        <v/>
      </c>
      <c r="K196" s="26" t="n"/>
    </row>
    <row r="197">
      <c r="A197" s="39" t="n"/>
      <c r="B197" s="26" t="n"/>
      <c r="C197" s="26" t="n"/>
      <c r="D197" s="40" t="n"/>
      <c r="E197" s="29" t="n"/>
      <c r="F197" s="29" t="n"/>
      <c r="G197" s="29" t="n"/>
      <c r="H197" s="28">
        <f>IF(B197="","",IF(B197="קנייה",-(D197*E197+G197),IF(B197="מכירה",D197*E197-G197,IF(B197="דיבידנד",F197-G197,IF(B197="הפקדה",F197-G197,IF(B197="משיכה",-F197-G197,-G197))))))</f>
        <v/>
      </c>
      <c r="I197" s="28">
        <f>IF(B197="קנייה",D197*E197+G197,0)</f>
        <v/>
      </c>
      <c r="J197" s="41">
        <f>IF(B197="מכירה",D197*E197-G197-D197*IFERROR(SUMIFS($I$5:I197,$C$5:C197,C197)/SUMIFS($D$5:D197,$C$5:C197,C197,$B$5:B197,"קנייה"),0),0)</f>
        <v/>
      </c>
      <c r="K197" s="26" t="n"/>
    </row>
    <row r="198">
      <c r="A198" s="39" t="n"/>
      <c r="B198" s="26" t="n"/>
      <c r="C198" s="26" t="n"/>
      <c r="D198" s="40" t="n"/>
      <c r="E198" s="29" t="n"/>
      <c r="F198" s="29" t="n"/>
      <c r="G198" s="29" t="n"/>
      <c r="H198" s="28">
        <f>IF(B198="","",IF(B198="קנייה",-(D198*E198+G198),IF(B198="מכירה",D198*E198-G198,IF(B198="דיבידנד",F198-G198,IF(B198="הפקדה",F198-G198,IF(B198="משיכה",-F198-G198,-G198))))))</f>
        <v/>
      </c>
      <c r="I198" s="28">
        <f>IF(B198="קנייה",D198*E198+G198,0)</f>
        <v/>
      </c>
      <c r="J198" s="41">
        <f>IF(B198="מכירה",D198*E198-G198-D198*IFERROR(SUMIFS($I$5:I198,$C$5:C198,C198)/SUMIFS($D$5:D198,$C$5:C198,C198,$B$5:B198,"קנייה"),0),0)</f>
        <v/>
      </c>
      <c r="K198" s="26" t="n"/>
    </row>
    <row r="199">
      <c r="A199" s="39" t="n"/>
      <c r="B199" s="26" t="n"/>
      <c r="C199" s="26" t="n"/>
      <c r="D199" s="40" t="n"/>
      <c r="E199" s="29" t="n"/>
      <c r="F199" s="29" t="n"/>
      <c r="G199" s="29" t="n"/>
      <c r="H199" s="28">
        <f>IF(B199="","",IF(B199="קנייה",-(D199*E199+G199),IF(B199="מכירה",D199*E199-G199,IF(B199="דיבידנד",F199-G199,IF(B199="הפקדה",F199-G199,IF(B199="משיכה",-F199-G199,-G199))))))</f>
        <v/>
      </c>
      <c r="I199" s="28">
        <f>IF(B199="קנייה",D199*E199+G199,0)</f>
        <v/>
      </c>
      <c r="J199" s="41">
        <f>IF(B199="מכירה",D199*E199-G199-D199*IFERROR(SUMIFS($I$5:I199,$C$5:C199,C199)/SUMIFS($D$5:D199,$C$5:C199,C199,$B$5:B199,"קנייה"),0),0)</f>
        <v/>
      </c>
      <c r="K199" s="26" t="n"/>
    </row>
    <row r="200">
      <c r="A200" s="39" t="n"/>
      <c r="B200" s="26" t="n"/>
      <c r="C200" s="26" t="n"/>
      <c r="D200" s="40" t="n"/>
      <c r="E200" s="29" t="n"/>
      <c r="F200" s="29" t="n"/>
      <c r="G200" s="29" t="n"/>
      <c r="H200" s="28">
        <f>IF(B200="","",IF(B200="קנייה",-(D200*E200+G200),IF(B200="מכירה",D200*E200-G200,IF(B200="דיבידנד",F200-G200,IF(B200="הפקדה",F200-G200,IF(B200="משיכה",-F200-G200,-G200))))))</f>
        <v/>
      </c>
      <c r="I200" s="28">
        <f>IF(B200="קנייה",D200*E200+G200,0)</f>
        <v/>
      </c>
      <c r="J200" s="41">
        <f>IF(B200="מכירה",D200*E200-G200-D200*IFERROR(SUMIFS($I$5:I200,$C$5:C200,C200)/SUMIFS($D$5:D200,$C$5:C200,C200,$B$5:B200,"קנייה"),0),0)</f>
        <v/>
      </c>
      <c r="K200" s="26" t="n"/>
    </row>
    <row r="201">
      <c r="A201" s="39" t="n"/>
      <c r="B201" s="26" t="n"/>
      <c r="C201" s="26" t="n"/>
      <c r="D201" s="40" t="n"/>
      <c r="E201" s="29" t="n"/>
      <c r="F201" s="29" t="n"/>
      <c r="G201" s="29" t="n"/>
      <c r="H201" s="28">
        <f>IF(B201="","",IF(B201="קנייה",-(D201*E201+G201),IF(B201="מכירה",D201*E201-G201,IF(B201="דיבידנד",F201-G201,IF(B201="הפקדה",F201-G201,IF(B201="משיכה",-F201-G201,-G201))))))</f>
        <v/>
      </c>
      <c r="I201" s="28">
        <f>IF(B201="קנייה",D201*E201+G201,0)</f>
        <v/>
      </c>
      <c r="J201" s="41">
        <f>IF(B201="מכירה",D201*E201-G201-D201*IFERROR(SUMIFS($I$5:I201,$C$5:C201,C201)/SUMIFS($D$5:D201,$C$5:C201,C201,$B$5:B201,"קנייה"),0),0)</f>
        <v/>
      </c>
      <c r="K201" s="26" t="n"/>
    </row>
    <row r="202">
      <c r="A202" s="39" t="n"/>
      <c r="B202" s="26" t="n"/>
      <c r="C202" s="26" t="n"/>
      <c r="D202" s="40" t="n"/>
      <c r="E202" s="29" t="n"/>
      <c r="F202" s="29" t="n"/>
      <c r="G202" s="29" t="n"/>
      <c r="H202" s="28">
        <f>IF(B202="","",IF(B202="קנייה",-(D202*E202+G202),IF(B202="מכירה",D202*E202-G202,IF(B202="דיבידנד",F202-G202,IF(B202="הפקדה",F202-G202,IF(B202="משיכה",-F202-G202,-G202))))))</f>
        <v/>
      </c>
      <c r="I202" s="28">
        <f>IF(B202="קנייה",D202*E202+G202,0)</f>
        <v/>
      </c>
      <c r="J202" s="41">
        <f>IF(B202="מכירה",D202*E202-G202-D202*IFERROR(SUMIFS($I$5:I202,$C$5:C202,C202)/SUMIFS($D$5:D202,$C$5:C202,C202,$B$5:B202,"קנייה"),0),0)</f>
        <v/>
      </c>
      <c r="K202" s="26" t="n"/>
    </row>
    <row r="203">
      <c r="A203" s="39" t="n"/>
      <c r="B203" s="26" t="n"/>
      <c r="C203" s="26" t="n"/>
      <c r="D203" s="40" t="n"/>
      <c r="E203" s="29" t="n"/>
      <c r="F203" s="29" t="n"/>
      <c r="G203" s="29" t="n"/>
      <c r="H203" s="28">
        <f>IF(B203="","",IF(B203="קנייה",-(D203*E203+G203),IF(B203="מכירה",D203*E203-G203,IF(B203="דיבידנד",F203-G203,IF(B203="הפקדה",F203-G203,IF(B203="משיכה",-F203-G203,-G203))))))</f>
        <v/>
      </c>
      <c r="I203" s="28">
        <f>IF(B203="קנייה",D203*E203+G203,0)</f>
        <v/>
      </c>
      <c r="J203" s="41">
        <f>IF(B203="מכירה",D203*E203-G203-D203*IFERROR(SUMIFS($I$5:I203,$C$5:C203,C203)/SUMIFS($D$5:D203,$C$5:C203,C203,$B$5:B203,"קנייה"),0),0)</f>
        <v/>
      </c>
      <c r="K203" s="26" t="n"/>
    </row>
    <row r="204">
      <c r="A204" s="39" t="n"/>
      <c r="B204" s="26" t="n"/>
      <c r="C204" s="26" t="n"/>
      <c r="D204" s="40" t="n"/>
      <c r="E204" s="29" t="n"/>
      <c r="F204" s="29" t="n"/>
      <c r="G204" s="29" t="n"/>
      <c r="H204" s="28">
        <f>IF(B204="","",IF(B204="קנייה",-(D204*E204+G204),IF(B204="מכירה",D204*E204-G204,IF(B204="דיבידנד",F204-G204,IF(B204="הפקדה",F204-G204,IF(B204="משיכה",-F204-G204,-G204))))))</f>
        <v/>
      </c>
      <c r="I204" s="28">
        <f>IF(B204="קנייה",D204*E204+G204,0)</f>
        <v/>
      </c>
      <c r="J204" s="41">
        <f>IF(B204="מכירה",D204*E204-G204-D204*IFERROR(SUMIFS($I$5:I204,$C$5:C204,C204)/SUMIFS($D$5:D204,$C$5:C204,C204,$B$5:B204,"קנייה"),0),0)</f>
        <v/>
      </c>
      <c r="K204" s="26" t="n"/>
    </row>
    <row r="205">
      <c r="A205" s="39" t="n"/>
      <c r="B205" s="26" t="n"/>
      <c r="C205" s="26" t="n"/>
      <c r="D205" s="40" t="n"/>
      <c r="E205" s="29" t="n"/>
      <c r="F205" s="29" t="n"/>
      <c r="G205" s="29" t="n"/>
      <c r="H205" s="28">
        <f>IF(B205="","",IF(B205="קנייה",-(D205*E205+G205),IF(B205="מכירה",D205*E205-G205,IF(B205="דיבידנד",F205-G205,IF(B205="הפקדה",F205-G205,IF(B205="משיכה",-F205-G205,-G205))))))</f>
        <v/>
      </c>
      <c r="I205" s="28">
        <f>IF(B205="קנייה",D205*E205+G205,0)</f>
        <v/>
      </c>
      <c r="J205" s="41">
        <f>IF(B205="מכירה",D205*E205-G205-D205*IFERROR(SUMIFS($I$5:I205,$C$5:C205,C205)/SUMIFS($D$5:D205,$C$5:C205,C205,$B$5:B205,"קנייה"),0),0)</f>
        <v/>
      </c>
      <c r="K205" s="26" t="n"/>
    </row>
    <row r="206">
      <c r="A206" s="39" t="n"/>
      <c r="B206" s="26" t="n"/>
      <c r="C206" s="26" t="n"/>
      <c r="D206" s="40" t="n"/>
      <c r="E206" s="29" t="n"/>
      <c r="F206" s="29" t="n"/>
      <c r="G206" s="29" t="n"/>
      <c r="H206" s="28">
        <f>IF(B206="","",IF(B206="קנייה",-(D206*E206+G206),IF(B206="מכירה",D206*E206-G206,IF(B206="דיבידנד",F206-G206,IF(B206="הפקדה",F206-G206,IF(B206="משיכה",-F206-G206,-G206))))))</f>
        <v/>
      </c>
      <c r="I206" s="28">
        <f>IF(B206="קנייה",D206*E206+G206,0)</f>
        <v/>
      </c>
      <c r="J206" s="41">
        <f>IF(B206="מכירה",D206*E206-G206-D206*IFERROR(SUMIFS($I$5:I206,$C$5:C206,C206)/SUMIFS($D$5:D206,$C$5:C206,C206,$B$5:B206,"קנייה"),0),0)</f>
        <v/>
      </c>
      <c r="K206" s="26" t="n"/>
    </row>
    <row r="207">
      <c r="A207" s="39" t="n"/>
      <c r="B207" s="26" t="n"/>
      <c r="C207" s="26" t="n"/>
      <c r="D207" s="40" t="n"/>
      <c r="E207" s="29" t="n"/>
      <c r="F207" s="29" t="n"/>
      <c r="G207" s="29" t="n"/>
      <c r="H207" s="28">
        <f>IF(B207="","",IF(B207="קנייה",-(D207*E207+G207),IF(B207="מכירה",D207*E207-G207,IF(B207="דיבידנד",F207-G207,IF(B207="הפקדה",F207-G207,IF(B207="משיכה",-F207-G207,-G207))))))</f>
        <v/>
      </c>
      <c r="I207" s="28">
        <f>IF(B207="קנייה",D207*E207+G207,0)</f>
        <v/>
      </c>
      <c r="J207" s="41">
        <f>IF(B207="מכירה",D207*E207-G207-D207*IFERROR(SUMIFS($I$5:I207,$C$5:C207,C207)/SUMIFS($D$5:D207,$C$5:C207,C207,$B$5:B207,"קנייה"),0),0)</f>
        <v/>
      </c>
      <c r="K207" s="26" t="n"/>
    </row>
    <row r="208">
      <c r="A208" s="39" t="n"/>
      <c r="B208" s="26" t="n"/>
      <c r="C208" s="26" t="n"/>
      <c r="D208" s="40" t="n"/>
      <c r="E208" s="29" t="n"/>
      <c r="F208" s="29" t="n"/>
      <c r="G208" s="29" t="n"/>
      <c r="H208" s="28">
        <f>IF(B208="","",IF(B208="קנייה",-(D208*E208+G208),IF(B208="מכירה",D208*E208-G208,IF(B208="דיבידנד",F208-G208,IF(B208="הפקדה",F208-G208,IF(B208="משיכה",-F208-G208,-G208))))))</f>
        <v/>
      </c>
      <c r="I208" s="28">
        <f>IF(B208="קנייה",D208*E208+G208,0)</f>
        <v/>
      </c>
      <c r="J208" s="41">
        <f>IF(B208="מכירה",D208*E208-G208-D208*IFERROR(SUMIFS($I$5:I208,$C$5:C208,C208)/SUMIFS($D$5:D208,$C$5:C208,C208,$B$5:B208,"קנייה"),0),0)</f>
        <v/>
      </c>
      <c r="K208" s="26" t="n"/>
    </row>
    <row r="209">
      <c r="A209" s="39" t="n"/>
      <c r="B209" s="26" t="n"/>
      <c r="C209" s="26" t="n"/>
      <c r="D209" s="40" t="n"/>
      <c r="E209" s="29" t="n"/>
      <c r="F209" s="29" t="n"/>
      <c r="G209" s="29" t="n"/>
      <c r="H209" s="28">
        <f>IF(B209="","",IF(B209="קנייה",-(D209*E209+G209),IF(B209="מכירה",D209*E209-G209,IF(B209="דיבידנד",F209-G209,IF(B209="הפקדה",F209-G209,IF(B209="משיכה",-F209-G209,-G209))))))</f>
        <v/>
      </c>
      <c r="I209" s="28">
        <f>IF(B209="קנייה",D209*E209+G209,0)</f>
        <v/>
      </c>
      <c r="J209" s="41">
        <f>IF(B209="מכירה",D209*E209-G209-D209*IFERROR(SUMIFS($I$5:I209,$C$5:C209,C209)/SUMIFS($D$5:D209,$C$5:C209,C209,$B$5:B209,"קנייה"),0),0)</f>
        <v/>
      </c>
      <c r="K209" s="26" t="n"/>
    </row>
    <row r="210">
      <c r="A210" s="39" t="n"/>
      <c r="B210" s="26" t="n"/>
      <c r="C210" s="26" t="n"/>
      <c r="D210" s="40" t="n"/>
      <c r="E210" s="29" t="n"/>
      <c r="F210" s="29" t="n"/>
      <c r="G210" s="29" t="n"/>
      <c r="H210" s="28">
        <f>IF(B210="","",IF(B210="קנייה",-(D210*E210+G210),IF(B210="מכירה",D210*E210-G210,IF(B210="דיבידנד",F210-G210,IF(B210="הפקדה",F210-G210,IF(B210="משיכה",-F210-G210,-G210))))))</f>
        <v/>
      </c>
      <c r="I210" s="28">
        <f>IF(B210="קנייה",D210*E210+G210,0)</f>
        <v/>
      </c>
      <c r="J210" s="41">
        <f>IF(B210="מכירה",D210*E210-G210-D210*IFERROR(SUMIFS($I$5:I210,$C$5:C210,C210)/SUMIFS($D$5:D210,$C$5:C210,C210,$B$5:B210,"קנייה"),0),0)</f>
        <v/>
      </c>
      <c r="K210" s="26" t="n"/>
    </row>
    <row r="211">
      <c r="A211" s="39" t="n"/>
      <c r="B211" s="26" t="n"/>
      <c r="C211" s="26" t="n"/>
      <c r="D211" s="40" t="n"/>
      <c r="E211" s="29" t="n"/>
      <c r="F211" s="29" t="n"/>
      <c r="G211" s="29" t="n"/>
      <c r="H211" s="28">
        <f>IF(B211="","",IF(B211="קנייה",-(D211*E211+G211),IF(B211="מכירה",D211*E211-G211,IF(B211="דיבידנד",F211-G211,IF(B211="הפקדה",F211-G211,IF(B211="משיכה",-F211-G211,-G211))))))</f>
        <v/>
      </c>
      <c r="I211" s="28">
        <f>IF(B211="קנייה",D211*E211+G211,0)</f>
        <v/>
      </c>
      <c r="J211" s="41">
        <f>IF(B211="מכירה",D211*E211-G211-D211*IFERROR(SUMIFS($I$5:I211,$C$5:C211,C211)/SUMIFS($D$5:D211,$C$5:C211,C211,$B$5:B211,"קנייה"),0),0)</f>
        <v/>
      </c>
      <c r="K211" s="26" t="n"/>
    </row>
    <row r="212">
      <c r="A212" s="39" t="n"/>
      <c r="B212" s="26" t="n"/>
      <c r="C212" s="26" t="n"/>
      <c r="D212" s="40" t="n"/>
      <c r="E212" s="29" t="n"/>
      <c r="F212" s="29" t="n"/>
      <c r="G212" s="29" t="n"/>
      <c r="H212" s="28">
        <f>IF(B212="","",IF(B212="קנייה",-(D212*E212+G212),IF(B212="מכירה",D212*E212-G212,IF(B212="דיבידנד",F212-G212,IF(B212="הפקדה",F212-G212,IF(B212="משיכה",-F212-G212,-G212))))))</f>
        <v/>
      </c>
      <c r="I212" s="28">
        <f>IF(B212="קנייה",D212*E212+G212,0)</f>
        <v/>
      </c>
      <c r="J212" s="41">
        <f>IF(B212="מכירה",D212*E212-G212-D212*IFERROR(SUMIFS($I$5:I212,$C$5:C212,C212)/SUMIFS($D$5:D212,$C$5:C212,C212,$B$5:B212,"קנייה"),0),0)</f>
        <v/>
      </c>
      <c r="K212" s="26" t="n"/>
    </row>
    <row r="213">
      <c r="A213" s="39" t="n"/>
      <c r="B213" s="26" t="n"/>
      <c r="C213" s="26" t="n"/>
      <c r="D213" s="40" t="n"/>
      <c r="E213" s="29" t="n"/>
      <c r="F213" s="29" t="n"/>
      <c r="G213" s="29" t="n"/>
      <c r="H213" s="28">
        <f>IF(B213="","",IF(B213="קנייה",-(D213*E213+G213),IF(B213="מכירה",D213*E213-G213,IF(B213="דיבידנד",F213-G213,IF(B213="הפקדה",F213-G213,IF(B213="משיכה",-F213-G213,-G213))))))</f>
        <v/>
      </c>
      <c r="I213" s="28">
        <f>IF(B213="קנייה",D213*E213+G213,0)</f>
        <v/>
      </c>
      <c r="J213" s="41">
        <f>IF(B213="מכירה",D213*E213-G213-D213*IFERROR(SUMIFS($I$5:I213,$C$5:C213,C213)/SUMIFS($D$5:D213,$C$5:C213,C213,$B$5:B213,"קנייה"),0),0)</f>
        <v/>
      </c>
      <c r="K213" s="26" t="n"/>
    </row>
    <row r="214">
      <c r="A214" s="39" t="n"/>
      <c r="B214" s="26" t="n"/>
      <c r="C214" s="26" t="n"/>
      <c r="D214" s="40" t="n"/>
      <c r="E214" s="29" t="n"/>
      <c r="F214" s="29" t="n"/>
      <c r="G214" s="29" t="n"/>
      <c r="H214" s="28">
        <f>IF(B214="","",IF(B214="קנייה",-(D214*E214+G214),IF(B214="מכירה",D214*E214-G214,IF(B214="דיבידנד",F214-G214,IF(B214="הפקדה",F214-G214,IF(B214="משיכה",-F214-G214,-G214))))))</f>
        <v/>
      </c>
      <c r="I214" s="28">
        <f>IF(B214="קנייה",D214*E214+G214,0)</f>
        <v/>
      </c>
      <c r="J214" s="41">
        <f>IF(B214="מכירה",D214*E214-G214-D214*IFERROR(SUMIFS($I$5:I214,$C$5:C214,C214)/SUMIFS($D$5:D214,$C$5:C214,C214,$B$5:B214,"קנייה"),0),0)</f>
        <v/>
      </c>
      <c r="K214" s="26" t="n"/>
    </row>
    <row r="215">
      <c r="A215" s="39" t="n"/>
      <c r="B215" s="26" t="n"/>
      <c r="C215" s="26" t="n"/>
      <c r="D215" s="40" t="n"/>
      <c r="E215" s="29" t="n"/>
      <c r="F215" s="29" t="n"/>
      <c r="G215" s="29" t="n"/>
      <c r="H215" s="28">
        <f>IF(B215="","",IF(B215="קנייה",-(D215*E215+G215),IF(B215="מכירה",D215*E215-G215,IF(B215="דיבידנד",F215-G215,IF(B215="הפקדה",F215-G215,IF(B215="משיכה",-F215-G215,-G215))))))</f>
        <v/>
      </c>
      <c r="I215" s="28">
        <f>IF(B215="קנייה",D215*E215+G215,0)</f>
        <v/>
      </c>
      <c r="J215" s="41">
        <f>IF(B215="מכירה",D215*E215-G215-D215*IFERROR(SUMIFS($I$5:I215,$C$5:C215,C215)/SUMIFS($D$5:D215,$C$5:C215,C215,$B$5:B215,"קנייה"),0),0)</f>
        <v/>
      </c>
      <c r="K215" s="26" t="n"/>
    </row>
    <row r="216">
      <c r="A216" s="39" t="n"/>
      <c r="B216" s="26" t="n"/>
      <c r="C216" s="26" t="n"/>
      <c r="D216" s="40" t="n"/>
      <c r="E216" s="29" t="n"/>
      <c r="F216" s="29" t="n"/>
      <c r="G216" s="29" t="n"/>
      <c r="H216" s="28">
        <f>IF(B216="","",IF(B216="קנייה",-(D216*E216+G216),IF(B216="מכירה",D216*E216-G216,IF(B216="דיבידנד",F216-G216,IF(B216="הפקדה",F216-G216,IF(B216="משיכה",-F216-G216,-G216))))))</f>
        <v/>
      </c>
      <c r="I216" s="28">
        <f>IF(B216="קנייה",D216*E216+G216,0)</f>
        <v/>
      </c>
      <c r="J216" s="41">
        <f>IF(B216="מכירה",D216*E216-G216-D216*IFERROR(SUMIFS($I$5:I216,$C$5:C216,C216)/SUMIFS($D$5:D216,$C$5:C216,C216,$B$5:B216,"קנייה"),0),0)</f>
        <v/>
      </c>
      <c r="K216" s="26" t="n"/>
    </row>
    <row r="217">
      <c r="A217" s="39" t="n"/>
      <c r="B217" s="26" t="n"/>
      <c r="C217" s="26" t="n"/>
      <c r="D217" s="40" t="n"/>
      <c r="E217" s="29" t="n"/>
      <c r="F217" s="29" t="n"/>
      <c r="G217" s="29" t="n"/>
      <c r="H217" s="28">
        <f>IF(B217="","",IF(B217="קנייה",-(D217*E217+G217),IF(B217="מכירה",D217*E217-G217,IF(B217="דיבידנד",F217-G217,IF(B217="הפקדה",F217-G217,IF(B217="משיכה",-F217-G217,-G217))))))</f>
        <v/>
      </c>
      <c r="I217" s="28">
        <f>IF(B217="קנייה",D217*E217+G217,0)</f>
        <v/>
      </c>
      <c r="J217" s="41">
        <f>IF(B217="מכירה",D217*E217-G217-D217*IFERROR(SUMIFS($I$5:I217,$C$5:C217,C217)/SUMIFS($D$5:D217,$C$5:C217,C217,$B$5:B217,"קנייה"),0),0)</f>
        <v/>
      </c>
      <c r="K217" s="26" t="n"/>
    </row>
    <row r="218">
      <c r="A218" s="39" t="n"/>
      <c r="B218" s="26" t="n"/>
      <c r="C218" s="26" t="n"/>
      <c r="D218" s="40" t="n"/>
      <c r="E218" s="29" t="n"/>
      <c r="F218" s="29" t="n"/>
      <c r="G218" s="29" t="n"/>
      <c r="H218" s="28">
        <f>IF(B218="","",IF(B218="קנייה",-(D218*E218+G218),IF(B218="מכירה",D218*E218-G218,IF(B218="דיבידנד",F218-G218,IF(B218="הפקדה",F218-G218,IF(B218="משיכה",-F218-G218,-G218))))))</f>
        <v/>
      </c>
      <c r="I218" s="28">
        <f>IF(B218="קנייה",D218*E218+G218,0)</f>
        <v/>
      </c>
      <c r="J218" s="41">
        <f>IF(B218="מכירה",D218*E218-G218-D218*IFERROR(SUMIFS($I$5:I218,$C$5:C218,C218)/SUMIFS($D$5:D218,$C$5:C218,C218,$B$5:B218,"קנייה"),0),0)</f>
        <v/>
      </c>
      <c r="K218" s="26" t="n"/>
    </row>
    <row r="219">
      <c r="A219" s="39" t="n"/>
      <c r="B219" s="26" t="n"/>
      <c r="C219" s="26" t="n"/>
      <c r="D219" s="40" t="n"/>
      <c r="E219" s="29" t="n"/>
      <c r="F219" s="29" t="n"/>
      <c r="G219" s="29" t="n"/>
      <c r="H219" s="28">
        <f>IF(B219="","",IF(B219="קנייה",-(D219*E219+G219),IF(B219="מכירה",D219*E219-G219,IF(B219="דיבידנד",F219-G219,IF(B219="הפקדה",F219-G219,IF(B219="משיכה",-F219-G219,-G219))))))</f>
        <v/>
      </c>
      <c r="I219" s="28">
        <f>IF(B219="קנייה",D219*E219+G219,0)</f>
        <v/>
      </c>
      <c r="J219" s="41">
        <f>IF(B219="מכירה",D219*E219-G219-D219*IFERROR(SUMIFS($I$5:I219,$C$5:C219,C219)/SUMIFS($D$5:D219,$C$5:C219,C219,$B$5:B219,"קנייה"),0),0)</f>
        <v/>
      </c>
      <c r="K219" s="26" t="n"/>
    </row>
    <row r="220">
      <c r="A220" s="39" t="n"/>
      <c r="B220" s="26" t="n"/>
      <c r="C220" s="26" t="n"/>
      <c r="D220" s="40" t="n"/>
      <c r="E220" s="29" t="n"/>
      <c r="F220" s="29" t="n"/>
      <c r="G220" s="29" t="n"/>
      <c r="H220" s="28">
        <f>IF(B220="","",IF(B220="קנייה",-(D220*E220+G220),IF(B220="מכירה",D220*E220-G220,IF(B220="דיבידנד",F220-G220,IF(B220="הפקדה",F220-G220,IF(B220="משיכה",-F220-G220,-G220))))))</f>
        <v/>
      </c>
      <c r="I220" s="28">
        <f>IF(B220="קנייה",D220*E220+G220,0)</f>
        <v/>
      </c>
      <c r="J220" s="41">
        <f>IF(B220="מכירה",D220*E220-G220-D220*IFERROR(SUMIFS($I$5:I220,$C$5:C220,C220)/SUMIFS($D$5:D220,$C$5:C220,C220,$B$5:B220,"קנייה"),0),0)</f>
        <v/>
      </c>
      <c r="K220" s="26" t="n"/>
    </row>
    <row r="221">
      <c r="A221" s="39" t="n"/>
      <c r="B221" s="26" t="n"/>
      <c r="C221" s="26" t="n"/>
      <c r="D221" s="40" t="n"/>
      <c r="E221" s="29" t="n"/>
      <c r="F221" s="29" t="n"/>
      <c r="G221" s="29" t="n"/>
      <c r="H221" s="28">
        <f>IF(B221="","",IF(B221="קנייה",-(D221*E221+G221),IF(B221="מכירה",D221*E221-G221,IF(B221="דיבידנד",F221-G221,IF(B221="הפקדה",F221-G221,IF(B221="משיכה",-F221-G221,-G221))))))</f>
        <v/>
      </c>
      <c r="I221" s="28">
        <f>IF(B221="קנייה",D221*E221+G221,0)</f>
        <v/>
      </c>
      <c r="J221" s="41">
        <f>IF(B221="מכירה",D221*E221-G221-D221*IFERROR(SUMIFS($I$5:I221,$C$5:C221,C221)/SUMIFS($D$5:D221,$C$5:C221,C221,$B$5:B221,"קנייה"),0),0)</f>
        <v/>
      </c>
      <c r="K221" s="26" t="n"/>
    </row>
    <row r="222">
      <c r="A222" s="39" t="n"/>
      <c r="B222" s="26" t="n"/>
      <c r="C222" s="26" t="n"/>
      <c r="D222" s="40" t="n"/>
      <c r="E222" s="29" t="n"/>
      <c r="F222" s="29" t="n"/>
      <c r="G222" s="29" t="n"/>
      <c r="H222" s="28">
        <f>IF(B222="","",IF(B222="קנייה",-(D222*E222+G222),IF(B222="מכירה",D222*E222-G222,IF(B222="דיבידנד",F222-G222,IF(B222="הפקדה",F222-G222,IF(B222="משיכה",-F222-G222,-G222))))))</f>
        <v/>
      </c>
      <c r="I222" s="28">
        <f>IF(B222="קנייה",D222*E222+G222,0)</f>
        <v/>
      </c>
      <c r="J222" s="41">
        <f>IF(B222="מכירה",D222*E222-G222-D222*IFERROR(SUMIFS($I$5:I222,$C$5:C222,C222)/SUMIFS($D$5:D222,$C$5:C222,C222,$B$5:B222,"קנייה"),0),0)</f>
        <v/>
      </c>
      <c r="K222" s="26" t="n"/>
    </row>
    <row r="223">
      <c r="A223" s="39" t="n"/>
      <c r="B223" s="26" t="n"/>
      <c r="C223" s="26" t="n"/>
      <c r="D223" s="40" t="n"/>
      <c r="E223" s="29" t="n"/>
      <c r="F223" s="29" t="n"/>
      <c r="G223" s="29" t="n"/>
      <c r="H223" s="28">
        <f>IF(B223="","",IF(B223="קנייה",-(D223*E223+G223),IF(B223="מכירה",D223*E223-G223,IF(B223="דיבידנד",F223-G223,IF(B223="הפקדה",F223-G223,IF(B223="משיכה",-F223-G223,-G223))))))</f>
        <v/>
      </c>
      <c r="I223" s="28">
        <f>IF(B223="קנייה",D223*E223+G223,0)</f>
        <v/>
      </c>
      <c r="J223" s="41">
        <f>IF(B223="מכירה",D223*E223-G223-D223*IFERROR(SUMIFS($I$5:I223,$C$5:C223,C223)/SUMIFS($D$5:D223,$C$5:C223,C223,$B$5:B223,"קנייה"),0),0)</f>
        <v/>
      </c>
      <c r="K223" s="26" t="n"/>
    </row>
    <row r="224">
      <c r="A224" s="39" t="n"/>
      <c r="B224" s="26" t="n"/>
      <c r="C224" s="26" t="n"/>
      <c r="D224" s="40" t="n"/>
      <c r="E224" s="29" t="n"/>
      <c r="F224" s="29" t="n"/>
      <c r="G224" s="29" t="n"/>
      <c r="H224" s="28">
        <f>IF(B224="","",IF(B224="קנייה",-(D224*E224+G224),IF(B224="מכירה",D224*E224-G224,IF(B224="דיבידנד",F224-G224,IF(B224="הפקדה",F224-G224,IF(B224="משיכה",-F224-G224,-G224))))))</f>
        <v/>
      </c>
      <c r="I224" s="28">
        <f>IF(B224="קנייה",D224*E224+G224,0)</f>
        <v/>
      </c>
      <c r="J224" s="41">
        <f>IF(B224="מכירה",D224*E224-G224-D224*IFERROR(SUMIFS($I$5:I224,$C$5:C224,C224)/SUMIFS($D$5:D224,$C$5:C224,C224,$B$5:B224,"קנייה"),0),0)</f>
        <v/>
      </c>
      <c r="K224" s="26" t="n"/>
    </row>
    <row r="225">
      <c r="A225" s="39" t="n"/>
      <c r="B225" s="26" t="n"/>
      <c r="C225" s="26" t="n"/>
      <c r="D225" s="40" t="n"/>
      <c r="E225" s="29" t="n"/>
      <c r="F225" s="29" t="n"/>
      <c r="G225" s="29" t="n"/>
      <c r="H225" s="28">
        <f>IF(B225="","",IF(B225="קנייה",-(D225*E225+G225),IF(B225="מכירה",D225*E225-G225,IF(B225="דיבידנד",F225-G225,IF(B225="הפקדה",F225-G225,IF(B225="משיכה",-F225-G225,-G225))))))</f>
        <v/>
      </c>
      <c r="I225" s="28">
        <f>IF(B225="קנייה",D225*E225+G225,0)</f>
        <v/>
      </c>
      <c r="J225" s="41">
        <f>IF(B225="מכירה",D225*E225-G225-D225*IFERROR(SUMIFS($I$5:I225,$C$5:C225,C225)/SUMIFS($D$5:D225,$C$5:C225,C225,$B$5:B225,"קנייה"),0),0)</f>
        <v/>
      </c>
      <c r="K225" s="26" t="n"/>
    </row>
    <row r="226">
      <c r="A226" s="39" t="n"/>
      <c r="B226" s="26" t="n"/>
      <c r="C226" s="26" t="n"/>
      <c r="D226" s="40" t="n"/>
      <c r="E226" s="29" t="n"/>
      <c r="F226" s="29" t="n"/>
      <c r="G226" s="29" t="n"/>
      <c r="H226" s="28">
        <f>IF(B226="","",IF(B226="קנייה",-(D226*E226+G226),IF(B226="מכירה",D226*E226-G226,IF(B226="דיבידנד",F226-G226,IF(B226="הפקדה",F226-G226,IF(B226="משיכה",-F226-G226,-G226))))))</f>
        <v/>
      </c>
      <c r="I226" s="28">
        <f>IF(B226="קנייה",D226*E226+G226,0)</f>
        <v/>
      </c>
      <c r="J226" s="41">
        <f>IF(B226="מכירה",D226*E226-G226-D226*IFERROR(SUMIFS($I$5:I226,$C$5:C226,C226)/SUMIFS($D$5:D226,$C$5:C226,C226,$B$5:B226,"קנייה"),0),0)</f>
        <v/>
      </c>
      <c r="K226" s="26" t="n"/>
    </row>
    <row r="227">
      <c r="A227" s="39" t="n"/>
      <c r="B227" s="26" t="n"/>
      <c r="C227" s="26" t="n"/>
      <c r="D227" s="40" t="n"/>
      <c r="E227" s="29" t="n"/>
      <c r="F227" s="29" t="n"/>
      <c r="G227" s="29" t="n"/>
      <c r="H227" s="28">
        <f>IF(B227="","",IF(B227="קנייה",-(D227*E227+G227),IF(B227="מכירה",D227*E227-G227,IF(B227="דיבידנד",F227-G227,IF(B227="הפקדה",F227-G227,IF(B227="משיכה",-F227-G227,-G227))))))</f>
        <v/>
      </c>
      <c r="I227" s="28">
        <f>IF(B227="קנייה",D227*E227+G227,0)</f>
        <v/>
      </c>
      <c r="J227" s="41">
        <f>IF(B227="מכירה",D227*E227-G227-D227*IFERROR(SUMIFS($I$5:I227,$C$5:C227,C227)/SUMIFS($D$5:D227,$C$5:C227,C227,$B$5:B227,"קנייה"),0),0)</f>
        <v/>
      </c>
      <c r="K227" s="26" t="n"/>
    </row>
    <row r="228">
      <c r="A228" s="39" t="n"/>
      <c r="B228" s="26" t="n"/>
      <c r="C228" s="26" t="n"/>
      <c r="D228" s="40" t="n"/>
      <c r="E228" s="29" t="n"/>
      <c r="F228" s="29" t="n"/>
      <c r="G228" s="29" t="n"/>
      <c r="H228" s="28">
        <f>IF(B228="","",IF(B228="קנייה",-(D228*E228+G228),IF(B228="מכירה",D228*E228-G228,IF(B228="דיבידנד",F228-G228,IF(B228="הפקדה",F228-G228,IF(B228="משיכה",-F228-G228,-G228))))))</f>
        <v/>
      </c>
      <c r="I228" s="28">
        <f>IF(B228="קנייה",D228*E228+G228,0)</f>
        <v/>
      </c>
      <c r="J228" s="41">
        <f>IF(B228="מכירה",D228*E228-G228-D228*IFERROR(SUMIFS($I$5:I228,$C$5:C228,C228)/SUMIFS($D$5:D228,$C$5:C228,C228,$B$5:B228,"קנייה"),0),0)</f>
        <v/>
      </c>
      <c r="K228" s="26" t="n"/>
    </row>
    <row r="229">
      <c r="A229" s="39" t="n"/>
      <c r="B229" s="26" t="n"/>
      <c r="C229" s="26" t="n"/>
      <c r="D229" s="40" t="n"/>
      <c r="E229" s="29" t="n"/>
      <c r="F229" s="29" t="n"/>
      <c r="G229" s="29" t="n"/>
      <c r="H229" s="28">
        <f>IF(B229="","",IF(B229="קנייה",-(D229*E229+G229),IF(B229="מכירה",D229*E229-G229,IF(B229="דיבידנד",F229-G229,IF(B229="הפקדה",F229-G229,IF(B229="משיכה",-F229-G229,-G229))))))</f>
        <v/>
      </c>
      <c r="I229" s="28">
        <f>IF(B229="קנייה",D229*E229+G229,0)</f>
        <v/>
      </c>
      <c r="J229" s="41">
        <f>IF(B229="מכירה",D229*E229-G229-D229*IFERROR(SUMIFS($I$5:I229,$C$5:C229,C229)/SUMIFS($D$5:D229,$C$5:C229,C229,$B$5:B229,"קנייה"),0),0)</f>
        <v/>
      </c>
      <c r="K229" s="26" t="n"/>
    </row>
    <row r="230">
      <c r="A230" s="39" t="n"/>
      <c r="B230" s="26" t="n"/>
      <c r="C230" s="26" t="n"/>
      <c r="D230" s="40" t="n"/>
      <c r="E230" s="29" t="n"/>
      <c r="F230" s="29" t="n"/>
      <c r="G230" s="29" t="n"/>
      <c r="H230" s="28">
        <f>IF(B230="","",IF(B230="קנייה",-(D230*E230+G230),IF(B230="מכירה",D230*E230-G230,IF(B230="דיבידנד",F230-G230,IF(B230="הפקדה",F230-G230,IF(B230="משיכה",-F230-G230,-G230))))))</f>
        <v/>
      </c>
      <c r="I230" s="28">
        <f>IF(B230="קנייה",D230*E230+G230,0)</f>
        <v/>
      </c>
      <c r="J230" s="41">
        <f>IF(B230="מכירה",D230*E230-G230-D230*IFERROR(SUMIFS($I$5:I230,$C$5:C230,C230)/SUMIFS($D$5:D230,$C$5:C230,C230,$B$5:B230,"קנייה"),0),0)</f>
        <v/>
      </c>
      <c r="K230" s="26" t="n"/>
    </row>
    <row r="231">
      <c r="A231" s="39" t="n"/>
      <c r="B231" s="26" t="n"/>
      <c r="C231" s="26" t="n"/>
      <c r="D231" s="40" t="n"/>
      <c r="E231" s="29" t="n"/>
      <c r="F231" s="29" t="n"/>
      <c r="G231" s="29" t="n"/>
      <c r="H231" s="28">
        <f>IF(B231="","",IF(B231="קנייה",-(D231*E231+G231),IF(B231="מכירה",D231*E231-G231,IF(B231="דיבידנד",F231-G231,IF(B231="הפקדה",F231-G231,IF(B231="משיכה",-F231-G231,-G231))))))</f>
        <v/>
      </c>
      <c r="I231" s="28">
        <f>IF(B231="קנייה",D231*E231+G231,0)</f>
        <v/>
      </c>
      <c r="J231" s="41">
        <f>IF(B231="מכירה",D231*E231-G231-D231*IFERROR(SUMIFS($I$5:I231,$C$5:C231,C231)/SUMIFS($D$5:D231,$C$5:C231,C231,$B$5:B231,"קנייה"),0),0)</f>
        <v/>
      </c>
      <c r="K231" s="26" t="n"/>
    </row>
    <row r="232">
      <c r="A232" s="39" t="n"/>
      <c r="B232" s="26" t="n"/>
      <c r="C232" s="26" t="n"/>
      <c r="D232" s="40" t="n"/>
      <c r="E232" s="29" t="n"/>
      <c r="F232" s="29" t="n"/>
      <c r="G232" s="29" t="n"/>
      <c r="H232" s="28">
        <f>IF(B232="","",IF(B232="קנייה",-(D232*E232+G232),IF(B232="מכירה",D232*E232-G232,IF(B232="דיבידנד",F232-G232,IF(B232="הפקדה",F232-G232,IF(B232="משיכה",-F232-G232,-G232))))))</f>
        <v/>
      </c>
      <c r="I232" s="28">
        <f>IF(B232="קנייה",D232*E232+G232,0)</f>
        <v/>
      </c>
      <c r="J232" s="41">
        <f>IF(B232="מכירה",D232*E232-G232-D232*IFERROR(SUMIFS($I$5:I232,$C$5:C232,C232)/SUMIFS($D$5:D232,$C$5:C232,C232,$B$5:B232,"קנייה"),0),0)</f>
        <v/>
      </c>
      <c r="K232" s="26" t="n"/>
    </row>
    <row r="233">
      <c r="A233" s="39" t="n"/>
      <c r="B233" s="26" t="n"/>
      <c r="C233" s="26" t="n"/>
      <c r="D233" s="40" t="n"/>
      <c r="E233" s="29" t="n"/>
      <c r="F233" s="29" t="n"/>
      <c r="G233" s="29" t="n"/>
      <c r="H233" s="28">
        <f>IF(B233="","",IF(B233="קנייה",-(D233*E233+G233),IF(B233="מכירה",D233*E233-G233,IF(B233="דיבידנד",F233-G233,IF(B233="הפקדה",F233-G233,IF(B233="משיכה",-F233-G233,-G233))))))</f>
        <v/>
      </c>
      <c r="I233" s="28">
        <f>IF(B233="קנייה",D233*E233+G233,0)</f>
        <v/>
      </c>
      <c r="J233" s="41">
        <f>IF(B233="מכירה",D233*E233-G233-D233*IFERROR(SUMIFS($I$5:I233,$C$5:C233,C233)/SUMIFS($D$5:D233,$C$5:C233,C233,$B$5:B233,"קנייה"),0),0)</f>
        <v/>
      </c>
      <c r="K233" s="26" t="n"/>
    </row>
    <row r="234">
      <c r="A234" s="39" t="n"/>
      <c r="B234" s="26" t="n"/>
      <c r="C234" s="26" t="n"/>
      <c r="D234" s="40" t="n"/>
      <c r="E234" s="29" t="n"/>
      <c r="F234" s="29" t="n"/>
      <c r="G234" s="29" t="n"/>
      <c r="H234" s="28">
        <f>IF(B234="","",IF(B234="קנייה",-(D234*E234+G234),IF(B234="מכירה",D234*E234-G234,IF(B234="דיבידנד",F234-G234,IF(B234="הפקדה",F234-G234,IF(B234="משיכה",-F234-G234,-G234))))))</f>
        <v/>
      </c>
      <c r="I234" s="28">
        <f>IF(B234="קנייה",D234*E234+G234,0)</f>
        <v/>
      </c>
      <c r="J234" s="41">
        <f>IF(B234="מכירה",D234*E234-G234-D234*IFERROR(SUMIFS($I$5:I234,$C$5:C234,C234)/SUMIFS($D$5:D234,$C$5:C234,C234,$B$5:B234,"קנייה"),0),0)</f>
        <v/>
      </c>
      <c r="K234" s="26" t="n"/>
    </row>
    <row r="235">
      <c r="A235" s="39" t="n"/>
      <c r="B235" s="26" t="n"/>
      <c r="C235" s="26" t="n"/>
      <c r="D235" s="40" t="n"/>
      <c r="E235" s="29" t="n"/>
      <c r="F235" s="29" t="n"/>
      <c r="G235" s="29" t="n"/>
      <c r="H235" s="28">
        <f>IF(B235="","",IF(B235="קנייה",-(D235*E235+G235),IF(B235="מכירה",D235*E235-G235,IF(B235="דיבידנד",F235-G235,IF(B235="הפקדה",F235-G235,IF(B235="משיכה",-F235-G235,-G235))))))</f>
        <v/>
      </c>
      <c r="I235" s="28">
        <f>IF(B235="קנייה",D235*E235+G235,0)</f>
        <v/>
      </c>
      <c r="J235" s="41">
        <f>IF(B235="מכירה",D235*E235-G235-D235*IFERROR(SUMIFS($I$5:I235,$C$5:C235,C235)/SUMIFS($D$5:D235,$C$5:C235,C235,$B$5:B235,"קנייה"),0),0)</f>
        <v/>
      </c>
      <c r="K235" s="26" t="n"/>
    </row>
    <row r="236">
      <c r="A236" s="39" t="n"/>
      <c r="B236" s="26" t="n"/>
      <c r="C236" s="26" t="n"/>
      <c r="D236" s="40" t="n"/>
      <c r="E236" s="29" t="n"/>
      <c r="F236" s="29" t="n"/>
      <c r="G236" s="29" t="n"/>
      <c r="H236" s="28">
        <f>IF(B236="","",IF(B236="קנייה",-(D236*E236+G236),IF(B236="מכירה",D236*E236-G236,IF(B236="דיבידנד",F236-G236,IF(B236="הפקדה",F236-G236,IF(B236="משיכה",-F236-G236,-G236))))))</f>
        <v/>
      </c>
      <c r="I236" s="28">
        <f>IF(B236="קנייה",D236*E236+G236,0)</f>
        <v/>
      </c>
      <c r="J236" s="41">
        <f>IF(B236="מכירה",D236*E236-G236-D236*IFERROR(SUMIFS($I$5:I236,$C$5:C236,C236)/SUMIFS($D$5:D236,$C$5:C236,C236,$B$5:B236,"קנייה"),0),0)</f>
        <v/>
      </c>
      <c r="K236" s="26" t="n"/>
    </row>
    <row r="237">
      <c r="A237" s="39" t="n"/>
      <c r="B237" s="26" t="n"/>
      <c r="C237" s="26" t="n"/>
      <c r="D237" s="40" t="n"/>
      <c r="E237" s="29" t="n"/>
      <c r="F237" s="29" t="n"/>
      <c r="G237" s="29" t="n"/>
      <c r="H237" s="28">
        <f>IF(B237="","",IF(B237="קנייה",-(D237*E237+G237),IF(B237="מכירה",D237*E237-G237,IF(B237="דיבידנד",F237-G237,IF(B237="הפקדה",F237-G237,IF(B237="משיכה",-F237-G237,-G237))))))</f>
        <v/>
      </c>
      <c r="I237" s="28">
        <f>IF(B237="קנייה",D237*E237+G237,0)</f>
        <v/>
      </c>
      <c r="J237" s="41">
        <f>IF(B237="מכירה",D237*E237-G237-D237*IFERROR(SUMIFS($I$5:I237,$C$5:C237,C237)/SUMIFS($D$5:D237,$C$5:C237,C237,$B$5:B237,"קנייה"),0),0)</f>
        <v/>
      </c>
      <c r="K237" s="26" t="n"/>
    </row>
    <row r="238">
      <c r="A238" s="39" t="n"/>
      <c r="B238" s="26" t="n"/>
      <c r="C238" s="26" t="n"/>
      <c r="D238" s="40" t="n"/>
      <c r="E238" s="29" t="n"/>
      <c r="F238" s="29" t="n"/>
      <c r="G238" s="29" t="n"/>
      <c r="H238" s="28">
        <f>IF(B238="","",IF(B238="קנייה",-(D238*E238+G238),IF(B238="מכירה",D238*E238-G238,IF(B238="דיבידנד",F238-G238,IF(B238="הפקדה",F238-G238,IF(B238="משיכה",-F238-G238,-G238))))))</f>
        <v/>
      </c>
      <c r="I238" s="28">
        <f>IF(B238="קנייה",D238*E238+G238,0)</f>
        <v/>
      </c>
      <c r="J238" s="41">
        <f>IF(B238="מכירה",D238*E238-G238-D238*IFERROR(SUMIFS($I$5:I238,$C$5:C238,C238)/SUMIFS($D$5:D238,$C$5:C238,C238,$B$5:B238,"קנייה"),0),0)</f>
        <v/>
      </c>
      <c r="K238" s="26" t="n"/>
    </row>
    <row r="239">
      <c r="A239" s="39" t="n"/>
      <c r="B239" s="26" t="n"/>
      <c r="C239" s="26" t="n"/>
      <c r="D239" s="40" t="n"/>
      <c r="E239" s="29" t="n"/>
      <c r="F239" s="29" t="n"/>
      <c r="G239" s="29" t="n"/>
      <c r="H239" s="28">
        <f>IF(B239="","",IF(B239="קנייה",-(D239*E239+G239),IF(B239="מכירה",D239*E239-G239,IF(B239="דיבידנד",F239-G239,IF(B239="הפקדה",F239-G239,IF(B239="משיכה",-F239-G239,-G239))))))</f>
        <v/>
      </c>
      <c r="I239" s="28">
        <f>IF(B239="קנייה",D239*E239+G239,0)</f>
        <v/>
      </c>
      <c r="J239" s="41">
        <f>IF(B239="מכירה",D239*E239-G239-D239*IFERROR(SUMIFS($I$5:I239,$C$5:C239,C239)/SUMIFS($D$5:D239,$C$5:C239,C239,$B$5:B239,"קנייה"),0),0)</f>
        <v/>
      </c>
      <c r="K239" s="26" t="n"/>
    </row>
    <row r="240">
      <c r="A240" s="39" t="n"/>
      <c r="B240" s="26" t="n"/>
      <c r="C240" s="26" t="n"/>
      <c r="D240" s="40" t="n"/>
      <c r="E240" s="29" t="n"/>
      <c r="F240" s="29" t="n"/>
      <c r="G240" s="29" t="n"/>
      <c r="H240" s="28">
        <f>IF(B240="","",IF(B240="קנייה",-(D240*E240+G240),IF(B240="מכירה",D240*E240-G240,IF(B240="דיבידנד",F240-G240,IF(B240="הפקדה",F240-G240,IF(B240="משיכה",-F240-G240,-G240))))))</f>
        <v/>
      </c>
      <c r="I240" s="28">
        <f>IF(B240="קנייה",D240*E240+G240,0)</f>
        <v/>
      </c>
      <c r="J240" s="41">
        <f>IF(B240="מכירה",D240*E240-G240-D240*IFERROR(SUMIFS($I$5:I240,$C$5:C240,C240)/SUMIFS($D$5:D240,$C$5:C240,C240,$B$5:B240,"קנייה"),0),0)</f>
        <v/>
      </c>
      <c r="K240" s="26" t="n"/>
    </row>
    <row r="241">
      <c r="A241" s="39" t="n"/>
      <c r="B241" s="26" t="n"/>
      <c r="C241" s="26" t="n"/>
      <c r="D241" s="40" t="n"/>
      <c r="E241" s="29" t="n"/>
      <c r="F241" s="29" t="n"/>
      <c r="G241" s="29" t="n"/>
      <c r="H241" s="28">
        <f>IF(B241="","",IF(B241="קנייה",-(D241*E241+G241),IF(B241="מכירה",D241*E241-G241,IF(B241="דיבידנד",F241-G241,IF(B241="הפקדה",F241-G241,IF(B241="משיכה",-F241-G241,-G241))))))</f>
        <v/>
      </c>
      <c r="I241" s="28">
        <f>IF(B241="קנייה",D241*E241+G241,0)</f>
        <v/>
      </c>
      <c r="J241" s="41">
        <f>IF(B241="מכירה",D241*E241-G241-D241*IFERROR(SUMIFS($I$5:I241,$C$5:C241,C241)/SUMIFS($D$5:D241,$C$5:C241,C241,$B$5:B241,"קנייה"),0),0)</f>
        <v/>
      </c>
      <c r="K241" s="26" t="n"/>
    </row>
    <row r="242">
      <c r="A242" s="39" t="n"/>
      <c r="B242" s="26" t="n"/>
      <c r="C242" s="26" t="n"/>
      <c r="D242" s="40" t="n"/>
      <c r="E242" s="29" t="n"/>
      <c r="F242" s="29" t="n"/>
      <c r="G242" s="29" t="n"/>
      <c r="H242" s="28">
        <f>IF(B242="","",IF(B242="קנייה",-(D242*E242+G242),IF(B242="מכירה",D242*E242-G242,IF(B242="דיבידנד",F242-G242,IF(B242="הפקדה",F242-G242,IF(B242="משיכה",-F242-G242,-G242))))))</f>
        <v/>
      </c>
      <c r="I242" s="28">
        <f>IF(B242="קנייה",D242*E242+G242,0)</f>
        <v/>
      </c>
      <c r="J242" s="41">
        <f>IF(B242="מכירה",D242*E242-G242-D242*IFERROR(SUMIFS($I$5:I242,$C$5:C242,C242)/SUMIFS($D$5:D242,$C$5:C242,C242,$B$5:B242,"קנייה"),0),0)</f>
        <v/>
      </c>
      <c r="K242" s="26" t="n"/>
    </row>
    <row r="243">
      <c r="A243" s="39" t="n"/>
      <c r="B243" s="26" t="n"/>
      <c r="C243" s="26" t="n"/>
      <c r="D243" s="40" t="n"/>
      <c r="E243" s="29" t="n"/>
      <c r="F243" s="29" t="n"/>
      <c r="G243" s="29" t="n"/>
      <c r="H243" s="28">
        <f>IF(B243="","",IF(B243="קנייה",-(D243*E243+G243),IF(B243="מכירה",D243*E243-G243,IF(B243="דיבידנד",F243-G243,IF(B243="הפקדה",F243-G243,IF(B243="משיכה",-F243-G243,-G243))))))</f>
        <v/>
      </c>
      <c r="I243" s="28">
        <f>IF(B243="קנייה",D243*E243+G243,0)</f>
        <v/>
      </c>
      <c r="J243" s="41">
        <f>IF(B243="מכירה",D243*E243-G243-D243*IFERROR(SUMIFS($I$5:I243,$C$5:C243,C243)/SUMIFS($D$5:D243,$C$5:C243,C243,$B$5:B243,"קנייה"),0),0)</f>
        <v/>
      </c>
      <c r="K243" s="26" t="n"/>
    </row>
    <row r="244">
      <c r="A244" s="39" t="n"/>
      <c r="B244" s="26" t="n"/>
      <c r="C244" s="26" t="n"/>
      <c r="D244" s="40" t="n"/>
      <c r="E244" s="29" t="n"/>
      <c r="F244" s="29" t="n"/>
      <c r="G244" s="29" t="n"/>
      <c r="H244" s="28">
        <f>IF(B244="","",IF(B244="קנייה",-(D244*E244+G244),IF(B244="מכירה",D244*E244-G244,IF(B244="דיבידנד",F244-G244,IF(B244="הפקדה",F244-G244,IF(B244="משיכה",-F244-G244,-G244))))))</f>
        <v/>
      </c>
      <c r="I244" s="28">
        <f>IF(B244="קנייה",D244*E244+G244,0)</f>
        <v/>
      </c>
      <c r="J244" s="41">
        <f>IF(B244="מכירה",D244*E244-G244-D244*IFERROR(SUMIFS($I$5:I244,$C$5:C244,C244)/SUMIFS($D$5:D244,$C$5:C244,C244,$B$5:B244,"קנייה"),0),0)</f>
        <v/>
      </c>
      <c r="K244" s="26" t="n"/>
    </row>
    <row r="245">
      <c r="A245" s="39" t="n"/>
      <c r="B245" s="26" t="n"/>
      <c r="C245" s="26" t="n"/>
      <c r="D245" s="40" t="n"/>
      <c r="E245" s="29" t="n"/>
      <c r="F245" s="29" t="n"/>
      <c r="G245" s="29" t="n"/>
      <c r="H245" s="28">
        <f>IF(B245="","",IF(B245="קנייה",-(D245*E245+G245),IF(B245="מכירה",D245*E245-G245,IF(B245="דיבידנד",F245-G245,IF(B245="הפקדה",F245-G245,IF(B245="משיכה",-F245-G245,-G245))))))</f>
        <v/>
      </c>
      <c r="I245" s="28">
        <f>IF(B245="קנייה",D245*E245+G245,0)</f>
        <v/>
      </c>
      <c r="J245" s="41">
        <f>IF(B245="מכירה",D245*E245-G245-D245*IFERROR(SUMIFS($I$5:I245,$C$5:C245,C245)/SUMIFS($D$5:D245,$C$5:C245,C245,$B$5:B245,"קנייה"),0),0)</f>
        <v/>
      </c>
      <c r="K245" s="26" t="n"/>
    </row>
    <row r="246">
      <c r="A246" s="39" t="n"/>
      <c r="B246" s="26" t="n"/>
      <c r="C246" s="26" t="n"/>
      <c r="D246" s="40" t="n"/>
      <c r="E246" s="29" t="n"/>
      <c r="F246" s="29" t="n"/>
      <c r="G246" s="29" t="n"/>
      <c r="H246" s="28">
        <f>IF(B246="","",IF(B246="קנייה",-(D246*E246+G246),IF(B246="מכירה",D246*E246-G246,IF(B246="דיבידנד",F246-G246,IF(B246="הפקדה",F246-G246,IF(B246="משיכה",-F246-G246,-G246))))))</f>
        <v/>
      </c>
      <c r="I246" s="28">
        <f>IF(B246="קנייה",D246*E246+G246,0)</f>
        <v/>
      </c>
      <c r="J246" s="41">
        <f>IF(B246="מכירה",D246*E246-G246-D246*IFERROR(SUMIFS($I$5:I246,$C$5:C246,C246)/SUMIFS($D$5:D246,$C$5:C246,C246,$B$5:B246,"קנייה"),0),0)</f>
        <v/>
      </c>
      <c r="K246" s="26" t="n"/>
    </row>
    <row r="247">
      <c r="A247" s="39" t="n"/>
      <c r="B247" s="26" t="n"/>
      <c r="C247" s="26" t="n"/>
      <c r="D247" s="40" t="n"/>
      <c r="E247" s="29" t="n"/>
      <c r="F247" s="29" t="n"/>
      <c r="G247" s="29" t="n"/>
      <c r="H247" s="28">
        <f>IF(B247="","",IF(B247="קנייה",-(D247*E247+G247),IF(B247="מכירה",D247*E247-G247,IF(B247="דיבידנד",F247-G247,IF(B247="הפקדה",F247-G247,IF(B247="משיכה",-F247-G247,-G247))))))</f>
        <v/>
      </c>
      <c r="I247" s="28">
        <f>IF(B247="קנייה",D247*E247+G247,0)</f>
        <v/>
      </c>
      <c r="J247" s="41">
        <f>IF(B247="מכירה",D247*E247-G247-D247*IFERROR(SUMIFS($I$5:I247,$C$5:C247,C247)/SUMIFS($D$5:D247,$C$5:C247,C247,$B$5:B247,"קנייה"),0),0)</f>
        <v/>
      </c>
      <c r="K247" s="26" t="n"/>
    </row>
    <row r="248">
      <c r="A248" s="39" t="n"/>
      <c r="B248" s="26" t="n"/>
      <c r="C248" s="26" t="n"/>
      <c r="D248" s="40" t="n"/>
      <c r="E248" s="29" t="n"/>
      <c r="F248" s="29" t="n"/>
      <c r="G248" s="29" t="n"/>
      <c r="H248" s="28">
        <f>IF(B248="","",IF(B248="קנייה",-(D248*E248+G248),IF(B248="מכירה",D248*E248-G248,IF(B248="דיבידנד",F248-G248,IF(B248="הפקדה",F248-G248,IF(B248="משיכה",-F248-G248,-G248))))))</f>
        <v/>
      </c>
      <c r="I248" s="28">
        <f>IF(B248="קנייה",D248*E248+G248,0)</f>
        <v/>
      </c>
      <c r="J248" s="41">
        <f>IF(B248="מכירה",D248*E248-G248-D248*IFERROR(SUMIFS($I$5:I248,$C$5:C248,C248)/SUMIFS($D$5:D248,$C$5:C248,C248,$B$5:B248,"קנייה"),0),0)</f>
        <v/>
      </c>
      <c r="K248" s="26" t="n"/>
    </row>
    <row r="249">
      <c r="A249" s="39" t="n"/>
      <c r="B249" s="26" t="n"/>
      <c r="C249" s="26" t="n"/>
      <c r="D249" s="40" t="n"/>
      <c r="E249" s="29" t="n"/>
      <c r="F249" s="29" t="n"/>
      <c r="G249" s="29" t="n"/>
      <c r="H249" s="28">
        <f>IF(B249="","",IF(B249="קנייה",-(D249*E249+G249),IF(B249="מכירה",D249*E249-G249,IF(B249="דיבידנד",F249-G249,IF(B249="הפקדה",F249-G249,IF(B249="משיכה",-F249-G249,-G249))))))</f>
        <v/>
      </c>
      <c r="I249" s="28">
        <f>IF(B249="קנייה",D249*E249+G249,0)</f>
        <v/>
      </c>
      <c r="J249" s="41">
        <f>IF(B249="מכירה",D249*E249-G249-D249*IFERROR(SUMIFS($I$5:I249,$C$5:C249,C249)/SUMIFS($D$5:D249,$C$5:C249,C249,$B$5:B249,"קנייה"),0),0)</f>
        <v/>
      </c>
      <c r="K249" s="26" t="n"/>
    </row>
    <row r="250">
      <c r="A250" s="39" t="n"/>
      <c r="B250" s="26" t="n"/>
      <c r="C250" s="26" t="n"/>
      <c r="D250" s="40" t="n"/>
      <c r="E250" s="29" t="n"/>
      <c r="F250" s="29" t="n"/>
      <c r="G250" s="29" t="n"/>
      <c r="H250" s="28">
        <f>IF(B250="","",IF(B250="קנייה",-(D250*E250+G250),IF(B250="מכירה",D250*E250-G250,IF(B250="דיבידנד",F250-G250,IF(B250="הפקדה",F250-G250,IF(B250="משיכה",-F250-G250,-G250))))))</f>
        <v/>
      </c>
      <c r="I250" s="28">
        <f>IF(B250="קנייה",D250*E250+G250,0)</f>
        <v/>
      </c>
      <c r="J250" s="41">
        <f>IF(B250="מכירה",D250*E250-G250-D250*IFERROR(SUMIFS($I$5:I250,$C$5:C250,C250)/SUMIFS($D$5:D250,$C$5:C250,C250,$B$5:B250,"קנייה"),0),0)</f>
        <v/>
      </c>
      <c r="K250" s="26" t="n"/>
    </row>
    <row r="251">
      <c r="A251" s="39" t="n"/>
      <c r="B251" s="26" t="n"/>
      <c r="C251" s="26" t="n"/>
      <c r="D251" s="40" t="n"/>
      <c r="E251" s="29" t="n"/>
      <c r="F251" s="29" t="n"/>
      <c r="G251" s="29" t="n"/>
      <c r="H251" s="28">
        <f>IF(B251="","",IF(B251="קנייה",-(D251*E251+G251),IF(B251="מכירה",D251*E251-G251,IF(B251="דיבידנד",F251-G251,IF(B251="הפקדה",F251-G251,IF(B251="משיכה",-F251-G251,-G251))))))</f>
        <v/>
      </c>
      <c r="I251" s="28">
        <f>IF(B251="קנייה",D251*E251+G251,0)</f>
        <v/>
      </c>
      <c r="J251" s="41">
        <f>IF(B251="מכירה",D251*E251-G251-D251*IFERROR(SUMIFS($I$5:I251,$C$5:C251,C251)/SUMIFS($D$5:D251,$C$5:C251,C251,$B$5:B251,"קנייה"),0),0)</f>
        <v/>
      </c>
      <c r="K251" s="26" t="n"/>
    </row>
    <row r="252">
      <c r="A252" s="39" t="n"/>
      <c r="B252" s="26" t="n"/>
      <c r="C252" s="26" t="n"/>
      <c r="D252" s="40" t="n"/>
      <c r="E252" s="29" t="n"/>
      <c r="F252" s="29" t="n"/>
      <c r="G252" s="29" t="n"/>
      <c r="H252" s="28">
        <f>IF(B252="","",IF(B252="קנייה",-(D252*E252+G252),IF(B252="מכירה",D252*E252-G252,IF(B252="דיבידנד",F252-G252,IF(B252="הפקדה",F252-G252,IF(B252="משיכה",-F252-G252,-G252))))))</f>
        <v/>
      </c>
      <c r="I252" s="28">
        <f>IF(B252="קנייה",D252*E252+G252,0)</f>
        <v/>
      </c>
      <c r="J252" s="41">
        <f>IF(B252="מכירה",D252*E252-G252-D252*IFERROR(SUMIFS($I$5:I252,$C$5:C252,C252)/SUMIFS($D$5:D252,$C$5:C252,C252,$B$5:B252,"קנייה"),0),0)</f>
        <v/>
      </c>
      <c r="K252" s="26" t="n"/>
    </row>
    <row r="253">
      <c r="A253" s="39" t="n"/>
      <c r="B253" s="26" t="n"/>
      <c r="C253" s="26" t="n"/>
      <c r="D253" s="40" t="n"/>
      <c r="E253" s="29" t="n"/>
      <c r="F253" s="29" t="n"/>
      <c r="G253" s="29" t="n"/>
      <c r="H253" s="28">
        <f>IF(B253="","",IF(B253="קנייה",-(D253*E253+G253),IF(B253="מכירה",D253*E253-G253,IF(B253="דיבידנד",F253-G253,IF(B253="הפקדה",F253-G253,IF(B253="משיכה",-F253-G253,-G253))))))</f>
        <v/>
      </c>
      <c r="I253" s="28">
        <f>IF(B253="קנייה",D253*E253+G253,0)</f>
        <v/>
      </c>
      <c r="J253" s="41">
        <f>IF(B253="מכירה",D253*E253-G253-D253*IFERROR(SUMIFS($I$5:I253,$C$5:C253,C253)/SUMIFS($D$5:D253,$C$5:C253,C253,$B$5:B253,"קנייה"),0),0)</f>
        <v/>
      </c>
      <c r="K253" s="26" t="n"/>
    </row>
    <row r="254">
      <c r="A254" s="39" t="n"/>
      <c r="B254" s="26" t="n"/>
      <c r="C254" s="26" t="n"/>
      <c r="D254" s="40" t="n"/>
      <c r="E254" s="29" t="n"/>
      <c r="F254" s="29" t="n"/>
      <c r="G254" s="29" t="n"/>
      <c r="H254" s="28">
        <f>IF(B254="","",IF(B254="קנייה",-(D254*E254+G254),IF(B254="מכירה",D254*E254-G254,IF(B254="דיבידנד",F254-G254,IF(B254="הפקדה",F254-G254,IF(B254="משיכה",-F254-G254,-G254))))))</f>
        <v/>
      </c>
      <c r="I254" s="28">
        <f>IF(B254="קנייה",D254*E254+G254,0)</f>
        <v/>
      </c>
      <c r="J254" s="41">
        <f>IF(B254="מכירה",D254*E254-G254-D254*IFERROR(SUMIFS($I$5:I254,$C$5:C254,C254)/SUMIFS($D$5:D254,$C$5:C254,C254,$B$5:B254,"קנייה"),0),0)</f>
        <v/>
      </c>
      <c r="K254" s="26" t="n"/>
    </row>
    <row r="255">
      <c r="A255" s="39" t="n"/>
      <c r="B255" s="26" t="n"/>
      <c r="C255" s="26" t="n"/>
      <c r="D255" s="40" t="n"/>
      <c r="E255" s="29" t="n"/>
      <c r="F255" s="29" t="n"/>
      <c r="G255" s="29" t="n"/>
      <c r="H255" s="28">
        <f>IF(B255="","",IF(B255="קנייה",-(D255*E255+G255),IF(B255="מכירה",D255*E255-G255,IF(B255="דיבידנד",F255-G255,IF(B255="הפקדה",F255-G255,IF(B255="משיכה",-F255-G255,-G255))))))</f>
        <v/>
      </c>
      <c r="I255" s="28">
        <f>IF(B255="קנייה",D255*E255+G255,0)</f>
        <v/>
      </c>
      <c r="J255" s="41">
        <f>IF(B255="מכירה",D255*E255-G255-D255*IFERROR(SUMIFS($I$5:I255,$C$5:C255,C255)/SUMIFS($D$5:D255,$C$5:C255,C255,$B$5:B255,"קנייה"),0),0)</f>
        <v/>
      </c>
      <c r="K255" s="26" t="n"/>
    </row>
    <row r="256">
      <c r="A256" s="39" t="n"/>
      <c r="B256" s="26" t="n"/>
      <c r="C256" s="26" t="n"/>
      <c r="D256" s="40" t="n"/>
      <c r="E256" s="29" t="n"/>
      <c r="F256" s="29" t="n"/>
      <c r="G256" s="29" t="n"/>
      <c r="H256" s="28">
        <f>IF(B256="","",IF(B256="קנייה",-(D256*E256+G256),IF(B256="מכירה",D256*E256-G256,IF(B256="דיבידנד",F256-G256,IF(B256="הפקדה",F256-G256,IF(B256="משיכה",-F256-G256,-G256))))))</f>
        <v/>
      </c>
      <c r="I256" s="28">
        <f>IF(B256="קנייה",D256*E256+G256,0)</f>
        <v/>
      </c>
      <c r="J256" s="41">
        <f>IF(B256="מכירה",D256*E256-G256-D256*IFERROR(SUMIFS($I$5:I256,$C$5:C256,C256)/SUMIFS($D$5:D256,$C$5:C256,C256,$B$5:B256,"קנייה"),0),0)</f>
        <v/>
      </c>
      <c r="K256" s="26" t="n"/>
    </row>
    <row r="257">
      <c r="A257" s="39" t="n"/>
      <c r="B257" s="26" t="n"/>
      <c r="C257" s="26" t="n"/>
      <c r="D257" s="40" t="n"/>
      <c r="E257" s="29" t="n"/>
      <c r="F257" s="29" t="n"/>
      <c r="G257" s="29" t="n"/>
      <c r="H257" s="28">
        <f>IF(B257="","",IF(B257="קנייה",-(D257*E257+G257),IF(B257="מכירה",D257*E257-G257,IF(B257="דיבידנד",F257-G257,IF(B257="הפקדה",F257-G257,IF(B257="משיכה",-F257-G257,-G257))))))</f>
        <v/>
      </c>
      <c r="I257" s="28">
        <f>IF(B257="קנייה",D257*E257+G257,0)</f>
        <v/>
      </c>
      <c r="J257" s="41">
        <f>IF(B257="מכירה",D257*E257-G257-D257*IFERROR(SUMIFS($I$5:I257,$C$5:C257,C257)/SUMIFS($D$5:D257,$C$5:C257,C257,$B$5:B257,"קנייה"),0),0)</f>
        <v/>
      </c>
      <c r="K257" s="26" t="n"/>
    </row>
    <row r="258">
      <c r="A258" s="39" t="n"/>
      <c r="B258" s="26" t="n"/>
      <c r="C258" s="26" t="n"/>
      <c r="D258" s="40" t="n"/>
      <c r="E258" s="29" t="n"/>
      <c r="F258" s="29" t="n"/>
      <c r="G258" s="29" t="n"/>
      <c r="H258" s="28">
        <f>IF(B258="","",IF(B258="קנייה",-(D258*E258+G258),IF(B258="מכירה",D258*E258-G258,IF(B258="דיבידנד",F258-G258,IF(B258="הפקדה",F258-G258,IF(B258="משיכה",-F258-G258,-G258))))))</f>
        <v/>
      </c>
      <c r="I258" s="28">
        <f>IF(B258="קנייה",D258*E258+G258,0)</f>
        <v/>
      </c>
      <c r="J258" s="41">
        <f>IF(B258="מכירה",D258*E258-G258-D258*IFERROR(SUMIFS($I$5:I258,$C$5:C258,C258)/SUMIFS($D$5:D258,$C$5:C258,C258,$B$5:B258,"קנייה"),0),0)</f>
        <v/>
      </c>
      <c r="K258" s="26" t="n"/>
    </row>
    <row r="259">
      <c r="A259" s="39" t="n"/>
      <c r="B259" s="26" t="n"/>
      <c r="C259" s="26" t="n"/>
      <c r="D259" s="40" t="n"/>
      <c r="E259" s="29" t="n"/>
      <c r="F259" s="29" t="n"/>
      <c r="G259" s="29" t="n"/>
      <c r="H259" s="28">
        <f>IF(B259="","",IF(B259="קנייה",-(D259*E259+G259),IF(B259="מכירה",D259*E259-G259,IF(B259="דיבידנד",F259-G259,IF(B259="הפקדה",F259-G259,IF(B259="משיכה",-F259-G259,-G259))))))</f>
        <v/>
      </c>
      <c r="I259" s="28">
        <f>IF(B259="קנייה",D259*E259+G259,0)</f>
        <v/>
      </c>
      <c r="J259" s="41">
        <f>IF(B259="מכירה",D259*E259-G259-D259*IFERROR(SUMIFS($I$5:I259,$C$5:C259,C259)/SUMIFS($D$5:D259,$C$5:C259,C259,$B$5:B259,"קנייה"),0),0)</f>
        <v/>
      </c>
      <c r="K259" s="26" t="n"/>
    </row>
    <row r="260">
      <c r="A260" s="39" t="n"/>
      <c r="B260" s="26" t="n"/>
      <c r="C260" s="26" t="n"/>
      <c r="D260" s="40" t="n"/>
      <c r="E260" s="29" t="n"/>
      <c r="F260" s="29" t="n"/>
      <c r="G260" s="29" t="n"/>
      <c r="H260" s="28">
        <f>IF(B260="","",IF(B260="קנייה",-(D260*E260+G260),IF(B260="מכירה",D260*E260-G260,IF(B260="דיבידנד",F260-G260,IF(B260="הפקדה",F260-G260,IF(B260="משיכה",-F260-G260,-G260))))))</f>
        <v/>
      </c>
      <c r="I260" s="28">
        <f>IF(B260="קנייה",D260*E260+G260,0)</f>
        <v/>
      </c>
      <c r="J260" s="41">
        <f>IF(B260="מכירה",D260*E260-G260-D260*IFERROR(SUMIFS($I$5:I260,$C$5:C260,C260)/SUMIFS($D$5:D260,$C$5:C260,C260,$B$5:B260,"קנייה"),0),0)</f>
        <v/>
      </c>
      <c r="K260" s="26" t="n"/>
    </row>
    <row r="261">
      <c r="A261" s="39" t="n"/>
      <c r="B261" s="26" t="n"/>
      <c r="C261" s="26" t="n"/>
      <c r="D261" s="40" t="n"/>
      <c r="E261" s="29" t="n"/>
      <c r="F261" s="29" t="n"/>
      <c r="G261" s="29" t="n"/>
      <c r="H261" s="28">
        <f>IF(B261="","",IF(B261="קנייה",-(D261*E261+G261),IF(B261="מכירה",D261*E261-G261,IF(B261="דיבידנד",F261-G261,IF(B261="הפקדה",F261-G261,IF(B261="משיכה",-F261-G261,-G261))))))</f>
        <v/>
      </c>
      <c r="I261" s="28">
        <f>IF(B261="קנייה",D261*E261+G261,0)</f>
        <v/>
      </c>
      <c r="J261" s="41">
        <f>IF(B261="מכירה",D261*E261-G261-D261*IFERROR(SUMIFS($I$5:I261,$C$5:C261,C261)/SUMIFS($D$5:D261,$C$5:C261,C261,$B$5:B261,"קנייה"),0),0)</f>
        <v/>
      </c>
      <c r="K261" s="26" t="n"/>
    </row>
    <row r="262">
      <c r="A262" s="39" t="n"/>
      <c r="B262" s="26" t="n"/>
      <c r="C262" s="26" t="n"/>
      <c r="D262" s="40" t="n"/>
      <c r="E262" s="29" t="n"/>
      <c r="F262" s="29" t="n"/>
      <c r="G262" s="29" t="n"/>
      <c r="H262" s="28">
        <f>IF(B262="","",IF(B262="קנייה",-(D262*E262+G262),IF(B262="מכירה",D262*E262-G262,IF(B262="דיבידנד",F262-G262,IF(B262="הפקדה",F262-G262,IF(B262="משיכה",-F262-G262,-G262))))))</f>
        <v/>
      </c>
      <c r="I262" s="28">
        <f>IF(B262="קנייה",D262*E262+G262,0)</f>
        <v/>
      </c>
      <c r="J262" s="41">
        <f>IF(B262="מכירה",D262*E262-G262-D262*IFERROR(SUMIFS($I$5:I262,$C$5:C262,C262)/SUMIFS($D$5:D262,$C$5:C262,C262,$B$5:B262,"קנייה"),0),0)</f>
        <v/>
      </c>
      <c r="K262" s="26" t="n"/>
    </row>
    <row r="263">
      <c r="A263" s="39" t="n"/>
      <c r="B263" s="26" t="n"/>
      <c r="C263" s="26" t="n"/>
      <c r="D263" s="40" t="n"/>
      <c r="E263" s="29" t="n"/>
      <c r="F263" s="29" t="n"/>
      <c r="G263" s="29" t="n"/>
      <c r="H263" s="28">
        <f>IF(B263="","",IF(B263="קנייה",-(D263*E263+G263),IF(B263="מכירה",D263*E263-G263,IF(B263="דיבידנד",F263-G263,IF(B263="הפקדה",F263-G263,IF(B263="משיכה",-F263-G263,-G263))))))</f>
        <v/>
      </c>
      <c r="I263" s="28">
        <f>IF(B263="קנייה",D263*E263+G263,0)</f>
        <v/>
      </c>
      <c r="J263" s="41">
        <f>IF(B263="מכירה",D263*E263-G263-D263*IFERROR(SUMIFS($I$5:I263,$C$5:C263,C263)/SUMIFS($D$5:D263,$C$5:C263,C263,$B$5:B263,"קנייה"),0),0)</f>
        <v/>
      </c>
      <c r="K263" s="26" t="n"/>
    </row>
    <row r="264">
      <c r="A264" s="39" t="n"/>
      <c r="B264" s="26" t="n"/>
      <c r="C264" s="26" t="n"/>
      <c r="D264" s="40" t="n"/>
      <c r="E264" s="29" t="n"/>
      <c r="F264" s="29" t="n"/>
      <c r="G264" s="29" t="n"/>
      <c r="H264" s="28">
        <f>IF(B264="","",IF(B264="קנייה",-(D264*E264+G264),IF(B264="מכירה",D264*E264-G264,IF(B264="דיבידנד",F264-G264,IF(B264="הפקדה",F264-G264,IF(B264="משיכה",-F264-G264,-G264))))))</f>
        <v/>
      </c>
      <c r="I264" s="28">
        <f>IF(B264="קנייה",D264*E264+G264,0)</f>
        <v/>
      </c>
      <c r="J264" s="41">
        <f>IF(B264="מכירה",D264*E264-G264-D264*IFERROR(SUMIFS($I$5:I264,$C$5:C264,C264)/SUMIFS($D$5:D264,$C$5:C264,C264,$B$5:B264,"קנייה"),0),0)</f>
        <v/>
      </c>
      <c r="K264" s="26" t="n"/>
    </row>
    <row r="265">
      <c r="A265" s="39" t="n"/>
      <c r="B265" s="26" t="n"/>
      <c r="C265" s="26" t="n"/>
      <c r="D265" s="40" t="n"/>
      <c r="E265" s="29" t="n"/>
      <c r="F265" s="29" t="n"/>
      <c r="G265" s="29" t="n"/>
      <c r="H265" s="28">
        <f>IF(B265="","",IF(B265="קנייה",-(D265*E265+G265),IF(B265="מכירה",D265*E265-G265,IF(B265="דיבידנד",F265-G265,IF(B265="הפקדה",F265-G265,IF(B265="משיכה",-F265-G265,-G265))))))</f>
        <v/>
      </c>
      <c r="I265" s="28">
        <f>IF(B265="קנייה",D265*E265+G265,0)</f>
        <v/>
      </c>
      <c r="J265" s="41">
        <f>IF(B265="מכירה",D265*E265-G265-D265*IFERROR(SUMIFS($I$5:I265,$C$5:C265,C265)/SUMIFS($D$5:D265,$C$5:C265,C265,$B$5:B265,"קנייה"),0),0)</f>
        <v/>
      </c>
      <c r="K265" s="26" t="n"/>
    </row>
    <row r="266">
      <c r="A266" s="39" t="n"/>
      <c r="B266" s="26" t="n"/>
      <c r="C266" s="26" t="n"/>
      <c r="D266" s="40" t="n"/>
      <c r="E266" s="29" t="n"/>
      <c r="F266" s="29" t="n"/>
      <c r="G266" s="29" t="n"/>
      <c r="H266" s="28">
        <f>IF(B266="","",IF(B266="קנייה",-(D266*E266+G266),IF(B266="מכירה",D266*E266-G266,IF(B266="דיבידנד",F266-G266,IF(B266="הפקדה",F266-G266,IF(B266="משיכה",-F266-G266,-G266))))))</f>
        <v/>
      </c>
      <c r="I266" s="28">
        <f>IF(B266="קנייה",D266*E266+G266,0)</f>
        <v/>
      </c>
      <c r="J266" s="41">
        <f>IF(B266="מכירה",D266*E266-G266-D266*IFERROR(SUMIFS($I$5:I266,$C$5:C266,C266)/SUMIFS($D$5:D266,$C$5:C266,C266,$B$5:B266,"קנייה"),0),0)</f>
        <v/>
      </c>
      <c r="K266" s="26" t="n"/>
    </row>
    <row r="267">
      <c r="A267" s="39" t="n"/>
      <c r="B267" s="26" t="n"/>
      <c r="C267" s="26" t="n"/>
      <c r="D267" s="40" t="n"/>
      <c r="E267" s="29" t="n"/>
      <c r="F267" s="29" t="n"/>
      <c r="G267" s="29" t="n"/>
      <c r="H267" s="28">
        <f>IF(B267="","",IF(B267="קנייה",-(D267*E267+G267),IF(B267="מכירה",D267*E267-G267,IF(B267="דיבידנד",F267-G267,IF(B267="הפקדה",F267-G267,IF(B267="משיכה",-F267-G267,-G267))))))</f>
        <v/>
      </c>
      <c r="I267" s="28">
        <f>IF(B267="קנייה",D267*E267+G267,0)</f>
        <v/>
      </c>
      <c r="J267" s="41">
        <f>IF(B267="מכירה",D267*E267-G267-D267*IFERROR(SUMIFS($I$5:I267,$C$5:C267,C267)/SUMIFS($D$5:D267,$C$5:C267,C267,$B$5:B267,"קנייה"),0),0)</f>
        <v/>
      </c>
      <c r="K267" s="26" t="n"/>
    </row>
    <row r="268">
      <c r="A268" s="39" t="n"/>
      <c r="B268" s="26" t="n"/>
      <c r="C268" s="26" t="n"/>
      <c r="D268" s="40" t="n"/>
      <c r="E268" s="29" t="n"/>
      <c r="F268" s="29" t="n"/>
      <c r="G268" s="29" t="n"/>
      <c r="H268" s="28">
        <f>IF(B268="","",IF(B268="קנייה",-(D268*E268+G268),IF(B268="מכירה",D268*E268-G268,IF(B268="דיבידנד",F268-G268,IF(B268="הפקדה",F268-G268,IF(B268="משיכה",-F268-G268,-G268))))))</f>
        <v/>
      </c>
      <c r="I268" s="28">
        <f>IF(B268="קנייה",D268*E268+G268,0)</f>
        <v/>
      </c>
      <c r="J268" s="41">
        <f>IF(B268="מכירה",D268*E268-G268-D268*IFERROR(SUMIFS($I$5:I268,$C$5:C268,C268)/SUMIFS($D$5:D268,$C$5:C268,C268,$B$5:B268,"קנייה"),0),0)</f>
        <v/>
      </c>
      <c r="K268" s="26" t="n"/>
    </row>
    <row r="269">
      <c r="A269" s="39" t="n"/>
      <c r="B269" s="26" t="n"/>
      <c r="C269" s="26" t="n"/>
      <c r="D269" s="40" t="n"/>
      <c r="E269" s="29" t="n"/>
      <c r="F269" s="29" t="n"/>
      <c r="G269" s="29" t="n"/>
      <c r="H269" s="28">
        <f>IF(B269="","",IF(B269="קנייה",-(D269*E269+G269),IF(B269="מכירה",D269*E269-G269,IF(B269="דיבידנד",F269-G269,IF(B269="הפקדה",F269-G269,IF(B269="משיכה",-F269-G269,-G269))))))</f>
        <v/>
      </c>
      <c r="I269" s="28">
        <f>IF(B269="קנייה",D269*E269+G269,0)</f>
        <v/>
      </c>
      <c r="J269" s="41">
        <f>IF(B269="מכירה",D269*E269-G269-D269*IFERROR(SUMIFS($I$5:I269,$C$5:C269,C269)/SUMIFS($D$5:D269,$C$5:C269,C269,$B$5:B269,"קנייה"),0),0)</f>
        <v/>
      </c>
      <c r="K269" s="26" t="n"/>
    </row>
    <row r="270">
      <c r="A270" s="39" t="n"/>
      <c r="B270" s="26" t="n"/>
      <c r="C270" s="26" t="n"/>
      <c r="D270" s="40" t="n"/>
      <c r="E270" s="29" t="n"/>
      <c r="F270" s="29" t="n"/>
      <c r="G270" s="29" t="n"/>
      <c r="H270" s="28">
        <f>IF(B270="","",IF(B270="קנייה",-(D270*E270+G270),IF(B270="מכירה",D270*E270-G270,IF(B270="דיבידנד",F270-G270,IF(B270="הפקדה",F270-G270,IF(B270="משיכה",-F270-G270,-G270))))))</f>
        <v/>
      </c>
      <c r="I270" s="28">
        <f>IF(B270="קנייה",D270*E270+G270,0)</f>
        <v/>
      </c>
      <c r="J270" s="41">
        <f>IF(B270="מכירה",D270*E270-G270-D270*IFERROR(SUMIFS($I$5:I270,$C$5:C270,C270)/SUMIFS($D$5:D270,$C$5:C270,C270,$B$5:B270,"קנייה"),0),0)</f>
        <v/>
      </c>
      <c r="K270" s="26" t="n"/>
    </row>
    <row r="271">
      <c r="A271" s="39" t="n"/>
      <c r="B271" s="26" t="n"/>
      <c r="C271" s="26" t="n"/>
      <c r="D271" s="40" t="n"/>
      <c r="E271" s="29" t="n"/>
      <c r="F271" s="29" t="n"/>
      <c r="G271" s="29" t="n"/>
      <c r="H271" s="28">
        <f>IF(B271="","",IF(B271="קנייה",-(D271*E271+G271),IF(B271="מכירה",D271*E271-G271,IF(B271="דיבידנד",F271-G271,IF(B271="הפקדה",F271-G271,IF(B271="משיכה",-F271-G271,-G271))))))</f>
        <v/>
      </c>
      <c r="I271" s="28">
        <f>IF(B271="קנייה",D271*E271+G271,0)</f>
        <v/>
      </c>
      <c r="J271" s="41">
        <f>IF(B271="מכירה",D271*E271-G271-D271*IFERROR(SUMIFS($I$5:I271,$C$5:C271,C271)/SUMIFS($D$5:D271,$C$5:C271,C271,$B$5:B271,"קנייה"),0),0)</f>
        <v/>
      </c>
      <c r="K271" s="26" t="n"/>
    </row>
    <row r="272">
      <c r="A272" s="39" t="n"/>
      <c r="B272" s="26" t="n"/>
      <c r="C272" s="26" t="n"/>
      <c r="D272" s="40" t="n"/>
      <c r="E272" s="29" t="n"/>
      <c r="F272" s="29" t="n"/>
      <c r="G272" s="29" t="n"/>
      <c r="H272" s="28">
        <f>IF(B272="","",IF(B272="קנייה",-(D272*E272+G272),IF(B272="מכירה",D272*E272-G272,IF(B272="דיבידנד",F272-G272,IF(B272="הפקדה",F272-G272,IF(B272="משיכה",-F272-G272,-G272))))))</f>
        <v/>
      </c>
      <c r="I272" s="28">
        <f>IF(B272="קנייה",D272*E272+G272,0)</f>
        <v/>
      </c>
      <c r="J272" s="41">
        <f>IF(B272="מכירה",D272*E272-G272-D272*IFERROR(SUMIFS($I$5:I272,$C$5:C272,C272)/SUMIFS($D$5:D272,$C$5:C272,C272,$B$5:B272,"קנייה"),0),0)</f>
        <v/>
      </c>
      <c r="K272" s="26" t="n"/>
    </row>
    <row r="273">
      <c r="A273" s="39" t="n"/>
      <c r="B273" s="26" t="n"/>
      <c r="C273" s="26" t="n"/>
      <c r="D273" s="40" t="n"/>
      <c r="E273" s="29" t="n"/>
      <c r="F273" s="29" t="n"/>
      <c r="G273" s="29" t="n"/>
      <c r="H273" s="28">
        <f>IF(B273="","",IF(B273="קנייה",-(D273*E273+G273),IF(B273="מכירה",D273*E273-G273,IF(B273="דיבידנד",F273-G273,IF(B273="הפקדה",F273-G273,IF(B273="משיכה",-F273-G273,-G273))))))</f>
        <v/>
      </c>
      <c r="I273" s="28">
        <f>IF(B273="קנייה",D273*E273+G273,0)</f>
        <v/>
      </c>
      <c r="J273" s="41">
        <f>IF(B273="מכירה",D273*E273-G273-D273*IFERROR(SUMIFS($I$5:I273,$C$5:C273,C273)/SUMIFS($D$5:D273,$C$5:C273,C273,$B$5:B273,"קנייה"),0),0)</f>
        <v/>
      </c>
      <c r="K273" s="26" t="n"/>
    </row>
    <row r="274">
      <c r="A274" s="39" t="n"/>
      <c r="B274" s="26" t="n"/>
      <c r="C274" s="26" t="n"/>
      <c r="D274" s="40" t="n"/>
      <c r="E274" s="29" t="n"/>
      <c r="F274" s="29" t="n"/>
      <c r="G274" s="29" t="n"/>
      <c r="H274" s="28">
        <f>IF(B274="","",IF(B274="קנייה",-(D274*E274+G274),IF(B274="מכירה",D274*E274-G274,IF(B274="דיבידנד",F274-G274,IF(B274="הפקדה",F274-G274,IF(B274="משיכה",-F274-G274,-G274))))))</f>
        <v/>
      </c>
      <c r="I274" s="28">
        <f>IF(B274="קנייה",D274*E274+G274,0)</f>
        <v/>
      </c>
      <c r="J274" s="41">
        <f>IF(B274="מכירה",D274*E274-G274-D274*IFERROR(SUMIFS($I$5:I274,$C$5:C274,C274)/SUMIFS($D$5:D274,$C$5:C274,C274,$B$5:B274,"קנייה"),0),0)</f>
        <v/>
      </c>
      <c r="K274" s="26" t="n"/>
    </row>
    <row r="275">
      <c r="A275" s="39" t="n"/>
      <c r="B275" s="26" t="n"/>
      <c r="C275" s="26" t="n"/>
      <c r="D275" s="40" t="n"/>
      <c r="E275" s="29" t="n"/>
      <c r="F275" s="29" t="n"/>
      <c r="G275" s="29" t="n"/>
      <c r="H275" s="28">
        <f>IF(B275="","",IF(B275="קנייה",-(D275*E275+G275),IF(B275="מכירה",D275*E275-G275,IF(B275="דיבידנד",F275-G275,IF(B275="הפקדה",F275-G275,IF(B275="משיכה",-F275-G275,-G275))))))</f>
        <v/>
      </c>
      <c r="I275" s="28">
        <f>IF(B275="קנייה",D275*E275+G275,0)</f>
        <v/>
      </c>
      <c r="J275" s="41">
        <f>IF(B275="מכירה",D275*E275-G275-D275*IFERROR(SUMIFS($I$5:I275,$C$5:C275,C275)/SUMIFS($D$5:D275,$C$5:C275,C275,$B$5:B275,"קנייה"),0),0)</f>
        <v/>
      </c>
      <c r="K275" s="26" t="n"/>
    </row>
    <row r="276">
      <c r="A276" s="39" t="n"/>
      <c r="B276" s="26" t="n"/>
      <c r="C276" s="26" t="n"/>
      <c r="D276" s="40" t="n"/>
      <c r="E276" s="29" t="n"/>
      <c r="F276" s="29" t="n"/>
      <c r="G276" s="29" t="n"/>
      <c r="H276" s="28">
        <f>IF(B276="","",IF(B276="קנייה",-(D276*E276+G276),IF(B276="מכירה",D276*E276-G276,IF(B276="דיבידנד",F276-G276,IF(B276="הפקדה",F276-G276,IF(B276="משיכה",-F276-G276,-G276))))))</f>
        <v/>
      </c>
      <c r="I276" s="28">
        <f>IF(B276="קנייה",D276*E276+G276,0)</f>
        <v/>
      </c>
      <c r="J276" s="41">
        <f>IF(B276="מכירה",D276*E276-G276-D276*IFERROR(SUMIFS($I$5:I276,$C$5:C276,C276)/SUMIFS($D$5:D276,$C$5:C276,C276,$B$5:B276,"קנייה"),0),0)</f>
        <v/>
      </c>
      <c r="K276" s="26" t="n"/>
    </row>
    <row r="277">
      <c r="A277" s="39" t="n"/>
      <c r="B277" s="26" t="n"/>
      <c r="C277" s="26" t="n"/>
      <c r="D277" s="40" t="n"/>
      <c r="E277" s="29" t="n"/>
      <c r="F277" s="29" t="n"/>
      <c r="G277" s="29" t="n"/>
      <c r="H277" s="28">
        <f>IF(B277="","",IF(B277="קנייה",-(D277*E277+G277),IF(B277="מכירה",D277*E277-G277,IF(B277="דיבידנד",F277-G277,IF(B277="הפקדה",F277-G277,IF(B277="משיכה",-F277-G277,-G277))))))</f>
        <v/>
      </c>
      <c r="I277" s="28">
        <f>IF(B277="קנייה",D277*E277+G277,0)</f>
        <v/>
      </c>
      <c r="J277" s="41">
        <f>IF(B277="מכירה",D277*E277-G277-D277*IFERROR(SUMIFS($I$5:I277,$C$5:C277,C277)/SUMIFS($D$5:D277,$C$5:C277,C277,$B$5:B277,"קנייה"),0),0)</f>
        <v/>
      </c>
      <c r="K277" s="26" t="n"/>
    </row>
    <row r="278">
      <c r="A278" s="39" t="n"/>
      <c r="B278" s="26" t="n"/>
      <c r="C278" s="26" t="n"/>
      <c r="D278" s="40" t="n"/>
      <c r="E278" s="29" t="n"/>
      <c r="F278" s="29" t="n"/>
      <c r="G278" s="29" t="n"/>
      <c r="H278" s="28">
        <f>IF(B278="","",IF(B278="קנייה",-(D278*E278+G278),IF(B278="מכירה",D278*E278-G278,IF(B278="דיבידנד",F278-G278,IF(B278="הפקדה",F278-G278,IF(B278="משיכה",-F278-G278,-G278))))))</f>
        <v/>
      </c>
      <c r="I278" s="28">
        <f>IF(B278="קנייה",D278*E278+G278,0)</f>
        <v/>
      </c>
      <c r="J278" s="41">
        <f>IF(B278="מכירה",D278*E278-G278-D278*IFERROR(SUMIFS($I$5:I278,$C$5:C278,C278)/SUMIFS($D$5:D278,$C$5:C278,C278,$B$5:B278,"קנייה"),0),0)</f>
        <v/>
      </c>
      <c r="K278" s="26" t="n"/>
    </row>
    <row r="279">
      <c r="A279" s="39" t="n"/>
      <c r="B279" s="26" t="n"/>
      <c r="C279" s="26" t="n"/>
      <c r="D279" s="40" t="n"/>
      <c r="E279" s="29" t="n"/>
      <c r="F279" s="29" t="n"/>
      <c r="G279" s="29" t="n"/>
      <c r="H279" s="28">
        <f>IF(B279="","",IF(B279="קנייה",-(D279*E279+G279),IF(B279="מכירה",D279*E279-G279,IF(B279="דיבידנד",F279-G279,IF(B279="הפקדה",F279-G279,IF(B279="משיכה",-F279-G279,-G279))))))</f>
        <v/>
      </c>
      <c r="I279" s="28">
        <f>IF(B279="קנייה",D279*E279+G279,0)</f>
        <v/>
      </c>
      <c r="J279" s="41">
        <f>IF(B279="מכירה",D279*E279-G279-D279*IFERROR(SUMIFS($I$5:I279,$C$5:C279,C279)/SUMIFS($D$5:D279,$C$5:C279,C279,$B$5:B279,"קנייה"),0),0)</f>
        <v/>
      </c>
      <c r="K279" s="26" t="n"/>
    </row>
    <row r="280">
      <c r="A280" s="39" t="n"/>
      <c r="B280" s="26" t="n"/>
      <c r="C280" s="26" t="n"/>
      <c r="D280" s="40" t="n"/>
      <c r="E280" s="29" t="n"/>
      <c r="F280" s="29" t="n"/>
      <c r="G280" s="29" t="n"/>
      <c r="H280" s="28">
        <f>IF(B280="","",IF(B280="קנייה",-(D280*E280+G280),IF(B280="מכירה",D280*E280-G280,IF(B280="דיבידנד",F280-G280,IF(B280="הפקדה",F280-G280,IF(B280="משיכה",-F280-G280,-G280))))))</f>
        <v/>
      </c>
      <c r="I280" s="28">
        <f>IF(B280="קנייה",D280*E280+G280,0)</f>
        <v/>
      </c>
      <c r="J280" s="41">
        <f>IF(B280="מכירה",D280*E280-G280-D280*IFERROR(SUMIFS($I$5:I280,$C$5:C280,C280)/SUMIFS($D$5:D280,$C$5:C280,C280,$B$5:B280,"קנייה"),0),0)</f>
        <v/>
      </c>
      <c r="K280" s="26" t="n"/>
    </row>
    <row r="281">
      <c r="A281" s="39" t="n"/>
      <c r="B281" s="26" t="n"/>
      <c r="C281" s="26" t="n"/>
      <c r="D281" s="40" t="n"/>
      <c r="E281" s="29" t="n"/>
      <c r="F281" s="29" t="n"/>
      <c r="G281" s="29" t="n"/>
      <c r="H281" s="28">
        <f>IF(B281="","",IF(B281="קנייה",-(D281*E281+G281),IF(B281="מכירה",D281*E281-G281,IF(B281="דיבידנד",F281-G281,IF(B281="הפקדה",F281-G281,IF(B281="משיכה",-F281-G281,-G281))))))</f>
        <v/>
      </c>
      <c r="I281" s="28">
        <f>IF(B281="קנייה",D281*E281+G281,0)</f>
        <v/>
      </c>
      <c r="J281" s="41">
        <f>IF(B281="מכירה",D281*E281-G281-D281*IFERROR(SUMIFS($I$5:I281,$C$5:C281,C281)/SUMIFS($D$5:D281,$C$5:C281,C281,$B$5:B281,"קנייה"),0),0)</f>
        <v/>
      </c>
      <c r="K281" s="26" t="n"/>
    </row>
    <row r="282">
      <c r="A282" s="39" t="n"/>
      <c r="B282" s="26" t="n"/>
      <c r="C282" s="26" t="n"/>
      <c r="D282" s="40" t="n"/>
      <c r="E282" s="29" t="n"/>
      <c r="F282" s="29" t="n"/>
      <c r="G282" s="29" t="n"/>
      <c r="H282" s="28">
        <f>IF(B282="","",IF(B282="קנייה",-(D282*E282+G282),IF(B282="מכירה",D282*E282-G282,IF(B282="דיבידנד",F282-G282,IF(B282="הפקדה",F282-G282,IF(B282="משיכה",-F282-G282,-G282))))))</f>
        <v/>
      </c>
      <c r="I282" s="28">
        <f>IF(B282="קנייה",D282*E282+G282,0)</f>
        <v/>
      </c>
      <c r="J282" s="41">
        <f>IF(B282="מכירה",D282*E282-G282-D282*IFERROR(SUMIFS($I$5:I282,$C$5:C282,C282)/SUMIFS($D$5:D282,$C$5:C282,C282,$B$5:B282,"קנייה"),0),0)</f>
        <v/>
      </c>
      <c r="K282" s="26" t="n"/>
    </row>
    <row r="283">
      <c r="A283" s="39" t="n"/>
      <c r="B283" s="26" t="n"/>
      <c r="C283" s="26" t="n"/>
      <c r="D283" s="40" t="n"/>
      <c r="E283" s="29" t="n"/>
      <c r="F283" s="29" t="n"/>
      <c r="G283" s="29" t="n"/>
      <c r="H283" s="28">
        <f>IF(B283="","",IF(B283="קנייה",-(D283*E283+G283),IF(B283="מכירה",D283*E283-G283,IF(B283="דיבידנד",F283-G283,IF(B283="הפקדה",F283-G283,IF(B283="משיכה",-F283-G283,-G283))))))</f>
        <v/>
      </c>
      <c r="I283" s="28">
        <f>IF(B283="קנייה",D283*E283+G283,0)</f>
        <v/>
      </c>
      <c r="J283" s="41">
        <f>IF(B283="מכירה",D283*E283-G283-D283*IFERROR(SUMIFS($I$5:I283,$C$5:C283,C283)/SUMIFS($D$5:D283,$C$5:C283,C283,$B$5:B283,"קנייה"),0),0)</f>
        <v/>
      </c>
      <c r="K283" s="26" t="n"/>
    </row>
    <row r="284">
      <c r="A284" s="39" t="n"/>
      <c r="B284" s="26" t="n"/>
      <c r="C284" s="26" t="n"/>
      <c r="D284" s="40" t="n"/>
      <c r="E284" s="29" t="n"/>
      <c r="F284" s="29" t="n"/>
      <c r="G284" s="29" t="n"/>
      <c r="H284" s="28">
        <f>IF(B284="","",IF(B284="קנייה",-(D284*E284+G284),IF(B284="מכירה",D284*E284-G284,IF(B284="דיבידנד",F284-G284,IF(B284="הפקדה",F284-G284,IF(B284="משיכה",-F284-G284,-G284))))))</f>
        <v/>
      </c>
      <c r="I284" s="28">
        <f>IF(B284="קנייה",D284*E284+G284,0)</f>
        <v/>
      </c>
      <c r="J284" s="41">
        <f>IF(B284="מכירה",D284*E284-G284-D284*IFERROR(SUMIFS($I$5:I284,$C$5:C284,C284)/SUMIFS($D$5:D284,$C$5:C284,C284,$B$5:B284,"קנייה"),0),0)</f>
        <v/>
      </c>
      <c r="K284" s="26" t="n"/>
    </row>
    <row r="285">
      <c r="A285" s="39" t="n"/>
      <c r="B285" s="26" t="n"/>
      <c r="C285" s="26" t="n"/>
      <c r="D285" s="40" t="n"/>
      <c r="E285" s="29" t="n"/>
      <c r="F285" s="29" t="n"/>
      <c r="G285" s="29" t="n"/>
      <c r="H285" s="28">
        <f>IF(B285="","",IF(B285="קנייה",-(D285*E285+G285),IF(B285="מכירה",D285*E285-G285,IF(B285="דיבידנד",F285-G285,IF(B285="הפקדה",F285-G285,IF(B285="משיכה",-F285-G285,-G285))))))</f>
        <v/>
      </c>
      <c r="I285" s="28">
        <f>IF(B285="קנייה",D285*E285+G285,0)</f>
        <v/>
      </c>
      <c r="J285" s="41">
        <f>IF(B285="מכירה",D285*E285-G285-D285*IFERROR(SUMIFS($I$5:I285,$C$5:C285,C285)/SUMIFS($D$5:D285,$C$5:C285,C285,$B$5:B285,"קנייה"),0),0)</f>
        <v/>
      </c>
      <c r="K285" s="26" t="n"/>
    </row>
    <row r="286">
      <c r="A286" s="39" t="n"/>
      <c r="B286" s="26" t="n"/>
      <c r="C286" s="26" t="n"/>
      <c r="D286" s="40" t="n"/>
      <c r="E286" s="29" t="n"/>
      <c r="F286" s="29" t="n"/>
      <c r="G286" s="29" t="n"/>
      <c r="H286" s="28">
        <f>IF(B286="","",IF(B286="קנייה",-(D286*E286+G286),IF(B286="מכירה",D286*E286-G286,IF(B286="דיבידנד",F286-G286,IF(B286="הפקדה",F286-G286,IF(B286="משיכה",-F286-G286,-G286))))))</f>
        <v/>
      </c>
      <c r="I286" s="28">
        <f>IF(B286="קנייה",D286*E286+G286,0)</f>
        <v/>
      </c>
      <c r="J286" s="41">
        <f>IF(B286="מכירה",D286*E286-G286-D286*IFERROR(SUMIFS($I$5:I286,$C$5:C286,C286)/SUMIFS($D$5:D286,$C$5:C286,C286,$B$5:B286,"קנייה"),0),0)</f>
        <v/>
      </c>
      <c r="K286" s="26" t="n"/>
    </row>
    <row r="287">
      <c r="A287" s="39" t="n"/>
      <c r="B287" s="26" t="n"/>
      <c r="C287" s="26" t="n"/>
      <c r="D287" s="40" t="n"/>
      <c r="E287" s="29" t="n"/>
      <c r="F287" s="29" t="n"/>
      <c r="G287" s="29" t="n"/>
      <c r="H287" s="28">
        <f>IF(B287="","",IF(B287="קנייה",-(D287*E287+G287),IF(B287="מכירה",D287*E287-G287,IF(B287="דיבידנד",F287-G287,IF(B287="הפקדה",F287-G287,IF(B287="משיכה",-F287-G287,-G287))))))</f>
        <v/>
      </c>
      <c r="I287" s="28">
        <f>IF(B287="קנייה",D287*E287+G287,0)</f>
        <v/>
      </c>
      <c r="J287" s="41">
        <f>IF(B287="מכירה",D287*E287-G287-D287*IFERROR(SUMIFS($I$5:I287,$C$5:C287,C287)/SUMIFS($D$5:D287,$C$5:C287,C287,$B$5:B287,"קנייה"),0),0)</f>
        <v/>
      </c>
      <c r="K287" s="26" t="n"/>
    </row>
    <row r="288">
      <c r="A288" s="39" t="n"/>
      <c r="B288" s="26" t="n"/>
      <c r="C288" s="26" t="n"/>
      <c r="D288" s="40" t="n"/>
      <c r="E288" s="29" t="n"/>
      <c r="F288" s="29" t="n"/>
      <c r="G288" s="29" t="n"/>
      <c r="H288" s="28">
        <f>IF(B288="","",IF(B288="קנייה",-(D288*E288+G288),IF(B288="מכירה",D288*E288-G288,IF(B288="דיבידנד",F288-G288,IF(B288="הפקדה",F288-G288,IF(B288="משיכה",-F288-G288,-G288))))))</f>
        <v/>
      </c>
      <c r="I288" s="28">
        <f>IF(B288="קנייה",D288*E288+G288,0)</f>
        <v/>
      </c>
      <c r="J288" s="41">
        <f>IF(B288="מכירה",D288*E288-G288-D288*IFERROR(SUMIFS($I$5:I288,$C$5:C288,C288)/SUMIFS($D$5:D288,$C$5:C288,C288,$B$5:B288,"קנייה"),0),0)</f>
        <v/>
      </c>
      <c r="K288" s="26" t="n"/>
    </row>
    <row r="289">
      <c r="A289" s="39" t="n"/>
      <c r="B289" s="26" t="n"/>
      <c r="C289" s="26" t="n"/>
      <c r="D289" s="40" t="n"/>
      <c r="E289" s="29" t="n"/>
      <c r="F289" s="29" t="n"/>
      <c r="G289" s="29" t="n"/>
      <c r="H289" s="28">
        <f>IF(B289="","",IF(B289="קנייה",-(D289*E289+G289),IF(B289="מכירה",D289*E289-G289,IF(B289="דיבידנד",F289-G289,IF(B289="הפקדה",F289-G289,IF(B289="משיכה",-F289-G289,-G289))))))</f>
        <v/>
      </c>
      <c r="I289" s="28">
        <f>IF(B289="קנייה",D289*E289+G289,0)</f>
        <v/>
      </c>
      <c r="J289" s="41">
        <f>IF(B289="מכירה",D289*E289-G289-D289*IFERROR(SUMIFS($I$5:I289,$C$5:C289,C289)/SUMIFS($D$5:D289,$C$5:C289,C289,$B$5:B289,"קנייה"),0),0)</f>
        <v/>
      </c>
      <c r="K289" s="26" t="n"/>
    </row>
    <row r="290">
      <c r="A290" s="39" t="n"/>
      <c r="B290" s="26" t="n"/>
      <c r="C290" s="26" t="n"/>
      <c r="D290" s="40" t="n"/>
      <c r="E290" s="29" t="n"/>
      <c r="F290" s="29" t="n"/>
      <c r="G290" s="29" t="n"/>
      <c r="H290" s="28">
        <f>IF(B290="","",IF(B290="קנייה",-(D290*E290+G290),IF(B290="מכירה",D290*E290-G290,IF(B290="דיבידנד",F290-G290,IF(B290="הפקדה",F290-G290,IF(B290="משיכה",-F290-G290,-G290))))))</f>
        <v/>
      </c>
      <c r="I290" s="28">
        <f>IF(B290="קנייה",D290*E290+G290,0)</f>
        <v/>
      </c>
      <c r="J290" s="41">
        <f>IF(B290="מכירה",D290*E290-G290-D290*IFERROR(SUMIFS($I$5:I290,$C$5:C290,C290)/SUMIFS($D$5:D290,$C$5:C290,C290,$B$5:B290,"קנייה"),0),0)</f>
        <v/>
      </c>
      <c r="K290" s="26" t="n"/>
    </row>
    <row r="291">
      <c r="A291" s="39" t="n"/>
      <c r="B291" s="26" t="n"/>
      <c r="C291" s="26" t="n"/>
      <c r="D291" s="40" t="n"/>
      <c r="E291" s="29" t="n"/>
      <c r="F291" s="29" t="n"/>
      <c r="G291" s="29" t="n"/>
      <c r="H291" s="28">
        <f>IF(B291="","",IF(B291="קנייה",-(D291*E291+G291),IF(B291="מכירה",D291*E291-G291,IF(B291="דיבידנד",F291-G291,IF(B291="הפקדה",F291-G291,IF(B291="משיכה",-F291-G291,-G291))))))</f>
        <v/>
      </c>
      <c r="I291" s="28">
        <f>IF(B291="קנייה",D291*E291+G291,0)</f>
        <v/>
      </c>
      <c r="J291" s="41">
        <f>IF(B291="מכירה",D291*E291-G291-D291*IFERROR(SUMIFS($I$5:I291,$C$5:C291,C291)/SUMIFS($D$5:D291,$C$5:C291,C291,$B$5:B291,"קנייה"),0),0)</f>
        <v/>
      </c>
      <c r="K291" s="26" t="n"/>
    </row>
    <row r="292">
      <c r="A292" s="39" t="n"/>
      <c r="B292" s="26" t="n"/>
      <c r="C292" s="26" t="n"/>
      <c r="D292" s="40" t="n"/>
      <c r="E292" s="29" t="n"/>
      <c r="F292" s="29" t="n"/>
      <c r="G292" s="29" t="n"/>
      <c r="H292" s="28">
        <f>IF(B292="","",IF(B292="קנייה",-(D292*E292+G292),IF(B292="מכירה",D292*E292-G292,IF(B292="דיבידנד",F292-G292,IF(B292="הפקדה",F292-G292,IF(B292="משיכה",-F292-G292,-G292))))))</f>
        <v/>
      </c>
      <c r="I292" s="28">
        <f>IF(B292="קנייה",D292*E292+G292,0)</f>
        <v/>
      </c>
      <c r="J292" s="41">
        <f>IF(B292="מכירה",D292*E292-G292-D292*IFERROR(SUMIFS($I$5:I292,$C$5:C292,C292)/SUMIFS($D$5:D292,$C$5:C292,C292,$B$5:B292,"קנייה"),0),0)</f>
        <v/>
      </c>
      <c r="K292" s="26" t="n"/>
    </row>
    <row r="293">
      <c r="A293" s="39" t="n"/>
      <c r="B293" s="26" t="n"/>
      <c r="C293" s="26" t="n"/>
      <c r="D293" s="40" t="n"/>
      <c r="E293" s="29" t="n"/>
      <c r="F293" s="29" t="n"/>
      <c r="G293" s="29" t="n"/>
      <c r="H293" s="28">
        <f>IF(B293="","",IF(B293="קנייה",-(D293*E293+G293),IF(B293="מכירה",D293*E293-G293,IF(B293="דיבידנד",F293-G293,IF(B293="הפקדה",F293-G293,IF(B293="משיכה",-F293-G293,-G293))))))</f>
        <v/>
      </c>
      <c r="I293" s="28">
        <f>IF(B293="קנייה",D293*E293+G293,0)</f>
        <v/>
      </c>
      <c r="J293" s="41">
        <f>IF(B293="מכירה",D293*E293-G293-D293*IFERROR(SUMIFS($I$5:I293,$C$5:C293,C293)/SUMIFS($D$5:D293,$C$5:C293,C293,$B$5:B293,"קנייה"),0),0)</f>
        <v/>
      </c>
      <c r="K293" s="26" t="n"/>
    </row>
    <row r="294">
      <c r="A294" s="39" t="n"/>
      <c r="B294" s="26" t="n"/>
      <c r="C294" s="26" t="n"/>
      <c r="D294" s="40" t="n"/>
      <c r="E294" s="29" t="n"/>
      <c r="F294" s="29" t="n"/>
      <c r="G294" s="29" t="n"/>
      <c r="H294" s="28">
        <f>IF(B294="","",IF(B294="קנייה",-(D294*E294+G294),IF(B294="מכירה",D294*E294-G294,IF(B294="דיבידנד",F294-G294,IF(B294="הפקדה",F294-G294,IF(B294="משיכה",-F294-G294,-G294))))))</f>
        <v/>
      </c>
      <c r="I294" s="28">
        <f>IF(B294="קנייה",D294*E294+G294,0)</f>
        <v/>
      </c>
      <c r="J294" s="41">
        <f>IF(B294="מכירה",D294*E294-G294-D294*IFERROR(SUMIFS($I$5:I294,$C$5:C294,C294)/SUMIFS($D$5:D294,$C$5:C294,C294,$B$5:B294,"קנייה"),0),0)</f>
        <v/>
      </c>
      <c r="K294" s="26" t="n"/>
    </row>
    <row r="295">
      <c r="A295" s="39" t="n"/>
      <c r="B295" s="26" t="n"/>
      <c r="C295" s="26" t="n"/>
      <c r="D295" s="40" t="n"/>
      <c r="E295" s="29" t="n"/>
      <c r="F295" s="29" t="n"/>
      <c r="G295" s="29" t="n"/>
      <c r="H295" s="28">
        <f>IF(B295="","",IF(B295="קנייה",-(D295*E295+G295),IF(B295="מכירה",D295*E295-G295,IF(B295="דיבידנד",F295-G295,IF(B295="הפקדה",F295-G295,IF(B295="משיכה",-F295-G295,-G295))))))</f>
        <v/>
      </c>
      <c r="I295" s="28">
        <f>IF(B295="קנייה",D295*E295+G295,0)</f>
        <v/>
      </c>
      <c r="J295" s="41">
        <f>IF(B295="מכירה",D295*E295-G295-D295*IFERROR(SUMIFS($I$5:I295,$C$5:C295,C295)/SUMIFS($D$5:D295,$C$5:C295,C295,$B$5:B295,"קנייה"),0),0)</f>
        <v/>
      </c>
      <c r="K295" s="26" t="n"/>
    </row>
    <row r="296">
      <c r="A296" s="39" t="n"/>
      <c r="B296" s="26" t="n"/>
      <c r="C296" s="26" t="n"/>
      <c r="D296" s="40" t="n"/>
      <c r="E296" s="29" t="n"/>
      <c r="F296" s="29" t="n"/>
      <c r="G296" s="29" t="n"/>
      <c r="H296" s="28">
        <f>IF(B296="","",IF(B296="קנייה",-(D296*E296+G296),IF(B296="מכירה",D296*E296-G296,IF(B296="דיבידנד",F296-G296,IF(B296="הפקדה",F296-G296,IF(B296="משיכה",-F296-G296,-G296))))))</f>
        <v/>
      </c>
      <c r="I296" s="28">
        <f>IF(B296="קנייה",D296*E296+G296,0)</f>
        <v/>
      </c>
      <c r="J296" s="41">
        <f>IF(B296="מכירה",D296*E296-G296-D296*IFERROR(SUMIFS($I$5:I296,$C$5:C296,C296)/SUMIFS($D$5:D296,$C$5:C296,C296,$B$5:B296,"קנייה"),0),0)</f>
        <v/>
      </c>
      <c r="K296" s="26" t="n"/>
    </row>
    <row r="297">
      <c r="A297" s="39" t="n"/>
      <c r="B297" s="26" t="n"/>
      <c r="C297" s="26" t="n"/>
      <c r="D297" s="40" t="n"/>
      <c r="E297" s="29" t="n"/>
      <c r="F297" s="29" t="n"/>
      <c r="G297" s="29" t="n"/>
      <c r="H297" s="28">
        <f>IF(B297="","",IF(B297="קנייה",-(D297*E297+G297),IF(B297="מכירה",D297*E297-G297,IF(B297="דיבידנד",F297-G297,IF(B297="הפקדה",F297-G297,IF(B297="משיכה",-F297-G297,-G297))))))</f>
        <v/>
      </c>
      <c r="I297" s="28">
        <f>IF(B297="קנייה",D297*E297+G297,0)</f>
        <v/>
      </c>
      <c r="J297" s="41">
        <f>IF(B297="מכירה",D297*E297-G297-D297*IFERROR(SUMIFS($I$5:I297,$C$5:C297,C297)/SUMIFS($D$5:D297,$C$5:C297,C297,$B$5:B297,"קנייה"),0),0)</f>
        <v/>
      </c>
      <c r="K297" s="26" t="n"/>
    </row>
    <row r="298">
      <c r="A298" s="39" t="n"/>
      <c r="B298" s="26" t="n"/>
      <c r="C298" s="26" t="n"/>
      <c r="D298" s="40" t="n"/>
      <c r="E298" s="29" t="n"/>
      <c r="F298" s="29" t="n"/>
      <c r="G298" s="29" t="n"/>
      <c r="H298" s="28">
        <f>IF(B298="","",IF(B298="קנייה",-(D298*E298+G298),IF(B298="מכירה",D298*E298-G298,IF(B298="דיבידנד",F298-G298,IF(B298="הפקדה",F298-G298,IF(B298="משיכה",-F298-G298,-G298))))))</f>
        <v/>
      </c>
      <c r="I298" s="28">
        <f>IF(B298="קנייה",D298*E298+G298,0)</f>
        <v/>
      </c>
      <c r="J298" s="41">
        <f>IF(B298="מכירה",D298*E298-G298-D298*IFERROR(SUMIFS($I$5:I298,$C$5:C298,C298)/SUMIFS($D$5:D298,$C$5:C298,C298,$B$5:B298,"קנייה"),0),0)</f>
        <v/>
      </c>
      <c r="K298" s="26" t="n"/>
    </row>
    <row r="299">
      <c r="A299" s="39" t="n"/>
      <c r="B299" s="26" t="n"/>
      <c r="C299" s="26" t="n"/>
      <c r="D299" s="40" t="n"/>
      <c r="E299" s="29" t="n"/>
      <c r="F299" s="29" t="n"/>
      <c r="G299" s="29" t="n"/>
      <c r="H299" s="28">
        <f>IF(B299="","",IF(B299="קנייה",-(D299*E299+G299),IF(B299="מכירה",D299*E299-G299,IF(B299="דיבידנד",F299-G299,IF(B299="הפקדה",F299-G299,IF(B299="משיכה",-F299-G299,-G299))))))</f>
        <v/>
      </c>
      <c r="I299" s="28">
        <f>IF(B299="קנייה",D299*E299+G299,0)</f>
        <v/>
      </c>
      <c r="J299" s="41">
        <f>IF(B299="מכירה",D299*E299-G299-D299*IFERROR(SUMIFS($I$5:I299,$C$5:C299,C299)/SUMIFS($D$5:D299,$C$5:C299,C299,$B$5:B299,"קנייה"),0),0)</f>
        <v/>
      </c>
      <c r="K299" s="26" t="n"/>
    </row>
    <row r="300">
      <c r="A300" s="39" t="n"/>
      <c r="B300" s="26" t="n"/>
      <c r="C300" s="26" t="n"/>
      <c r="D300" s="40" t="n"/>
      <c r="E300" s="29" t="n"/>
      <c r="F300" s="29" t="n"/>
      <c r="G300" s="29" t="n"/>
      <c r="H300" s="28">
        <f>IF(B300="","",IF(B300="קנייה",-(D300*E300+G300),IF(B300="מכירה",D300*E300-G300,IF(B300="דיבידנד",F300-G300,IF(B300="הפקדה",F300-G300,IF(B300="משיכה",-F300-G300,-G300))))))</f>
        <v/>
      </c>
      <c r="I300" s="28">
        <f>IF(B300="קנייה",D300*E300+G300,0)</f>
        <v/>
      </c>
      <c r="J300" s="41">
        <f>IF(B300="מכירה",D300*E300-G300-D300*IFERROR(SUMIFS($I$5:I300,$C$5:C300,C300)/SUMIFS($D$5:D300,$C$5:C300,C300,$B$5:B300,"קנייה"),0),0)</f>
        <v/>
      </c>
      <c r="K300" s="26" t="n"/>
    </row>
    <row r="301">
      <c r="A301" s="39" t="n"/>
      <c r="B301" s="26" t="n"/>
      <c r="C301" s="26" t="n"/>
      <c r="D301" s="40" t="n"/>
      <c r="E301" s="29" t="n"/>
      <c r="F301" s="29" t="n"/>
      <c r="G301" s="29" t="n"/>
      <c r="H301" s="28">
        <f>IF(B301="","",IF(B301="קנייה",-(D301*E301+G301),IF(B301="מכירה",D301*E301-G301,IF(B301="דיבידנד",F301-G301,IF(B301="הפקדה",F301-G301,IF(B301="משיכה",-F301-G301,-G301))))))</f>
        <v/>
      </c>
      <c r="I301" s="28">
        <f>IF(B301="קנייה",D301*E301+G301,0)</f>
        <v/>
      </c>
      <c r="J301" s="41">
        <f>IF(B301="מכירה",D301*E301-G301-D301*IFERROR(SUMIFS($I$5:I301,$C$5:C301,C301)/SUMIFS($D$5:D301,$C$5:C301,C301,$B$5:B301,"קנייה"),0),0)</f>
        <v/>
      </c>
      <c r="K301" s="26" t="n"/>
    </row>
    <row r="302">
      <c r="A302" s="39" t="n"/>
      <c r="B302" s="26" t="n"/>
      <c r="C302" s="26" t="n"/>
      <c r="D302" s="40" t="n"/>
      <c r="E302" s="29" t="n"/>
      <c r="F302" s="29" t="n"/>
      <c r="G302" s="29" t="n"/>
      <c r="H302" s="28">
        <f>IF(B302="","",IF(B302="קנייה",-(D302*E302+G302),IF(B302="מכירה",D302*E302-G302,IF(B302="דיבידנד",F302-G302,IF(B302="הפקדה",F302-G302,IF(B302="משיכה",-F302-G302,-G302))))))</f>
        <v/>
      </c>
      <c r="I302" s="28">
        <f>IF(B302="קנייה",D302*E302+G302,0)</f>
        <v/>
      </c>
      <c r="J302" s="41">
        <f>IF(B302="מכירה",D302*E302-G302-D302*IFERROR(SUMIFS($I$5:I302,$C$5:C302,C302)/SUMIFS($D$5:D302,$C$5:C302,C302,$B$5:B302,"קנייה"),0),0)</f>
        <v/>
      </c>
      <c r="K302" s="26" t="n"/>
    </row>
    <row r="303">
      <c r="A303" s="39" t="n"/>
      <c r="B303" s="26" t="n"/>
      <c r="C303" s="26" t="n"/>
      <c r="D303" s="40" t="n"/>
      <c r="E303" s="29" t="n"/>
      <c r="F303" s="29" t="n"/>
      <c r="G303" s="29" t="n"/>
      <c r="H303" s="28">
        <f>IF(B303="","",IF(B303="קנייה",-(D303*E303+G303),IF(B303="מכירה",D303*E303-G303,IF(B303="דיבידנד",F303-G303,IF(B303="הפקדה",F303-G303,IF(B303="משיכה",-F303-G303,-G303))))))</f>
        <v/>
      </c>
      <c r="I303" s="28">
        <f>IF(B303="קנייה",D303*E303+G303,0)</f>
        <v/>
      </c>
      <c r="J303" s="41">
        <f>IF(B303="מכירה",D303*E303-G303-D303*IFERROR(SUMIFS($I$5:I303,$C$5:C303,C303)/SUMIFS($D$5:D303,$C$5:C303,C303,$B$5:B303,"קנייה"),0),0)</f>
        <v/>
      </c>
      <c r="K303" s="26" t="n"/>
    </row>
    <row r="304">
      <c r="A304" s="39" t="n"/>
      <c r="B304" s="26" t="n"/>
      <c r="C304" s="26" t="n"/>
      <c r="D304" s="40" t="n"/>
      <c r="E304" s="29" t="n"/>
      <c r="F304" s="29" t="n"/>
      <c r="G304" s="29" t="n"/>
      <c r="H304" s="28">
        <f>IF(B304="","",IF(B304="קנייה",-(D304*E304+G304),IF(B304="מכירה",D304*E304-G304,IF(B304="דיבידנד",F304-G304,IF(B304="הפקדה",F304-G304,IF(B304="משיכה",-F304-G304,-G304))))))</f>
        <v/>
      </c>
      <c r="I304" s="28">
        <f>IF(B304="קנייה",D304*E304+G304,0)</f>
        <v/>
      </c>
      <c r="J304" s="41">
        <f>IF(B304="מכירה",D304*E304-G304-D304*IFERROR(SUMIFS($I$5:I304,$C$5:C304,C304)/SUMIFS($D$5:D304,$C$5:C304,C304,$B$5:B304,"קנייה"),0),0)</f>
        <v/>
      </c>
      <c r="K304" s="26" t="n"/>
    </row>
    <row r="305">
      <c r="A305" s="39" t="n"/>
      <c r="B305" s="26" t="n"/>
      <c r="C305" s="26" t="n"/>
      <c r="D305" s="40" t="n"/>
      <c r="E305" s="29" t="n"/>
      <c r="F305" s="29" t="n"/>
      <c r="G305" s="29" t="n"/>
      <c r="H305" s="28">
        <f>IF(B305="","",IF(B305="קנייה",-(D305*E305+G305),IF(B305="מכירה",D305*E305-G305,IF(B305="דיבידנד",F305-G305,IF(B305="הפקדה",F305-G305,IF(B305="משיכה",-F305-G305,-G305))))))</f>
        <v/>
      </c>
      <c r="I305" s="28">
        <f>IF(B305="קנייה",D305*E305+G305,0)</f>
        <v/>
      </c>
      <c r="J305" s="41">
        <f>IF(B305="מכירה",D305*E305-G305-D305*IFERROR(SUMIFS($I$5:I305,$C$5:C305,C305)/SUMIFS($D$5:D305,$C$5:C305,C305,$B$5:B305,"קנייה"),0),0)</f>
        <v/>
      </c>
      <c r="K305" s="26" t="n"/>
    </row>
    <row r="306">
      <c r="A306" s="39" t="n"/>
      <c r="B306" s="26" t="n"/>
      <c r="C306" s="26" t="n"/>
      <c r="D306" s="40" t="n"/>
      <c r="E306" s="29" t="n"/>
      <c r="F306" s="29" t="n"/>
      <c r="G306" s="29" t="n"/>
      <c r="H306" s="28">
        <f>IF(B306="","",IF(B306="קנייה",-(D306*E306+G306),IF(B306="מכירה",D306*E306-G306,IF(B306="דיבידנד",F306-G306,IF(B306="הפקדה",F306-G306,IF(B306="משיכה",-F306-G306,-G306))))))</f>
        <v/>
      </c>
      <c r="I306" s="28">
        <f>IF(B306="קנייה",D306*E306+G306,0)</f>
        <v/>
      </c>
      <c r="J306" s="41">
        <f>IF(B306="מכירה",D306*E306-G306-D306*IFERROR(SUMIFS($I$5:I306,$C$5:C306,C306)/SUMIFS($D$5:D306,$C$5:C306,C306,$B$5:B306,"קנייה"),0),0)</f>
        <v/>
      </c>
      <c r="K306" s="26" t="n"/>
    </row>
    <row r="307">
      <c r="A307" s="39" t="n"/>
      <c r="B307" s="26" t="n"/>
      <c r="C307" s="26" t="n"/>
      <c r="D307" s="40" t="n"/>
      <c r="E307" s="29" t="n"/>
      <c r="F307" s="29" t="n"/>
      <c r="G307" s="29" t="n"/>
      <c r="H307" s="28">
        <f>IF(B307="","",IF(B307="קנייה",-(D307*E307+G307),IF(B307="מכירה",D307*E307-G307,IF(B307="דיבידנד",F307-G307,IF(B307="הפקדה",F307-G307,IF(B307="משיכה",-F307-G307,-G307))))))</f>
        <v/>
      </c>
      <c r="I307" s="28">
        <f>IF(B307="קנייה",D307*E307+G307,0)</f>
        <v/>
      </c>
      <c r="J307" s="41">
        <f>IF(B307="מכירה",D307*E307-G307-D307*IFERROR(SUMIFS($I$5:I307,$C$5:C307,C307)/SUMIFS($D$5:D307,$C$5:C307,C307,$B$5:B307,"קנייה"),0),0)</f>
        <v/>
      </c>
      <c r="K307" s="26" t="n"/>
    </row>
    <row r="308">
      <c r="A308" s="39" t="n"/>
      <c r="B308" s="26" t="n"/>
      <c r="C308" s="26" t="n"/>
      <c r="D308" s="40" t="n"/>
      <c r="E308" s="29" t="n"/>
      <c r="F308" s="29" t="n"/>
      <c r="G308" s="29" t="n"/>
      <c r="H308" s="28">
        <f>IF(B308="","",IF(B308="קנייה",-(D308*E308+G308),IF(B308="מכירה",D308*E308-G308,IF(B308="דיבידנד",F308-G308,IF(B308="הפקדה",F308-G308,IF(B308="משיכה",-F308-G308,-G308))))))</f>
        <v/>
      </c>
      <c r="I308" s="28">
        <f>IF(B308="קנייה",D308*E308+G308,0)</f>
        <v/>
      </c>
      <c r="J308" s="41">
        <f>IF(B308="מכירה",D308*E308-G308-D308*IFERROR(SUMIFS($I$5:I308,$C$5:C308,C308)/SUMIFS($D$5:D308,$C$5:C308,C308,$B$5:B308,"קנייה"),0),0)</f>
        <v/>
      </c>
      <c r="K308" s="26" t="n"/>
    </row>
    <row r="309">
      <c r="A309" s="39" t="n"/>
      <c r="B309" s="26" t="n"/>
      <c r="C309" s="26" t="n"/>
      <c r="D309" s="40" t="n"/>
      <c r="E309" s="29" t="n"/>
      <c r="F309" s="29" t="n"/>
      <c r="G309" s="29" t="n"/>
      <c r="H309" s="28">
        <f>IF(B309="","",IF(B309="קנייה",-(D309*E309+G309),IF(B309="מכירה",D309*E309-G309,IF(B309="דיבידנד",F309-G309,IF(B309="הפקדה",F309-G309,IF(B309="משיכה",-F309-G309,-G309))))))</f>
        <v/>
      </c>
      <c r="I309" s="28">
        <f>IF(B309="קנייה",D309*E309+G309,0)</f>
        <v/>
      </c>
      <c r="J309" s="41">
        <f>IF(B309="מכירה",D309*E309-G309-D309*IFERROR(SUMIFS($I$5:I309,$C$5:C309,C309)/SUMIFS($D$5:D309,$C$5:C309,C309,$B$5:B309,"קנייה"),0),0)</f>
        <v/>
      </c>
      <c r="K309" s="26" t="n"/>
    </row>
    <row r="310">
      <c r="A310" s="39" t="n"/>
      <c r="B310" s="26" t="n"/>
      <c r="C310" s="26" t="n"/>
      <c r="D310" s="40" t="n"/>
      <c r="E310" s="29" t="n"/>
      <c r="F310" s="29" t="n"/>
      <c r="G310" s="29" t="n"/>
      <c r="H310" s="28">
        <f>IF(B310="","",IF(B310="קנייה",-(D310*E310+G310),IF(B310="מכירה",D310*E310-G310,IF(B310="דיבידנד",F310-G310,IF(B310="הפקדה",F310-G310,IF(B310="משיכה",-F310-G310,-G310))))))</f>
        <v/>
      </c>
      <c r="I310" s="28">
        <f>IF(B310="קנייה",D310*E310+G310,0)</f>
        <v/>
      </c>
      <c r="J310" s="41">
        <f>IF(B310="מכירה",D310*E310-G310-D310*IFERROR(SUMIFS($I$5:I310,$C$5:C310,C310)/SUMIFS($D$5:D310,$C$5:C310,C310,$B$5:B310,"קנייה"),0),0)</f>
        <v/>
      </c>
      <c r="K310" s="26" t="n"/>
    </row>
    <row r="311">
      <c r="A311" s="39" t="n"/>
      <c r="B311" s="26" t="n"/>
      <c r="C311" s="26" t="n"/>
      <c r="D311" s="40" t="n"/>
      <c r="E311" s="29" t="n"/>
      <c r="F311" s="29" t="n"/>
      <c r="G311" s="29" t="n"/>
      <c r="H311" s="28">
        <f>IF(B311="","",IF(B311="קנייה",-(D311*E311+G311),IF(B311="מכירה",D311*E311-G311,IF(B311="דיבידנד",F311-G311,IF(B311="הפקדה",F311-G311,IF(B311="משיכה",-F311-G311,-G311))))))</f>
        <v/>
      </c>
      <c r="I311" s="28">
        <f>IF(B311="קנייה",D311*E311+G311,0)</f>
        <v/>
      </c>
      <c r="J311" s="41">
        <f>IF(B311="מכירה",D311*E311-G311-D311*IFERROR(SUMIFS($I$5:I311,$C$5:C311,C311)/SUMIFS($D$5:D311,$C$5:C311,C311,$B$5:B311,"קנייה"),0),0)</f>
        <v/>
      </c>
      <c r="K311" s="26" t="n"/>
    </row>
    <row r="312">
      <c r="A312" s="39" t="n"/>
      <c r="B312" s="26" t="n"/>
      <c r="C312" s="26" t="n"/>
      <c r="D312" s="40" t="n"/>
      <c r="E312" s="29" t="n"/>
      <c r="F312" s="29" t="n"/>
      <c r="G312" s="29" t="n"/>
      <c r="H312" s="28">
        <f>IF(B312="","",IF(B312="קנייה",-(D312*E312+G312),IF(B312="מכירה",D312*E312-G312,IF(B312="דיבידנד",F312-G312,IF(B312="הפקדה",F312-G312,IF(B312="משיכה",-F312-G312,-G312))))))</f>
        <v/>
      </c>
      <c r="I312" s="28">
        <f>IF(B312="קנייה",D312*E312+G312,0)</f>
        <v/>
      </c>
      <c r="J312" s="41">
        <f>IF(B312="מכירה",D312*E312-G312-D312*IFERROR(SUMIFS($I$5:I312,$C$5:C312,C312)/SUMIFS($D$5:D312,$C$5:C312,C312,$B$5:B312,"קנייה"),0),0)</f>
        <v/>
      </c>
      <c r="K312" s="26" t="n"/>
    </row>
    <row r="313">
      <c r="A313" s="39" t="n"/>
      <c r="B313" s="26" t="n"/>
      <c r="C313" s="26" t="n"/>
      <c r="D313" s="40" t="n"/>
      <c r="E313" s="29" t="n"/>
      <c r="F313" s="29" t="n"/>
      <c r="G313" s="29" t="n"/>
      <c r="H313" s="28">
        <f>IF(B313="","",IF(B313="קנייה",-(D313*E313+G313),IF(B313="מכירה",D313*E313-G313,IF(B313="דיבידנד",F313-G313,IF(B313="הפקדה",F313-G313,IF(B313="משיכה",-F313-G313,-G313))))))</f>
        <v/>
      </c>
      <c r="I313" s="28">
        <f>IF(B313="קנייה",D313*E313+G313,0)</f>
        <v/>
      </c>
      <c r="J313" s="41">
        <f>IF(B313="מכירה",D313*E313-G313-D313*IFERROR(SUMIFS($I$5:I313,$C$5:C313,C313)/SUMIFS($D$5:D313,$C$5:C313,C313,$B$5:B313,"קנייה"),0),0)</f>
        <v/>
      </c>
      <c r="K313" s="26" t="n"/>
    </row>
    <row r="314">
      <c r="A314" s="39" t="n"/>
      <c r="B314" s="26" t="n"/>
      <c r="C314" s="26" t="n"/>
      <c r="D314" s="40" t="n"/>
      <c r="E314" s="29" t="n"/>
      <c r="F314" s="29" t="n"/>
      <c r="G314" s="29" t="n"/>
      <c r="H314" s="28">
        <f>IF(B314="","",IF(B314="קנייה",-(D314*E314+G314),IF(B314="מכירה",D314*E314-G314,IF(B314="דיבידנד",F314-G314,IF(B314="הפקדה",F314-G314,IF(B314="משיכה",-F314-G314,-G314))))))</f>
        <v/>
      </c>
      <c r="I314" s="28">
        <f>IF(B314="קנייה",D314*E314+G314,0)</f>
        <v/>
      </c>
      <c r="J314" s="41">
        <f>IF(B314="מכירה",D314*E314-G314-D314*IFERROR(SUMIFS($I$5:I314,$C$5:C314,C314)/SUMIFS($D$5:D314,$C$5:C314,C314,$B$5:B314,"קנייה"),0),0)</f>
        <v/>
      </c>
      <c r="K314" s="26" t="n"/>
    </row>
    <row r="315">
      <c r="A315" s="39" t="n"/>
      <c r="B315" s="26" t="n"/>
      <c r="C315" s="26" t="n"/>
      <c r="D315" s="40" t="n"/>
      <c r="E315" s="29" t="n"/>
      <c r="F315" s="29" t="n"/>
      <c r="G315" s="29" t="n"/>
      <c r="H315" s="28">
        <f>IF(B315="","",IF(B315="קנייה",-(D315*E315+G315),IF(B315="מכירה",D315*E315-G315,IF(B315="דיבידנד",F315-G315,IF(B315="הפקדה",F315-G315,IF(B315="משיכה",-F315-G315,-G315))))))</f>
        <v/>
      </c>
      <c r="I315" s="28">
        <f>IF(B315="קנייה",D315*E315+G315,0)</f>
        <v/>
      </c>
      <c r="J315" s="41">
        <f>IF(B315="מכירה",D315*E315-G315-D315*IFERROR(SUMIFS($I$5:I315,$C$5:C315,C315)/SUMIFS($D$5:D315,$C$5:C315,C315,$B$5:B315,"קנייה"),0),0)</f>
        <v/>
      </c>
      <c r="K315" s="26" t="n"/>
    </row>
    <row r="316">
      <c r="A316" s="39" t="n"/>
      <c r="B316" s="26" t="n"/>
      <c r="C316" s="26" t="n"/>
      <c r="D316" s="40" t="n"/>
      <c r="E316" s="29" t="n"/>
      <c r="F316" s="29" t="n"/>
      <c r="G316" s="29" t="n"/>
      <c r="H316" s="28">
        <f>IF(B316="","",IF(B316="קנייה",-(D316*E316+G316),IF(B316="מכירה",D316*E316-G316,IF(B316="דיבידנד",F316-G316,IF(B316="הפקדה",F316-G316,IF(B316="משיכה",-F316-G316,-G316))))))</f>
        <v/>
      </c>
      <c r="I316" s="28">
        <f>IF(B316="קנייה",D316*E316+G316,0)</f>
        <v/>
      </c>
      <c r="J316" s="41">
        <f>IF(B316="מכירה",D316*E316-G316-D316*IFERROR(SUMIFS($I$5:I316,$C$5:C316,C316)/SUMIFS($D$5:D316,$C$5:C316,C316,$B$5:B316,"קנייה"),0),0)</f>
        <v/>
      </c>
      <c r="K316" s="26" t="n"/>
    </row>
    <row r="317">
      <c r="A317" s="39" t="n"/>
      <c r="B317" s="26" t="n"/>
      <c r="C317" s="26" t="n"/>
      <c r="D317" s="40" t="n"/>
      <c r="E317" s="29" t="n"/>
      <c r="F317" s="29" t="n"/>
      <c r="G317" s="29" t="n"/>
      <c r="H317" s="28">
        <f>IF(B317="","",IF(B317="קנייה",-(D317*E317+G317),IF(B317="מכירה",D317*E317-G317,IF(B317="דיבידנד",F317-G317,IF(B317="הפקדה",F317-G317,IF(B317="משיכה",-F317-G317,-G317))))))</f>
        <v/>
      </c>
      <c r="I317" s="28">
        <f>IF(B317="קנייה",D317*E317+G317,0)</f>
        <v/>
      </c>
      <c r="J317" s="41">
        <f>IF(B317="מכירה",D317*E317-G317-D317*IFERROR(SUMIFS($I$5:I317,$C$5:C317,C317)/SUMIFS($D$5:D317,$C$5:C317,C317,$B$5:B317,"קנייה"),0),0)</f>
        <v/>
      </c>
      <c r="K317" s="26" t="n"/>
    </row>
    <row r="318">
      <c r="A318" s="39" t="n"/>
      <c r="B318" s="26" t="n"/>
      <c r="C318" s="26" t="n"/>
      <c r="D318" s="40" t="n"/>
      <c r="E318" s="29" t="n"/>
      <c r="F318" s="29" t="n"/>
      <c r="G318" s="29" t="n"/>
      <c r="H318" s="28">
        <f>IF(B318="","",IF(B318="קנייה",-(D318*E318+G318),IF(B318="מכירה",D318*E318-G318,IF(B318="דיבידנד",F318-G318,IF(B318="הפקדה",F318-G318,IF(B318="משיכה",-F318-G318,-G318))))))</f>
        <v/>
      </c>
      <c r="I318" s="28">
        <f>IF(B318="קנייה",D318*E318+G318,0)</f>
        <v/>
      </c>
      <c r="J318" s="41">
        <f>IF(B318="מכירה",D318*E318-G318-D318*IFERROR(SUMIFS($I$5:I318,$C$5:C318,C318)/SUMIFS($D$5:D318,$C$5:C318,C318,$B$5:B318,"קנייה"),0),0)</f>
        <v/>
      </c>
      <c r="K318" s="26" t="n"/>
    </row>
    <row r="319">
      <c r="A319" s="39" t="n"/>
      <c r="B319" s="26" t="n"/>
      <c r="C319" s="26" t="n"/>
      <c r="D319" s="40" t="n"/>
      <c r="E319" s="29" t="n"/>
      <c r="F319" s="29" t="n"/>
      <c r="G319" s="29" t="n"/>
      <c r="H319" s="28">
        <f>IF(B319="","",IF(B319="קנייה",-(D319*E319+G319),IF(B319="מכירה",D319*E319-G319,IF(B319="דיבידנד",F319-G319,IF(B319="הפקדה",F319-G319,IF(B319="משיכה",-F319-G319,-G319))))))</f>
        <v/>
      </c>
      <c r="I319" s="28">
        <f>IF(B319="קנייה",D319*E319+G319,0)</f>
        <v/>
      </c>
      <c r="J319" s="41">
        <f>IF(B319="מכירה",D319*E319-G319-D319*IFERROR(SUMIFS($I$5:I319,$C$5:C319,C319)/SUMIFS($D$5:D319,$C$5:C319,C319,$B$5:B319,"קנייה"),0),0)</f>
        <v/>
      </c>
      <c r="K319" s="26" t="n"/>
    </row>
    <row r="320">
      <c r="A320" s="39" t="n"/>
      <c r="B320" s="26" t="n"/>
      <c r="C320" s="26" t="n"/>
      <c r="D320" s="40" t="n"/>
      <c r="E320" s="29" t="n"/>
      <c r="F320" s="29" t="n"/>
      <c r="G320" s="29" t="n"/>
      <c r="H320" s="28">
        <f>IF(B320="","",IF(B320="קנייה",-(D320*E320+G320),IF(B320="מכירה",D320*E320-G320,IF(B320="דיבידנד",F320-G320,IF(B320="הפקדה",F320-G320,IF(B320="משיכה",-F320-G320,-G320))))))</f>
        <v/>
      </c>
      <c r="I320" s="28">
        <f>IF(B320="קנייה",D320*E320+G320,0)</f>
        <v/>
      </c>
      <c r="J320" s="41">
        <f>IF(B320="מכירה",D320*E320-G320-D320*IFERROR(SUMIFS($I$5:I320,$C$5:C320,C320)/SUMIFS($D$5:D320,$C$5:C320,C320,$B$5:B320,"קנייה"),0),0)</f>
        <v/>
      </c>
      <c r="K320" s="26" t="n"/>
    </row>
    <row r="321">
      <c r="A321" s="39" t="n"/>
      <c r="B321" s="26" t="n"/>
      <c r="C321" s="26" t="n"/>
      <c r="D321" s="40" t="n"/>
      <c r="E321" s="29" t="n"/>
      <c r="F321" s="29" t="n"/>
      <c r="G321" s="29" t="n"/>
      <c r="H321" s="28">
        <f>IF(B321="","",IF(B321="קנייה",-(D321*E321+G321),IF(B321="מכירה",D321*E321-G321,IF(B321="דיבידנד",F321-G321,IF(B321="הפקדה",F321-G321,IF(B321="משיכה",-F321-G321,-G321))))))</f>
        <v/>
      </c>
      <c r="I321" s="28">
        <f>IF(B321="קנייה",D321*E321+G321,0)</f>
        <v/>
      </c>
      <c r="J321" s="41">
        <f>IF(B321="מכירה",D321*E321-G321-D321*IFERROR(SUMIFS($I$5:I321,$C$5:C321,C321)/SUMIFS($D$5:D321,$C$5:C321,C321,$B$5:B321,"קנייה"),0),0)</f>
        <v/>
      </c>
      <c r="K321" s="26" t="n"/>
    </row>
    <row r="322">
      <c r="A322" s="39" t="n"/>
      <c r="B322" s="26" t="n"/>
      <c r="C322" s="26" t="n"/>
      <c r="D322" s="40" t="n"/>
      <c r="E322" s="29" t="n"/>
      <c r="F322" s="29" t="n"/>
      <c r="G322" s="29" t="n"/>
      <c r="H322" s="28">
        <f>IF(B322="","",IF(B322="קנייה",-(D322*E322+G322),IF(B322="מכירה",D322*E322-G322,IF(B322="דיבידנד",F322-G322,IF(B322="הפקדה",F322-G322,IF(B322="משיכה",-F322-G322,-G322))))))</f>
        <v/>
      </c>
      <c r="I322" s="28">
        <f>IF(B322="קנייה",D322*E322+G322,0)</f>
        <v/>
      </c>
      <c r="J322" s="41">
        <f>IF(B322="מכירה",D322*E322-G322-D322*IFERROR(SUMIFS($I$5:I322,$C$5:C322,C322)/SUMIFS($D$5:D322,$C$5:C322,C322,$B$5:B322,"קנייה"),0),0)</f>
        <v/>
      </c>
      <c r="K322" s="26" t="n"/>
    </row>
    <row r="323">
      <c r="A323" s="39" t="n"/>
      <c r="B323" s="26" t="n"/>
      <c r="C323" s="26" t="n"/>
      <c r="D323" s="40" t="n"/>
      <c r="E323" s="29" t="n"/>
      <c r="F323" s="29" t="n"/>
      <c r="G323" s="29" t="n"/>
      <c r="H323" s="28">
        <f>IF(B323="","",IF(B323="קנייה",-(D323*E323+G323),IF(B323="מכירה",D323*E323-G323,IF(B323="דיבידנד",F323-G323,IF(B323="הפקדה",F323-G323,IF(B323="משיכה",-F323-G323,-G323))))))</f>
        <v/>
      </c>
      <c r="I323" s="28">
        <f>IF(B323="קנייה",D323*E323+G323,0)</f>
        <v/>
      </c>
      <c r="J323" s="41">
        <f>IF(B323="מכירה",D323*E323-G323-D323*IFERROR(SUMIFS($I$5:I323,$C$5:C323,C323)/SUMIFS($D$5:D323,$C$5:C323,C323,$B$5:B323,"קנייה"),0),0)</f>
        <v/>
      </c>
      <c r="K323" s="26" t="n"/>
    </row>
    <row r="324">
      <c r="A324" s="39" t="n"/>
      <c r="B324" s="26" t="n"/>
      <c r="C324" s="26" t="n"/>
      <c r="D324" s="40" t="n"/>
      <c r="E324" s="29" t="n"/>
      <c r="F324" s="29" t="n"/>
      <c r="G324" s="29" t="n"/>
      <c r="H324" s="28">
        <f>IF(B324="","",IF(B324="קנייה",-(D324*E324+G324),IF(B324="מכירה",D324*E324-G324,IF(B324="דיבידנד",F324-G324,IF(B324="הפקדה",F324-G324,IF(B324="משיכה",-F324-G324,-G324))))))</f>
        <v/>
      </c>
      <c r="I324" s="28">
        <f>IF(B324="קנייה",D324*E324+G324,0)</f>
        <v/>
      </c>
      <c r="J324" s="41">
        <f>IF(B324="מכירה",D324*E324-G324-D324*IFERROR(SUMIFS($I$5:I324,$C$5:C324,C324)/SUMIFS($D$5:D324,$C$5:C324,C324,$B$5:B324,"קנייה"),0),0)</f>
        <v/>
      </c>
      <c r="K324" s="26" t="n"/>
    </row>
    <row r="325">
      <c r="A325" s="39" t="n"/>
      <c r="B325" s="26" t="n"/>
      <c r="C325" s="26" t="n"/>
      <c r="D325" s="40" t="n"/>
      <c r="E325" s="29" t="n"/>
      <c r="F325" s="29" t="n"/>
      <c r="G325" s="29" t="n"/>
      <c r="H325" s="28">
        <f>IF(B325="","",IF(B325="קנייה",-(D325*E325+G325),IF(B325="מכירה",D325*E325-G325,IF(B325="דיבידנד",F325-G325,IF(B325="הפקדה",F325-G325,IF(B325="משיכה",-F325-G325,-G325))))))</f>
        <v/>
      </c>
      <c r="I325" s="28">
        <f>IF(B325="קנייה",D325*E325+G325,0)</f>
        <v/>
      </c>
      <c r="J325" s="41">
        <f>IF(B325="מכירה",D325*E325-G325-D325*IFERROR(SUMIFS($I$5:I325,$C$5:C325,C325)/SUMIFS($D$5:D325,$C$5:C325,C325,$B$5:B325,"קנייה"),0),0)</f>
        <v/>
      </c>
      <c r="K325" s="26" t="n"/>
    </row>
    <row r="326">
      <c r="A326" s="39" t="n"/>
      <c r="B326" s="26" t="n"/>
      <c r="C326" s="26" t="n"/>
      <c r="D326" s="40" t="n"/>
      <c r="E326" s="29" t="n"/>
      <c r="F326" s="29" t="n"/>
      <c r="G326" s="29" t="n"/>
      <c r="H326" s="28">
        <f>IF(B326="","",IF(B326="קנייה",-(D326*E326+G326),IF(B326="מכירה",D326*E326-G326,IF(B326="דיבידנד",F326-G326,IF(B326="הפקדה",F326-G326,IF(B326="משיכה",-F326-G326,-G326))))))</f>
        <v/>
      </c>
      <c r="I326" s="28">
        <f>IF(B326="קנייה",D326*E326+G326,0)</f>
        <v/>
      </c>
      <c r="J326" s="41">
        <f>IF(B326="מכירה",D326*E326-G326-D326*IFERROR(SUMIFS($I$5:I326,$C$5:C326,C326)/SUMIFS($D$5:D326,$C$5:C326,C326,$B$5:B326,"קנייה"),0),0)</f>
        <v/>
      </c>
      <c r="K326" s="26" t="n"/>
    </row>
    <row r="327">
      <c r="A327" s="39" t="n"/>
      <c r="B327" s="26" t="n"/>
      <c r="C327" s="26" t="n"/>
      <c r="D327" s="40" t="n"/>
      <c r="E327" s="29" t="n"/>
      <c r="F327" s="29" t="n"/>
      <c r="G327" s="29" t="n"/>
      <c r="H327" s="28">
        <f>IF(B327="","",IF(B327="קנייה",-(D327*E327+G327),IF(B327="מכירה",D327*E327-G327,IF(B327="דיבידנד",F327-G327,IF(B327="הפקדה",F327-G327,IF(B327="משיכה",-F327-G327,-G327))))))</f>
        <v/>
      </c>
      <c r="I327" s="28">
        <f>IF(B327="קנייה",D327*E327+G327,0)</f>
        <v/>
      </c>
      <c r="J327" s="41">
        <f>IF(B327="מכירה",D327*E327-G327-D327*IFERROR(SUMIFS($I$5:I327,$C$5:C327,C327)/SUMIFS($D$5:D327,$C$5:C327,C327,$B$5:B327,"קנייה"),0),0)</f>
        <v/>
      </c>
      <c r="K327" s="26" t="n"/>
    </row>
    <row r="328">
      <c r="A328" s="39" t="n"/>
      <c r="B328" s="26" t="n"/>
      <c r="C328" s="26" t="n"/>
      <c r="D328" s="40" t="n"/>
      <c r="E328" s="29" t="n"/>
      <c r="F328" s="29" t="n"/>
      <c r="G328" s="29" t="n"/>
      <c r="H328" s="28">
        <f>IF(B328="","",IF(B328="קנייה",-(D328*E328+G328),IF(B328="מכירה",D328*E328-G328,IF(B328="דיבידנד",F328-G328,IF(B328="הפקדה",F328-G328,IF(B328="משיכה",-F328-G328,-G328))))))</f>
        <v/>
      </c>
      <c r="I328" s="28">
        <f>IF(B328="קנייה",D328*E328+G328,0)</f>
        <v/>
      </c>
      <c r="J328" s="41">
        <f>IF(B328="מכירה",D328*E328-G328-D328*IFERROR(SUMIFS($I$5:I328,$C$5:C328,C328)/SUMIFS($D$5:D328,$C$5:C328,C328,$B$5:B328,"קנייה"),0),0)</f>
        <v/>
      </c>
      <c r="K328" s="26" t="n"/>
    </row>
    <row r="329">
      <c r="A329" s="39" t="n"/>
      <c r="B329" s="26" t="n"/>
      <c r="C329" s="26" t="n"/>
      <c r="D329" s="40" t="n"/>
      <c r="E329" s="29" t="n"/>
      <c r="F329" s="29" t="n"/>
      <c r="G329" s="29" t="n"/>
      <c r="H329" s="28">
        <f>IF(B329="","",IF(B329="קנייה",-(D329*E329+G329),IF(B329="מכירה",D329*E329-G329,IF(B329="דיבידנד",F329-G329,IF(B329="הפקדה",F329-G329,IF(B329="משיכה",-F329-G329,-G329))))))</f>
        <v/>
      </c>
      <c r="I329" s="28">
        <f>IF(B329="קנייה",D329*E329+G329,0)</f>
        <v/>
      </c>
      <c r="J329" s="41">
        <f>IF(B329="מכירה",D329*E329-G329-D329*IFERROR(SUMIFS($I$5:I329,$C$5:C329,C329)/SUMIFS($D$5:D329,$C$5:C329,C329,$B$5:B329,"קנייה"),0),0)</f>
        <v/>
      </c>
      <c r="K329" s="26" t="n"/>
    </row>
    <row r="330">
      <c r="A330" s="39" t="n"/>
      <c r="B330" s="26" t="n"/>
      <c r="C330" s="26" t="n"/>
      <c r="D330" s="40" t="n"/>
      <c r="E330" s="29" t="n"/>
      <c r="F330" s="29" t="n"/>
      <c r="G330" s="29" t="n"/>
      <c r="H330" s="28">
        <f>IF(B330="","",IF(B330="קנייה",-(D330*E330+G330),IF(B330="מכירה",D330*E330-G330,IF(B330="דיבידנד",F330-G330,IF(B330="הפקדה",F330-G330,IF(B330="משיכה",-F330-G330,-G330))))))</f>
        <v/>
      </c>
      <c r="I330" s="28">
        <f>IF(B330="קנייה",D330*E330+G330,0)</f>
        <v/>
      </c>
      <c r="J330" s="41">
        <f>IF(B330="מכירה",D330*E330-G330-D330*IFERROR(SUMIFS($I$5:I330,$C$5:C330,C330)/SUMIFS($D$5:D330,$C$5:C330,C330,$B$5:B330,"קנייה"),0),0)</f>
        <v/>
      </c>
      <c r="K330" s="26" t="n"/>
    </row>
    <row r="331">
      <c r="A331" s="39" t="n"/>
      <c r="B331" s="26" t="n"/>
      <c r="C331" s="26" t="n"/>
      <c r="D331" s="40" t="n"/>
      <c r="E331" s="29" t="n"/>
      <c r="F331" s="29" t="n"/>
      <c r="G331" s="29" t="n"/>
      <c r="H331" s="28">
        <f>IF(B331="","",IF(B331="קנייה",-(D331*E331+G331),IF(B331="מכירה",D331*E331-G331,IF(B331="דיבידנד",F331-G331,IF(B331="הפקדה",F331-G331,IF(B331="משיכה",-F331-G331,-G331))))))</f>
        <v/>
      </c>
      <c r="I331" s="28">
        <f>IF(B331="קנייה",D331*E331+G331,0)</f>
        <v/>
      </c>
      <c r="J331" s="41">
        <f>IF(B331="מכירה",D331*E331-G331-D331*IFERROR(SUMIFS($I$5:I331,$C$5:C331,C331)/SUMIFS($D$5:D331,$C$5:C331,C331,$B$5:B331,"קנייה"),0),0)</f>
        <v/>
      </c>
      <c r="K331" s="26" t="n"/>
    </row>
    <row r="332">
      <c r="A332" s="39" t="n"/>
      <c r="B332" s="26" t="n"/>
      <c r="C332" s="26" t="n"/>
      <c r="D332" s="40" t="n"/>
      <c r="E332" s="29" t="n"/>
      <c r="F332" s="29" t="n"/>
      <c r="G332" s="29" t="n"/>
      <c r="H332" s="28">
        <f>IF(B332="","",IF(B332="קנייה",-(D332*E332+G332),IF(B332="מכירה",D332*E332-G332,IF(B332="דיבידנד",F332-G332,IF(B332="הפקדה",F332-G332,IF(B332="משיכה",-F332-G332,-G332))))))</f>
        <v/>
      </c>
      <c r="I332" s="28">
        <f>IF(B332="קנייה",D332*E332+G332,0)</f>
        <v/>
      </c>
      <c r="J332" s="41">
        <f>IF(B332="מכירה",D332*E332-G332-D332*IFERROR(SUMIFS($I$5:I332,$C$5:C332,C332)/SUMIFS($D$5:D332,$C$5:C332,C332,$B$5:B332,"קנייה"),0),0)</f>
        <v/>
      </c>
      <c r="K332" s="26" t="n"/>
    </row>
    <row r="333">
      <c r="A333" s="39" t="n"/>
      <c r="B333" s="26" t="n"/>
      <c r="C333" s="26" t="n"/>
      <c r="D333" s="40" t="n"/>
      <c r="E333" s="29" t="n"/>
      <c r="F333" s="29" t="n"/>
      <c r="G333" s="29" t="n"/>
      <c r="H333" s="28">
        <f>IF(B333="","",IF(B333="קנייה",-(D333*E333+G333),IF(B333="מכירה",D333*E333-G333,IF(B333="דיבידנד",F333-G333,IF(B333="הפקדה",F333-G333,IF(B333="משיכה",-F333-G333,-G333))))))</f>
        <v/>
      </c>
      <c r="I333" s="28">
        <f>IF(B333="קנייה",D333*E333+G333,0)</f>
        <v/>
      </c>
      <c r="J333" s="41">
        <f>IF(B333="מכירה",D333*E333-G333-D333*IFERROR(SUMIFS($I$5:I333,$C$5:C333,C333)/SUMIFS($D$5:D333,$C$5:C333,C333,$B$5:B333,"קנייה"),0),0)</f>
        <v/>
      </c>
      <c r="K333" s="26" t="n"/>
    </row>
    <row r="334">
      <c r="A334" s="39" t="n"/>
      <c r="B334" s="26" t="n"/>
      <c r="C334" s="26" t="n"/>
      <c r="D334" s="40" t="n"/>
      <c r="E334" s="29" t="n"/>
      <c r="F334" s="29" t="n"/>
      <c r="G334" s="29" t="n"/>
      <c r="H334" s="28">
        <f>IF(B334="","",IF(B334="קנייה",-(D334*E334+G334),IF(B334="מכירה",D334*E334-G334,IF(B334="דיבידנד",F334-G334,IF(B334="הפקדה",F334-G334,IF(B334="משיכה",-F334-G334,-G334))))))</f>
        <v/>
      </c>
      <c r="I334" s="28">
        <f>IF(B334="קנייה",D334*E334+G334,0)</f>
        <v/>
      </c>
      <c r="J334" s="41">
        <f>IF(B334="מכירה",D334*E334-G334-D334*IFERROR(SUMIFS($I$5:I334,$C$5:C334,C334)/SUMIFS($D$5:D334,$C$5:C334,C334,$B$5:B334,"קנייה"),0),0)</f>
        <v/>
      </c>
      <c r="K334" s="26" t="n"/>
    </row>
    <row r="335">
      <c r="A335" s="39" t="n"/>
      <c r="B335" s="26" t="n"/>
      <c r="C335" s="26" t="n"/>
      <c r="D335" s="40" t="n"/>
      <c r="E335" s="29" t="n"/>
      <c r="F335" s="29" t="n"/>
      <c r="G335" s="29" t="n"/>
      <c r="H335" s="28">
        <f>IF(B335="","",IF(B335="קנייה",-(D335*E335+G335),IF(B335="מכירה",D335*E335-G335,IF(B335="דיבידנד",F335-G335,IF(B335="הפקדה",F335-G335,IF(B335="משיכה",-F335-G335,-G335))))))</f>
        <v/>
      </c>
      <c r="I335" s="28">
        <f>IF(B335="קנייה",D335*E335+G335,0)</f>
        <v/>
      </c>
      <c r="J335" s="41">
        <f>IF(B335="מכירה",D335*E335-G335-D335*IFERROR(SUMIFS($I$5:I335,$C$5:C335,C335)/SUMIFS($D$5:D335,$C$5:C335,C335,$B$5:B335,"קנייה"),0),0)</f>
        <v/>
      </c>
      <c r="K335" s="26" t="n"/>
    </row>
    <row r="336">
      <c r="A336" s="39" t="n"/>
      <c r="B336" s="26" t="n"/>
      <c r="C336" s="26" t="n"/>
      <c r="D336" s="40" t="n"/>
      <c r="E336" s="29" t="n"/>
      <c r="F336" s="29" t="n"/>
      <c r="G336" s="29" t="n"/>
      <c r="H336" s="28">
        <f>IF(B336="","",IF(B336="קנייה",-(D336*E336+G336),IF(B336="מכירה",D336*E336-G336,IF(B336="דיבידנד",F336-G336,IF(B336="הפקדה",F336-G336,IF(B336="משיכה",-F336-G336,-G336))))))</f>
        <v/>
      </c>
      <c r="I336" s="28">
        <f>IF(B336="קנייה",D336*E336+G336,0)</f>
        <v/>
      </c>
      <c r="J336" s="41">
        <f>IF(B336="מכירה",D336*E336-G336-D336*IFERROR(SUMIFS($I$5:I336,$C$5:C336,C336)/SUMIFS($D$5:D336,$C$5:C336,C336,$B$5:B336,"קנייה"),0),0)</f>
        <v/>
      </c>
      <c r="K336" s="26" t="n"/>
    </row>
    <row r="337">
      <c r="A337" s="39" t="n"/>
      <c r="B337" s="26" t="n"/>
      <c r="C337" s="26" t="n"/>
      <c r="D337" s="40" t="n"/>
      <c r="E337" s="29" t="n"/>
      <c r="F337" s="29" t="n"/>
      <c r="G337" s="29" t="n"/>
      <c r="H337" s="28">
        <f>IF(B337="","",IF(B337="קנייה",-(D337*E337+G337),IF(B337="מכירה",D337*E337-G337,IF(B337="דיבידנד",F337-G337,IF(B337="הפקדה",F337-G337,IF(B337="משיכה",-F337-G337,-G337))))))</f>
        <v/>
      </c>
      <c r="I337" s="28">
        <f>IF(B337="קנייה",D337*E337+G337,0)</f>
        <v/>
      </c>
      <c r="J337" s="41">
        <f>IF(B337="מכירה",D337*E337-G337-D337*IFERROR(SUMIFS($I$5:I337,$C$5:C337,C337)/SUMIFS($D$5:D337,$C$5:C337,C337,$B$5:B337,"קנייה"),0),0)</f>
        <v/>
      </c>
      <c r="K337" s="26" t="n"/>
    </row>
    <row r="338">
      <c r="A338" s="39" t="n"/>
      <c r="B338" s="26" t="n"/>
      <c r="C338" s="26" t="n"/>
      <c r="D338" s="40" t="n"/>
      <c r="E338" s="29" t="n"/>
      <c r="F338" s="29" t="n"/>
      <c r="G338" s="29" t="n"/>
      <c r="H338" s="28">
        <f>IF(B338="","",IF(B338="קנייה",-(D338*E338+G338),IF(B338="מכירה",D338*E338-G338,IF(B338="דיבידנד",F338-G338,IF(B338="הפקדה",F338-G338,IF(B338="משיכה",-F338-G338,-G338))))))</f>
        <v/>
      </c>
      <c r="I338" s="28">
        <f>IF(B338="קנייה",D338*E338+G338,0)</f>
        <v/>
      </c>
      <c r="J338" s="41">
        <f>IF(B338="מכירה",D338*E338-G338-D338*IFERROR(SUMIFS($I$5:I338,$C$5:C338,C338)/SUMIFS($D$5:D338,$C$5:C338,C338,$B$5:B338,"קנייה"),0),0)</f>
        <v/>
      </c>
      <c r="K338" s="26" t="n"/>
    </row>
    <row r="339">
      <c r="A339" s="39" t="n"/>
      <c r="B339" s="26" t="n"/>
      <c r="C339" s="26" t="n"/>
      <c r="D339" s="40" t="n"/>
      <c r="E339" s="29" t="n"/>
      <c r="F339" s="29" t="n"/>
      <c r="G339" s="29" t="n"/>
      <c r="H339" s="28">
        <f>IF(B339="","",IF(B339="קנייה",-(D339*E339+G339),IF(B339="מכירה",D339*E339-G339,IF(B339="דיבידנד",F339-G339,IF(B339="הפקדה",F339-G339,IF(B339="משיכה",-F339-G339,-G339))))))</f>
        <v/>
      </c>
      <c r="I339" s="28">
        <f>IF(B339="קנייה",D339*E339+G339,0)</f>
        <v/>
      </c>
      <c r="J339" s="41">
        <f>IF(B339="מכירה",D339*E339-G339-D339*IFERROR(SUMIFS($I$5:I339,$C$5:C339,C339)/SUMIFS($D$5:D339,$C$5:C339,C339,$B$5:B339,"קנייה"),0),0)</f>
        <v/>
      </c>
      <c r="K339" s="26" t="n"/>
    </row>
    <row r="340">
      <c r="A340" s="39" t="n"/>
      <c r="B340" s="26" t="n"/>
      <c r="C340" s="26" t="n"/>
      <c r="D340" s="40" t="n"/>
      <c r="E340" s="29" t="n"/>
      <c r="F340" s="29" t="n"/>
      <c r="G340" s="29" t="n"/>
      <c r="H340" s="28">
        <f>IF(B340="","",IF(B340="קנייה",-(D340*E340+G340),IF(B340="מכירה",D340*E340-G340,IF(B340="דיבידנד",F340-G340,IF(B340="הפקדה",F340-G340,IF(B340="משיכה",-F340-G340,-G340))))))</f>
        <v/>
      </c>
      <c r="I340" s="28">
        <f>IF(B340="קנייה",D340*E340+G340,0)</f>
        <v/>
      </c>
      <c r="J340" s="41">
        <f>IF(B340="מכירה",D340*E340-G340-D340*IFERROR(SUMIFS($I$5:I340,$C$5:C340,C340)/SUMIFS($D$5:D340,$C$5:C340,C340,$B$5:B340,"קנייה"),0),0)</f>
        <v/>
      </c>
      <c r="K340" s="26" t="n"/>
    </row>
    <row r="341">
      <c r="A341" s="39" t="n"/>
      <c r="B341" s="26" t="n"/>
      <c r="C341" s="26" t="n"/>
      <c r="D341" s="40" t="n"/>
      <c r="E341" s="29" t="n"/>
      <c r="F341" s="29" t="n"/>
      <c r="G341" s="29" t="n"/>
      <c r="H341" s="28">
        <f>IF(B341="","",IF(B341="קנייה",-(D341*E341+G341),IF(B341="מכירה",D341*E341-G341,IF(B341="דיבידנד",F341-G341,IF(B341="הפקדה",F341-G341,IF(B341="משיכה",-F341-G341,-G341))))))</f>
        <v/>
      </c>
      <c r="I341" s="28">
        <f>IF(B341="קנייה",D341*E341+G341,0)</f>
        <v/>
      </c>
      <c r="J341" s="41">
        <f>IF(B341="מכירה",D341*E341-G341-D341*IFERROR(SUMIFS($I$5:I341,$C$5:C341,C341)/SUMIFS($D$5:D341,$C$5:C341,C341,$B$5:B341,"קנייה"),0),0)</f>
        <v/>
      </c>
      <c r="K341" s="26" t="n"/>
    </row>
    <row r="342">
      <c r="A342" s="39" t="n"/>
      <c r="B342" s="26" t="n"/>
      <c r="C342" s="26" t="n"/>
      <c r="D342" s="40" t="n"/>
      <c r="E342" s="29" t="n"/>
      <c r="F342" s="29" t="n"/>
      <c r="G342" s="29" t="n"/>
      <c r="H342" s="28">
        <f>IF(B342="","",IF(B342="קנייה",-(D342*E342+G342),IF(B342="מכירה",D342*E342-G342,IF(B342="דיבידנד",F342-G342,IF(B342="הפקדה",F342-G342,IF(B342="משיכה",-F342-G342,-G342))))))</f>
        <v/>
      </c>
      <c r="I342" s="28">
        <f>IF(B342="קנייה",D342*E342+G342,0)</f>
        <v/>
      </c>
      <c r="J342" s="41">
        <f>IF(B342="מכירה",D342*E342-G342-D342*IFERROR(SUMIFS($I$5:I342,$C$5:C342,C342)/SUMIFS($D$5:D342,$C$5:C342,C342,$B$5:B342,"קנייה"),0),0)</f>
        <v/>
      </c>
      <c r="K342" s="26" t="n"/>
    </row>
    <row r="343">
      <c r="A343" s="39" t="n"/>
      <c r="B343" s="26" t="n"/>
      <c r="C343" s="26" t="n"/>
      <c r="D343" s="40" t="n"/>
      <c r="E343" s="29" t="n"/>
      <c r="F343" s="29" t="n"/>
      <c r="G343" s="29" t="n"/>
      <c r="H343" s="28">
        <f>IF(B343="","",IF(B343="קנייה",-(D343*E343+G343),IF(B343="מכירה",D343*E343-G343,IF(B343="דיבידנד",F343-G343,IF(B343="הפקדה",F343-G343,IF(B343="משיכה",-F343-G343,-G343))))))</f>
        <v/>
      </c>
      <c r="I343" s="28">
        <f>IF(B343="קנייה",D343*E343+G343,0)</f>
        <v/>
      </c>
      <c r="J343" s="41">
        <f>IF(B343="מכירה",D343*E343-G343-D343*IFERROR(SUMIFS($I$5:I343,$C$5:C343,C343)/SUMIFS($D$5:D343,$C$5:C343,C343,$B$5:B343,"קנייה"),0),0)</f>
        <v/>
      </c>
      <c r="K343" s="26" t="n"/>
    </row>
    <row r="344">
      <c r="A344" s="39" t="n"/>
      <c r="B344" s="26" t="n"/>
      <c r="C344" s="26" t="n"/>
      <c r="D344" s="40" t="n"/>
      <c r="E344" s="29" t="n"/>
      <c r="F344" s="29" t="n"/>
      <c r="G344" s="29" t="n"/>
      <c r="H344" s="28">
        <f>IF(B344="","",IF(B344="קנייה",-(D344*E344+G344),IF(B344="מכירה",D344*E344-G344,IF(B344="דיבידנד",F344-G344,IF(B344="הפקדה",F344-G344,IF(B344="משיכה",-F344-G344,-G344))))))</f>
        <v/>
      </c>
      <c r="I344" s="28">
        <f>IF(B344="קנייה",D344*E344+G344,0)</f>
        <v/>
      </c>
      <c r="J344" s="41">
        <f>IF(B344="מכירה",D344*E344-G344-D344*IFERROR(SUMIFS($I$5:I344,$C$5:C344,C344)/SUMIFS($D$5:D344,$C$5:C344,C344,$B$5:B344,"קנייה"),0),0)</f>
        <v/>
      </c>
      <c r="K344" s="26" t="n"/>
    </row>
    <row r="345">
      <c r="A345" s="39" t="n"/>
      <c r="B345" s="26" t="n"/>
      <c r="C345" s="26" t="n"/>
      <c r="D345" s="40" t="n"/>
      <c r="E345" s="29" t="n"/>
      <c r="F345" s="29" t="n"/>
      <c r="G345" s="29" t="n"/>
      <c r="H345" s="28">
        <f>IF(B345="","",IF(B345="קנייה",-(D345*E345+G345),IF(B345="מכירה",D345*E345-G345,IF(B345="דיבידנד",F345-G345,IF(B345="הפקדה",F345-G345,IF(B345="משיכה",-F345-G345,-G345))))))</f>
        <v/>
      </c>
      <c r="I345" s="28">
        <f>IF(B345="קנייה",D345*E345+G345,0)</f>
        <v/>
      </c>
      <c r="J345" s="41">
        <f>IF(B345="מכירה",D345*E345-G345-D345*IFERROR(SUMIFS($I$5:I345,$C$5:C345,C345)/SUMIFS($D$5:D345,$C$5:C345,C345,$B$5:B345,"קנייה"),0),0)</f>
        <v/>
      </c>
      <c r="K345" s="26" t="n"/>
    </row>
    <row r="346">
      <c r="A346" s="39" t="n"/>
      <c r="B346" s="26" t="n"/>
      <c r="C346" s="26" t="n"/>
      <c r="D346" s="40" t="n"/>
      <c r="E346" s="29" t="n"/>
      <c r="F346" s="29" t="n"/>
      <c r="G346" s="29" t="n"/>
      <c r="H346" s="28">
        <f>IF(B346="","",IF(B346="קנייה",-(D346*E346+G346),IF(B346="מכירה",D346*E346-G346,IF(B346="דיבידנד",F346-G346,IF(B346="הפקדה",F346-G346,IF(B346="משיכה",-F346-G346,-G346))))))</f>
        <v/>
      </c>
      <c r="I346" s="28">
        <f>IF(B346="קנייה",D346*E346+G346,0)</f>
        <v/>
      </c>
      <c r="J346" s="41">
        <f>IF(B346="מכירה",D346*E346-G346-D346*IFERROR(SUMIFS($I$5:I346,$C$5:C346,C346)/SUMIFS($D$5:D346,$C$5:C346,C346,$B$5:B346,"קנייה"),0),0)</f>
        <v/>
      </c>
      <c r="K346" s="26" t="n"/>
    </row>
    <row r="347">
      <c r="A347" s="39" t="n"/>
      <c r="B347" s="26" t="n"/>
      <c r="C347" s="26" t="n"/>
      <c r="D347" s="40" t="n"/>
      <c r="E347" s="29" t="n"/>
      <c r="F347" s="29" t="n"/>
      <c r="G347" s="29" t="n"/>
      <c r="H347" s="28">
        <f>IF(B347="","",IF(B347="קנייה",-(D347*E347+G347),IF(B347="מכירה",D347*E347-G347,IF(B347="דיבידנד",F347-G347,IF(B347="הפקדה",F347-G347,IF(B347="משיכה",-F347-G347,-G347))))))</f>
        <v/>
      </c>
      <c r="I347" s="28">
        <f>IF(B347="קנייה",D347*E347+G347,0)</f>
        <v/>
      </c>
      <c r="J347" s="41">
        <f>IF(B347="מכירה",D347*E347-G347-D347*IFERROR(SUMIFS($I$5:I347,$C$5:C347,C347)/SUMIFS($D$5:D347,$C$5:C347,C347,$B$5:B347,"קנייה"),0),0)</f>
        <v/>
      </c>
      <c r="K347" s="26" t="n"/>
    </row>
    <row r="348">
      <c r="A348" s="39" t="n"/>
      <c r="B348" s="26" t="n"/>
      <c r="C348" s="26" t="n"/>
      <c r="D348" s="40" t="n"/>
      <c r="E348" s="29" t="n"/>
      <c r="F348" s="29" t="n"/>
      <c r="G348" s="29" t="n"/>
      <c r="H348" s="28">
        <f>IF(B348="","",IF(B348="קנייה",-(D348*E348+G348),IF(B348="מכירה",D348*E348-G348,IF(B348="דיבידנד",F348-G348,IF(B348="הפקדה",F348-G348,IF(B348="משיכה",-F348-G348,-G348))))))</f>
        <v/>
      </c>
      <c r="I348" s="28">
        <f>IF(B348="קנייה",D348*E348+G348,0)</f>
        <v/>
      </c>
      <c r="J348" s="41">
        <f>IF(B348="מכירה",D348*E348-G348-D348*IFERROR(SUMIFS($I$5:I348,$C$5:C348,C348)/SUMIFS($D$5:D348,$C$5:C348,C348,$B$5:B348,"קנייה"),0),0)</f>
        <v/>
      </c>
      <c r="K348" s="26" t="n"/>
    </row>
    <row r="349">
      <c r="A349" s="39" t="n"/>
      <c r="B349" s="26" t="n"/>
      <c r="C349" s="26" t="n"/>
      <c r="D349" s="40" t="n"/>
      <c r="E349" s="29" t="n"/>
      <c r="F349" s="29" t="n"/>
      <c r="G349" s="29" t="n"/>
      <c r="H349" s="28">
        <f>IF(B349="","",IF(B349="קנייה",-(D349*E349+G349),IF(B349="מכירה",D349*E349-G349,IF(B349="דיבידנד",F349-G349,IF(B349="הפקדה",F349-G349,IF(B349="משיכה",-F349-G349,-G349))))))</f>
        <v/>
      </c>
      <c r="I349" s="28">
        <f>IF(B349="קנייה",D349*E349+G349,0)</f>
        <v/>
      </c>
      <c r="J349" s="41">
        <f>IF(B349="מכירה",D349*E349-G349-D349*IFERROR(SUMIFS($I$5:I349,$C$5:C349,C349)/SUMIFS($D$5:D349,$C$5:C349,C349,$B$5:B349,"קנייה"),0),0)</f>
        <v/>
      </c>
      <c r="K349" s="26" t="n"/>
    </row>
    <row r="350">
      <c r="A350" s="39" t="n"/>
      <c r="B350" s="26" t="n"/>
      <c r="C350" s="26" t="n"/>
      <c r="D350" s="40" t="n"/>
      <c r="E350" s="29" t="n"/>
      <c r="F350" s="29" t="n"/>
      <c r="G350" s="29" t="n"/>
      <c r="H350" s="28">
        <f>IF(B350="","",IF(B350="קנייה",-(D350*E350+G350),IF(B350="מכירה",D350*E350-G350,IF(B350="דיבידנד",F350-G350,IF(B350="הפקדה",F350-G350,IF(B350="משיכה",-F350-G350,-G350))))))</f>
        <v/>
      </c>
      <c r="I350" s="28">
        <f>IF(B350="קנייה",D350*E350+G350,0)</f>
        <v/>
      </c>
      <c r="J350" s="41">
        <f>IF(B350="מכירה",D350*E350-G350-D350*IFERROR(SUMIFS($I$5:I350,$C$5:C350,C350)/SUMIFS($D$5:D350,$C$5:C350,C350,$B$5:B350,"קנייה"),0),0)</f>
        <v/>
      </c>
      <c r="K350" s="26" t="n"/>
    </row>
    <row r="351">
      <c r="A351" s="39" t="n"/>
      <c r="B351" s="26" t="n"/>
      <c r="C351" s="26" t="n"/>
      <c r="D351" s="40" t="n"/>
      <c r="E351" s="29" t="n"/>
      <c r="F351" s="29" t="n"/>
      <c r="G351" s="29" t="n"/>
      <c r="H351" s="28">
        <f>IF(B351="","",IF(B351="קנייה",-(D351*E351+G351),IF(B351="מכירה",D351*E351-G351,IF(B351="דיבידנד",F351-G351,IF(B351="הפקדה",F351-G351,IF(B351="משיכה",-F351-G351,-G351))))))</f>
        <v/>
      </c>
      <c r="I351" s="28">
        <f>IF(B351="קנייה",D351*E351+G351,0)</f>
        <v/>
      </c>
      <c r="J351" s="41">
        <f>IF(B351="מכירה",D351*E351-G351-D351*IFERROR(SUMIFS($I$5:I351,$C$5:C351,C351)/SUMIFS($D$5:D351,$C$5:C351,C351,$B$5:B351,"קנייה"),0),0)</f>
        <v/>
      </c>
      <c r="K351" s="26" t="n"/>
    </row>
    <row r="352">
      <c r="A352" s="39" t="n"/>
      <c r="B352" s="26" t="n"/>
      <c r="C352" s="26" t="n"/>
      <c r="D352" s="40" t="n"/>
      <c r="E352" s="29" t="n"/>
      <c r="F352" s="29" t="n"/>
      <c r="G352" s="29" t="n"/>
      <c r="H352" s="28">
        <f>IF(B352="","",IF(B352="קנייה",-(D352*E352+G352),IF(B352="מכירה",D352*E352-G352,IF(B352="דיבידנד",F352-G352,IF(B352="הפקדה",F352-G352,IF(B352="משיכה",-F352-G352,-G352))))))</f>
        <v/>
      </c>
      <c r="I352" s="28">
        <f>IF(B352="קנייה",D352*E352+G352,0)</f>
        <v/>
      </c>
      <c r="J352" s="41">
        <f>IF(B352="מכירה",D352*E352-G352-D352*IFERROR(SUMIFS($I$5:I352,$C$5:C352,C352)/SUMIFS($D$5:D352,$C$5:C352,C352,$B$5:B352,"קנייה"),0),0)</f>
        <v/>
      </c>
      <c r="K352" s="26" t="n"/>
    </row>
    <row r="353">
      <c r="A353" s="39" t="n"/>
      <c r="B353" s="26" t="n"/>
      <c r="C353" s="26" t="n"/>
      <c r="D353" s="40" t="n"/>
      <c r="E353" s="29" t="n"/>
      <c r="F353" s="29" t="n"/>
      <c r="G353" s="29" t="n"/>
      <c r="H353" s="28">
        <f>IF(B353="","",IF(B353="קנייה",-(D353*E353+G353),IF(B353="מכירה",D353*E353-G353,IF(B353="דיבידנד",F353-G353,IF(B353="הפקדה",F353-G353,IF(B353="משיכה",-F353-G353,-G353))))))</f>
        <v/>
      </c>
      <c r="I353" s="28">
        <f>IF(B353="קנייה",D353*E353+G353,0)</f>
        <v/>
      </c>
      <c r="J353" s="41">
        <f>IF(B353="מכירה",D353*E353-G353-D353*IFERROR(SUMIFS($I$5:I353,$C$5:C353,C353)/SUMIFS($D$5:D353,$C$5:C353,C353,$B$5:B353,"קנייה"),0),0)</f>
        <v/>
      </c>
      <c r="K353" s="26" t="n"/>
    </row>
    <row r="354">
      <c r="A354" s="39" t="n"/>
      <c r="B354" s="26" t="n"/>
      <c r="C354" s="26" t="n"/>
      <c r="D354" s="40" t="n"/>
      <c r="E354" s="29" t="n"/>
      <c r="F354" s="29" t="n"/>
      <c r="G354" s="29" t="n"/>
      <c r="H354" s="28">
        <f>IF(B354="","",IF(B354="קנייה",-(D354*E354+G354),IF(B354="מכירה",D354*E354-G354,IF(B354="דיבידנד",F354-G354,IF(B354="הפקדה",F354-G354,IF(B354="משיכה",-F354-G354,-G354))))))</f>
        <v/>
      </c>
      <c r="I354" s="28">
        <f>IF(B354="קנייה",D354*E354+G354,0)</f>
        <v/>
      </c>
      <c r="J354" s="41">
        <f>IF(B354="מכירה",D354*E354-G354-D354*IFERROR(SUMIFS($I$5:I354,$C$5:C354,C354)/SUMIFS($D$5:D354,$C$5:C354,C354,$B$5:B354,"קנייה"),0),0)</f>
        <v/>
      </c>
      <c r="K354" s="26" t="n"/>
    </row>
    <row r="355">
      <c r="A355" s="39" t="n"/>
      <c r="B355" s="26" t="n"/>
      <c r="C355" s="26" t="n"/>
      <c r="D355" s="40" t="n"/>
      <c r="E355" s="29" t="n"/>
      <c r="F355" s="29" t="n"/>
      <c r="G355" s="29" t="n"/>
      <c r="H355" s="28">
        <f>IF(B355="","",IF(B355="קנייה",-(D355*E355+G355),IF(B355="מכירה",D355*E355-G355,IF(B355="דיבידנד",F355-G355,IF(B355="הפקדה",F355-G355,IF(B355="משיכה",-F355-G355,-G355))))))</f>
        <v/>
      </c>
      <c r="I355" s="28">
        <f>IF(B355="קנייה",D355*E355+G355,0)</f>
        <v/>
      </c>
      <c r="J355" s="41">
        <f>IF(B355="מכירה",D355*E355-G355-D355*IFERROR(SUMIFS($I$5:I355,$C$5:C355,C355)/SUMIFS($D$5:D355,$C$5:C355,C355,$B$5:B355,"קנייה"),0),0)</f>
        <v/>
      </c>
      <c r="K355" s="26" t="n"/>
    </row>
    <row r="356">
      <c r="A356" s="39" t="n"/>
      <c r="B356" s="26" t="n"/>
      <c r="C356" s="26" t="n"/>
      <c r="D356" s="40" t="n"/>
      <c r="E356" s="29" t="n"/>
      <c r="F356" s="29" t="n"/>
      <c r="G356" s="29" t="n"/>
      <c r="H356" s="28">
        <f>IF(B356="","",IF(B356="קנייה",-(D356*E356+G356),IF(B356="מכירה",D356*E356-G356,IF(B356="דיבידנד",F356-G356,IF(B356="הפקדה",F356-G356,IF(B356="משיכה",-F356-G356,-G356))))))</f>
        <v/>
      </c>
      <c r="I356" s="28">
        <f>IF(B356="קנייה",D356*E356+G356,0)</f>
        <v/>
      </c>
      <c r="J356" s="41">
        <f>IF(B356="מכירה",D356*E356-G356-D356*IFERROR(SUMIFS($I$5:I356,$C$5:C356,C356)/SUMIFS($D$5:D356,$C$5:C356,C356,$B$5:B356,"קנייה"),0),0)</f>
        <v/>
      </c>
      <c r="K356" s="26" t="n"/>
    </row>
    <row r="357">
      <c r="A357" s="39" t="n"/>
      <c r="B357" s="26" t="n"/>
      <c r="C357" s="26" t="n"/>
      <c r="D357" s="40" t="n"/>
      <c r="E357" s="29" t="n"/>
      <c r="F357" s="29" t="n"/>
      <c r="G357" s="29" t="n"/>
      <c r="H357" s="28">
        <f>IF(B357="","",IF(B357="קנייה",-(D357*E357+G357),IF(B357="מכירה",D357*E357-G357,IF(B357="דיבידנד",F357-G357,IF(B357="הפקדה",F357-G357,IF(B357="משיכה",-F357-G357,-G357))))))</f>
        <v/>
      </c>
      <c r="I357" s="28">
        <f>IF(B357="קנייה",D357*E357+G357,0)</f>
        <v/>
      </c>
      <c r="J357" s="41">
        <f>IF(B357="מכירה",D357*E357-G357-D357*IFERROR(SUMIFS($I$5:I357,$C$5:C357,C357)/SUMIFS($D$5:D357,$C$5:C357,C357,$B$5:B357,"קנייה"),0),0)</f>
        <v/>
      </c>
      <c r="K357" s="26" t="n"/>
    </row>
    <row r="358">
      <c r="A358" s="39" t="n"/>
      <c r="B358" s="26" t="n"/>
      <c r="C358" s="26" t="n"/>
      <c r="D358" s="40" t="n"/>
      <c r="E358" s="29" t="n"/>
      <c r="F358" s="29" t="n"/>
      <c r="G358" s="29" t="n"/>
      <c r="H358" s="28">
        <f>IF(B358="","",IF(B358="קנייה",-(D358*E358+G358),IF(B358="מכירה",D358*E358-G358,IF(B358="דיבידנד",F358-G358,IF(B358="הפקדה",F358-G358,IF(B358="משיכה",-F358-G358,-G358))))))</f>
        <v/>
      </c>
      <c r="I358" s="28">
        <f>IF(B358="קנייה",D358*E358+G358,0)</f>
        <v/>
      </c>
      <c r="J358" s="41">
        <f>IF(B358="מכירה",D358*E358-G358-D358*IFERROR(SUMIFS($I$5:I358,$C$5:C358,C358)/SUMIFS($D$5:D358,$C$5:C358,C358,$B$5:B358,"קנייה"),0),0)</f>
        <v/>
      </c>
      <c r="K358" s="26" t="n"/>
    </row>
    <row r="359">
      <c r="A359" s="39" t="n"/>
      <c r="B359" s="26" t="n"/>
      <c r="C359" s="26" t="n"/>
      <c r="D359" s="40" t="n"/>
      <c r="E359" s="29" t="n"/>
      <c r="F359" s="29" t="n"/>
      <c r="G359" s="29" t="n"/>
      <c r="H359" s="28">
        <f>IF(B359="","",IF(B359="קנייה",-(D359*E359+G359),IF(B359="מכירה",D359*E359-G359,IF(B359="דיבידנד",F359-G359,IF(B359="הפקדה",F359-G359,IF(B359="משיכה",-F359-G359,-G359))))))</f>
        <v/>
      </c>
      <c r="I359" s="28">
        <f>IF(B359="קנייה",D359*E359+G359,0)</f>
        <v/>
      </c>
      <c r="J359" s="41">
        <f>IF(B359="מכירה",D359*E359-G359-D359*IFERROR(SUMIFS($I$5:I359,$C$5:C359,C359)/SUMIFS($D$5:D359,$C$5:C359,C359,$B$5:B359,"קנייה"),0),0)</f>
        <v/>
      </c>
      <c r="K359" s="26" t="n"/>
    </row>
    <row r="360">
      <c r="A360" s="39" t="n"/>
      <c r="B360" s="26" t="n"/>
      <c r="C360" s="26" t="n"/>
      <c r="D360" s="40" t="n"/>
      <c r="E360" s="29" t="n"/>
      <c r="F360" s="29" t="n"/>
      <c r="G360" s="29" t="n"/>
      <c r="H360" s="28">
        <f>IF(B360="","",IF(B360="קנייה",-(D360*E360+G360),IF(B360="מכירה",D360*E360-G360,IF(B360="דיבידנד",F360-G360,IF(B360="הפקדה",F360-G360,IF(B360="משיכה",-F360-G360,-G360))))))</f>
        <v/>
      </c>
      <c r="I360" s="28">
        <f>IF(B360="קנייה",D360*E360+G360,0)</f>
        <v/>
      </c>
      <c r="J360" s="41">
        <f>IF(B360="מכירה",D360*E360-G360-D360*IFERROR(SUMIFS($I$5:I360,$C$5:C360,C360)/SUMIFS($D$5:D360,$C$5:C360,C360,$B$5:B360,"קנייה"),0),0)</f>
        <v/>
      </c>
      <c r="K360" s="26" t="n"/>
    </row>
    <row r="361">
      <c r="A361" s="39" t="n"/>
      <c r="B361" s="26" t="n"/>
      <c r="C361" s="26" t="n"/>
      <c r="D361" s="40" t="n"/>
      <c r="E361" s="29" t="n"/>
      <c r="F361" s="29" t="n"/>
      <c r="G361" s="29" t="n"/>
      <c r="H361" s="28">
        <f>IF(B361="","",IF(B361="קנייה",-(D361*E361+G361),IF(B361="מכירה",D361*E361-G361,IF(B361="דיבידנד",F361-G361,IF(B361="הפקדה",F361-G361,IF(B361="משיכה",-F361-G361,-G361))))))</f>
        <v/>
      </c>
      <c r="I361" s="28">
        <f>IF(B361="קנייה",D361*E361+G361,0)</f>
        <v/>
      </c>
      <c r="J361" s="41">
        <f>IF(B361="מכירה",D361*E361-G361-D361*IFERROR(SUMIFS($I$5:I361,$C$5:C361,C361)/SUMIFS($D$5:D361,$C$5:C361,C361,$B$5:B361,"קנייה"),0),0)</f>
        <v/>
      </c>
      <c r="K361" s="26" t="n"/>
    </row>
    <row r="362">
      <c r="A362" s="39" t="n"/>
      <c r="B362" s="26" t="n"/>
      <c r="C362" s="26" t="n"/>
      <c r="D362" s="40" t="n"/>
      <c r="E362" s="29" t="n"/>
      <c r="F362" s="29" t="n"/>
      <c r="G362" s="29" t="n"/>
      <c r="H362" s="28">
        <f>IF(B362="","",IF(B362="קנייה",-(D362*E362+G362),IF(B362="מכירה",D362*E362-G362,IF(B362="דיבידנד",F362-G362,IF(B362="הפקדה",F362-G362,IF(B362="משיכה",-F362-G362,-G362))))))</f>
        <v/>
      </c>
      <c r="I362" s="28">
        <f>IF(B362="קנייה",D362*E362+G362,0)</f>
        <v/>
      </c>
      <c r="J362" s="41">
        <f>IF(B362="מכירה",D362*E362-G362-D362*IFERROR(SUMIFS($I$5:I362,$C$5:C362,C362)/SUMIFS($D$5:D362,$C$5:C362,C362,$B$5:B362,"קנייה"),0),0)</f>
        <v/>
      </c>
      <c r="K362" s="26" t="n"/>
    </row>
    <row r="363">
      <c r="A363" s="39" t="n"/>
      <c r="B363" s="26" t="n"/>
      <c r="C363" s="26" t="n"/>
      <c r="D363" s="40" t="n"/>
      <c r="E363" s="29" t="n"/>
      <c r="F363" s="29" t="n"/>
      <c r="G363" s="29" t="n"/>
      <c r="H363" s="28">
        <f>IF(B363="","",IF(B363="קנייה",-(D363*E363+G363),IF(B363="מכירה",D363*E363-G363,IF(B363="דיבידנד",F363-G363,IF(B363="הפקדה",F363-G363,IF(B363="משיכה",-F363-G363,-G363))))))</f>
        <v/>
      </c>
      <c r="I363" s="28">
        <f>IF(B363="קנייה",D363*E363+G363,0)</f>
        <v/>
      </c>
      <c r="J363" s="41">
        <f>IF(B363="מכירה",D363*E363-G363-D363*IFERROR(SUMIFS($I$5:I363,$C$5:C363,C363)/SUMIFS($D$5:D363,$C$5:C363,C363,$B$5:B363,"קנייה"),0),0)</f>
        <v/>
      </c>
      <c r="K363" s="26" t="n"/>
    </row>
    <row r="364">
      <c r="A364" s="39" t="n"/>
      <c r="B364" s="26" t="n"/>
      <c r="C364" s="26" t="n"/>
      <c r="D364" s="40" t="n"/>
      <c r="E364" s="29" t="n"/>
      <c r="F364" s="29" t="n"/>
      <c r="G364" s="29" t="n"/>
      <c r="H364" s="28">
        <f>IF(B364="","",IF(B364="קנייה",-(D364*E364+G364),IF(B364="מכירה",D364*E364-G364,IF(B364="דיבידנד",F364-G364,IF(B364="הפקדה",F364-G364,IF(B364="משיכה",-F364-G364,-G364))))))</f>
        <v/>
      </c>
      <c r="I364" s="28">
        <f>IF(B364="קנייה",D364*E364+G364,0)</f>
        <v/>
      </c>
      <c r="J364" s="41">
        <f>IF(B364="מכירה",D364*E364-G364-D364*IFERROR(SUMIFS($I$5:I364,$C$5:C364,C364)/SUMIFS($D$5:D364,$C$5:C364,C364,$B$5:B364,"קנייה"),0),0)</f>
        <v/>
      </c>
      <c r="K364" s="26" t="n"/>
    </row>
    <row r="365">
      <c r="A365" s="39" t="n"/>
      <c r="B365" s="26" t="n"/>
      <c r="C365" s="26" t="n"/>
      <c r="D365" s="40" t="n"/>
      <c r="E365" s="29" t="n"/>
      <c r="F365" s="29" t="n"/>
      <c r="G365" s="29" t="n"/>
      <c r="H365" s="28">
        <f>IF(B365="","",IF(B365="קנייה",-(D365*E365+G365),IF(B365="מכירה",D365*E365-G365,IF(B365="דיבידנד",F365-G365,IF(B365="הפקדה",F365-G365,IF(B365="משיכה",-F365-G365,-G365))))))</f>
        <v/>
      </c>
      <c r="I365" s="28">
        <f>IF(B365="קנייה",D365*E365+G365,0)</f>
        <v/>
      </c>
      <c r="J365" s="41">
        <f>IF(B365="מכירה",D365*E365-G365-D365*IFERROR(SUMIFS($I$5:I365,$C$5:C365,C365)/SUMIFS($D$5:D365,$C$5:C365,C365,$B$5:B365,"קנייה"),0),0)</f>
        <v/>
      </c>
      <c r="K365" s="26" t="n"/>
    </row>
    <row r="366">
      <c r="A366" s="39" t="n"/>
      <c r="B366" s="26" t="n"/>
      <c r="C366" s="26" t="n"/>
      <c r="D366" s="40" t="n"/>
      <c r="E366" s="29" t="n"/>
      <c r="F366" s="29" t="n"/>
      <c r="G366" s="29" t="n"/>
      <c r="H366" s="28">
        <f>IF(B366="","",IF(B366="קנייה",-(D366*E366+G366),IF(B366="מכירה",D366*E366-G366,IF(B366="דיבידנד",F366-G366,IF(B366="הפקדה",F366-G366,IF(B366="משיכה",-F366-G366,-G366))))))</f>
        <v/>
      </c>
      <c r="I366" s="28">
        <f>IF(B366="קנייה",D366*E366+G366,0)</f>
        <v/>
      </c>
      <c r="J366" s="41">
        <f>IF(B366="מכירה",D366*E366-G366-D366*IFERROR(SUMIFS($I$5:I366,$C$5:C366,C366)/SUMIFS($D$5:D366,$C$5:C366,C366,$B$5:B366,"קנייה"),0),0)</f>
        <v/>
      </c>
      <c r="K366" s="26" t="n"/>
    </row>
    <row r="367">
      <c r="A367" s="39" t="n"/>
      <c r="B367" s="26" t="n"/>
      <c r="C367" s="26" t="n"/>
      <c r="D367" s="40" t="n"/>
      <c r="E367" s="29" t="n"/>
      <c r="F367" s="29" t="n"/>
      <c r="G367" s="29" t="n"/>
      <c r="H367" s="28">
        <f>IF(B367="","",IF(B367="קנייה",-(D367*E367+G367),IF(B367="מכירה",D367*E367-G367,IF(B367="דיבידנד",F367-G367,IF(B367="הפקדה",F367-G367,IF(B367="משיכה",-F367-G367,-G367))))))</f>
        <v/>
      </c>
      <c r="I367" s="28">
        <f>IF(B367="קנייה",D367*E367+G367,0)</f>
        <v/>
      </c>
      <c r="J367" s="41">
        <f>IF(B367="מכירה",D367*E367-G367-D367*IFERROR(SUMIFS($I$5:I367,$C$5:C367,C367)/SUMIFS($D$5:D367,$C$5:C367,C367,$B$5:B367,"קנייה"),0),0)</f>
        <v/>
      </c>
      <c r="K367" s="26" t="n"/>
    </row>
    <row r="368">
      <c r="A368" s="39" t="n"/>
      <c r="B368" s="26" t="n"/>
      <c r="C368" s="26" t="n"/>
      <c r="D368" s="40" t="n"/>
      <c r="E368" s="29" t="n"/>
      <c r="F368" s="29" t="n"/>
      <c r="G368" s="29" t="n"/>
      <c r="H368" s="28">
        <f>IF(B368="","",IF(B368="קנייה",-(D368*E368+G368),IF(B368="מכירה",D368*E368-G368,IF(B368="דיבידנד",F368-G368,IF(B368="הפקדה",F368-G368,IF(B368="משיכה",-F368-G368,-G368))))))</f>
        <v/>
      </c>
      <c r="I368" s="28">
        <f>IF(B368="קנייה",D368*E368+G368,0)</f>
        <v/>
      </c>
      <c r="J368" s="41">
        <f>IF(B368="מכירה",D368*E368-G368-D368*IFERROR(SUMIFS($I$5:I368,$C$5:C368,C368)/SUMIFS($D$5:D368,$C$5:C368,C368,$B$5:B368,"קנייה"),0),0)</f>
        <v/>
      </c>
      <c r="K368" s="26" t="n"/>
    </row>
    <row r="369">
      <c r="A369" s="39" t="n"/>
      <c r="B369" s="26" t="n"/>
      <c r="C369" s="26" t="n"/>
      <c r="D369" s="40" t="n"/>
      <c r="E369" s="29" t="n"/>
      <c r="F369" s="29" t="n"/>
      <c r="G369" s="29" t="n"/>
      <c r="H369" s="28">
        <f>IF(B369="","",IF(B369="קנייה",-(D369*E369+G369),IF(B369="מכירה",D369*E369-G369,IF(B369="דיבידנד",F369-G369,IF(B369="הפקדה",F369-G369,IF(B369="משיכה",-F369-G369,-G369))))))</f>
        <v/>
      </c>
      <c r="I369" s="28">
        <f>IF(B369="קנייה",D369*E369+G369,0)</f>
        <v/>
      </c>
      <c r="J369" s="41">
        <f>IF(B369="מכירה",D369*E369-G369-D369*IFERROR(SUMIFS($I$5:I369,$C$5:C369,C369)/SUMIFS($D$5:D369,$C$5:C369,C369,$B$5:B369,"קנייה"),0),0)</f>
        <v/>
      </c>
      <c r="K369" s="26" t="n"/>
    </row>
    <row r="370">
      <c r="A370" s="39" t="n"/>
      <c r="B370" s="26" t="n"/>
      <c r="C370" s="26" t="n"/>
      <c r="D370" s="40" t="n"/>
      <c r="E370" s="29" t="n"/>
      <c r="F370" s="29" t="n"/>
      <c r="G370" s="29" t="n"/>
      <c r="H370" s="28">
        <f>IF(B370="","",IF(B370="קנייה",-(D370*E370+G370),IF(B370="מכירה",D370*E370-G370,IF(B370="דיבידנד",F370-G370,IF(B370="הפקדה",F370-G370,IF(B370="משיכה",-F370-G370,-G370))))))</f>
        <v/>
      </c>
      <c r="I370" s="28">
        <f>IF(B370="קנייה",D370*E370+G370,0)</f>
        <v/>
      </c>
      <c r="J370" s="41">
        <f>IF(B370="מכירה",D370*E370-G370-D370*IFERROR(SUMIFS($I$5:I370,$C$5:C370,C370)/SUMIFS($D$5:D370,$C$5:C370,C370,$B$5:B370,"קנייה"),0),0)</f>
        <v/>
      </c>
      <c r="K370" s="26" t="n"/>
    </row>
    <row r="371">
      <c r="A371" s="39" t="n"/>
      <c r="B371" s="26" t="n"/>
      <c r="C371" s="26" t="n"/>
      <c r="D371" s="40" t="n"/>
      <c r="E371" s="29" t="n"/>
      <c r="F371" s="29" t="n"/>
      <c r="G371" s="29" t="n"/>
      <c r="H371" s="28">
        <f>IF(B371="","",IF(B371="קנייה",-(D371*E371+G371),IF(B371="מכירה",D371*E371-G371,IF(B371="דיבידנד",F371-G371,IF(B371="הפקדה",F371-G371,IF(B371="משיכה",-F371-G371,-G371))))))</f>
        <v/>
      </c>
      <c r="I371" s="28">
        <f>IF(B371="קנייה",D371*E371+G371,0)</f>
        <v/>
      </c>
      <c r="J371" s="41">
        <f>IF(B371="מכירה",D371*E371-G371-D371*IFERROR(SUMIFS($I$5:I371,$C$5:C371,C371)/SUMIFS($D$5:D371,$C$5:C371,C371,$B$5:B371,"קנייה"),0),0)</f>
        <v/>
      </c>
      <c r="K371" s="26" t="n"/>
    </row>
    <row r="372">
      <c r="A372" s="39" t="n"/>
      <c r="B372" s="26" t="n"/>
      <c r="C372" s="26" t="n"/>
      <c r="D372" s="40" t="n"/>
      <c r="E372" s="29" t="n"/>
      <c r="F372" s="29" t="n"/>
      <c r="G372" s="29" t="n"/>
      <c r="H372" s="28">
        <f>IF(B372="","",IF(B372="קנייה",-(D372*E372+G372),IF(B372="מכירה",D372*E372-G372,IF(B372="דיבידנד",F372-G372,IF(B372="הפקדה",F372-G372,IF(B372="משיכה",-F372-G372,-G372))))))</f>
        <v/>
      </c>
      <c r="I372" s="28">
        <f>IF(B372="קנייה",D372*E372+G372,0)</f>
        <v/>
      </c>
      <c r="J372" s="41">
        <f>IF(B372="מכירה",D372*E372-G372-D372*IFERROR(SUMIFS($I$5:I372,$C$5:C372,C372)/SUMIFS($D$5:D372,$C$5:C372,C372,$B$5:B372,"קנייה"),0),0)</f>
        <v/>
      </c>
      <c r="K372" s="26" t="n"/>
    </row>
    <row r="373">
      <c r="A373" s="39" t="n"/>
      <c r="B373" s="26" t="n"/>
      <c r="C373" s="26" t="n"/>
      <c r="D373" s="40" t="n"/>
      <c r="E373" s="29" t="n"/>
      <c r="F373" s="29" t="n"/>
      <c r="G373" s="29" t="n"/>
      <c r="H373" s="28">
        <f>IF(B373="","",IF(B373="קנייה",-(D373*E373+G373),IF(B373="מכירה",D373*E373-G373,IF(B373="דיבידנד",F373-G373,IF(B373="הפקדה",F373-G373,IF(B373="משיכה",-F373-G373,-G373))))))</f>
        <v/>
      </c>
      <c r="I373" s="28">
        <f>IF(B373="קנייה",D373*E373+G373,0)</f>
        <v/>
      </c>
      <c r="J373" s="41">
        <f>IF(B373="מכירה",D373*E373-G373-D373*IFERROR(SUMIFS($I$5:I373,$C$5:C373,C373)/SUMIFS($D$5:D373,$C$5:C373,C373,$B$5:B373,"קנייה"),0),0)</f>
        <v/>
      </c>
      <c r="K373" s="26" t="n"/>
    </row>
    <row r="374">
      <c r="A374" s="39" t="n"/>
      <c r="B374" s="26" t="n"/>
      <c r="C374" s="26" t="n"/>
      <c r="D374" s="40" t="n"/>
      <c r="E374" s="29" t="n"/>
      <c r="F374" s="29" t="n"/>
      <c r="G374" s="29" t="n"/>
      <c r="H374" s="28">
        <f>IF(B374="","",IF(B374="קנייה",-(D374*E374+G374),IF(B374="מכירה",D374*E374-G374,IF(B374="דיבידנד",F374-G374,IF(B374="הפקדה",F374-G374,IF(B374="משיכה",-F374-G374,-G374))))))</f>
        <v/>
      </c>
      <c r="I374" s="28">
        <f>IF(B374="קנייה",D374*E374+G374,0)</f>
        <v/>
      </c>
      <c r="J374" s="41">
        <f>IF(B374="מכירה",D374*E374-G374-D374*IFERROR(SUMIFS($I$5:I374,$C$5:C374,C374)/SUMIFS($D$5:D374,$C$5:C374,C374,$B$5:B374,"קנייה"),0),0)</f>
        <v/>
      </c>
      <c r="K374" s="26" t="n"/>
    </row>
    <row r="375">
      <c r="A375" s="39" t="n"/>
      <c r="B375" s="26" t="n"/>
      <c r="C375" s="26" t="n"/>
      <c r="D375" s="40" t="n"/>
      <c r="E375" s="29" t="n"/>
      <c r="F375" s="29" t="n"/>
      <c r="G375" s="29" t="n"/>
      <c r="H375" s="28">
        <f>IF(B375="","",IF(B375="קנייה",-(D375*E375+G375),IF(B375="מכירה",D375*E375-G375,IF(B375="דיבידנד",F375-G375,IF(B375="הפקדה",F375-G375,IF(B375="משיכה",-F375-G375,-G375))))))</f>
        <v/>
      </c>
      <c r="I375" s="28">
        <f>IF(B375="קנייה",D375*E375+G375,0)</f>
        <v/>
      </c>
      <c r="J375" s="41">
        <f>IF(B375="מכירה",D375*E375-G375-D375*IFERROR(SUMIFS($I$5:I375,$C$5:C375,C375)/SUMIFS($D$5:D375,$C$5:C375,C375,$B$5:B375,"קנייה"),0),0)</f>
        <v/>
      </c>
      <c r="K375" s="26" t="n"/>
    </row>
    <row r="376">
      <c r="A376" s="39" t="n"/>
      <c r="B376" s="26" t="n"/>
      <c r="C376" s="26" t="n"/>
      <c r="D376" s="40" t="n"/>
      <c r="E376" s="29" t="n"/>
      <c r="F376" s="29" t="n"/>
      <c r="G376" s="29" t="n"/>
      <c r="H376" s="28">
        <f>IF(B376="","",IF(B376="קנייה",-(D376*E376+G376),IF(B376="מכירה",D376*E376-G376,IF(B376="דיבידנד",F376-G376,IF(B376="הפקדה",F376-G376,IF(B376="משיכה",-F376-G376,-G376))))))</f>
        <v/>
      </c>
      <c r="I376" s="28">
        <f>IF(B376="קנייה",D376*E376+G376,0)</f>
        <v/>
      </c>
      <c r="J376" s="41">
        <f>IF(B376="מכירה",D376*E376-G376-D376*IFERROR(SUMIFS($I$5:I376,$C$5:C376,C376)/SUMIFS($D$5:D376,$C$5:C376,C376,$B$5:B376,"קנייה"),0),0)</f>
        <v/>
      </c>
      <c r="K376" s="26" t="n"/>
    </row>
    <row r="377">
      <c r="A377" s="39" t="n"/>
      <c r="B377" s="26" t="n"/>
      <c r="C377" s="26" t="n"/>
      <c r="D377" s="40" t="n"/>
      <c r="E377" s="29" t="n"/>
      <c r="F377" s="29" t="n"/>
      <c r="G377" s="29" t="n"/>
      <c r="H377" s="28">
        <f>IF(B377="","",IF(B377="קנייה",-(D377*E377+G377),IF(B377="מכירה",D377*E377-G377,IF(B377="דיבידנד",F377-G377,IF(B377="הפקדה",F377-G377,IF(B377="משיכה",-F377-G377,-G377))))))</f>
        <v/>
      </c>
      <c r="I377" s="28">
        <f>IF(B377="קנייה",D377*E377+G377,0)</f>
        <v/>
      </c>
      <c r="J377" s="41">
        <f>IF(B377="מכירה",D377*E377-G377-D377*IFERROR(SUMIFS($I$5:I377,$C$5:C377,C377)/SUMIFS($D$5:D377,$C$5:C377,C377,$B$5:B377,"קנייה"),0),0)</f>
        <v/>
      </c>
      <c r="K377" s="26" t="n"/>
    </row>
    <row r="378">
      <c r="A378" s="39" t="n"/>
      <c r="B378" s="26" t="n"/>
      <c r="C378" s="26" t="n"/>
      <c r="D378" s="40" t="n"/>
      <c r="E378" s="29" t="n"/>
      <c r="F378" s="29" t="n"/>
      <c r="G378" s="29" t="n"/>
      <c r="H378" s="28">
        <f>IF(B378="","",IF(B378="קנייה",-(D378*E378+G378),IF(B378="מכירה",D378*E378-G378,IF(B378="דיבידנד",F378-G378,IF(B378="הפקדה",F378-G378,IF(B378="משיכה",-F378-G378,-G378))))))</f>
        <v/>
      </c>
      <c r="I378" s="28">
        <f>IF(B378="קנייה",D378*E378+G378,0)</f>
        <v/>
      </c>
      <c r="J378" s="41">
        <f>IF(B378="מכירה",D378*E378-G378-D378*IFERROR(SUMIFS($I$5:I378,$C$5:C378,C378)/SUMIFS($D$5:D378,$C$5:C378,C378,$B$5:B378,"קנייה"),0),0)</f>
        <v/>
      </c>
      <c r="K378" s="26" t="n"/>
    </row>
    <row r="379">
      <c r="A379" s="39" t="n"/>
      <c r="B379" s="26" t="n"/>
      <c r="C379" s="26" t="n"/>
      <c r="D379" s="40" t="n"/>
      <c r="E379" s="29" t="n"/>
      <c r="F379" s="29" t="n"/>
      <c r="G379" s="29" t="n"/>
      <c r="H379" s="28">
        <f>IF(B379="","",IF(B379="קנייה",-(D379*E379+G379),IF(B379="מכירה",D379*E379-G379,IF(B379="דיבידנד",F379-G379,IF(B379="הפקדה",F379-G379,IF(B379="משיכה",-F379-G379,-G379))))))</f>
        <v/>
      </c>
      <c r="I379" s="28">
        <f>IF(B379="קנייה",D379*E379+G379,0)</f>
        <v/>
      </c>
      <c r="J379" s="41">
        <f>IF(B379="מכירה",D379*E379-G379-D379*IFERROR(SUMIFS($I$5:I379,$C$5:C379,C379)/SUMIFS($D$5:D379,$C$5:C379,C379,$B$5:B379,"קנייה"),0),0)</f>
        <v/>
      </c>
      <c r="K379" s="26" t="n"/>
    </row>
    <row r="380">
      <c r="A380" s="39" t="n"/>
      <c r="B380" s="26" t="n"/>
      <c r="C380" s="26" t="n"/>
      <c r="D380" s="40" t="n"/>
      <c r="E380" s="29" t="n"/>
      <c r="F380" s="29" t="n"/>
      <c r="G380" s="29" t="n"/>
      <c r="H380" s="28">
        <f>IF(B380="","",IF(B380="קנייה",-(D380*E380+G380),IF(B380="מכירה",D380*E380-G380,IF(B380="דיבידנד",F380-G380,IF(B380="הפקדה",F380-G380,IF(B380="משיכה",-F380-G380,-G380))))))</f>
        <v/>
      </c>
      <c r="I380" s="28">
        <f>IF(B380="קנייה",D380*E380+G380,0)</f>
        <v/>
      </c>
      <c r="J380" s="41">
        <f>IF(B380="מכירה",D380*E380-G380-D380*IFERROR(SUMIFS($I$5:I380,$C$5:C380,C380)/SUMIFS($D$5:D380,$C$5:C380,C380,$B$5:B380,"קנייה"),0),0)</f>
        <v/>
      </c>
      <c r="K380" s="26" t="n"/>
    </row>
    <row r="381">
      <c r="A381" s="39" t="n"/>
      <c r="B381" s="26" t="n"/>
      <c r="C381" s="26" t="n"/>
      <c r="D381" s="40" t="n"/>
      <c r="E381" s="29" t="n"/>
      <c r="F381" s="29" t="n"/>
      <c r="G381" s="29" t="n"/>
      <c r="H381" s="28">
        <f>IF(B381="","",IF(B381="קנייה",-(D381*E381+G381),IF(B381="מכירה",D381*E381-G381,IF(B381="דיבידנד",F381-G381,IF(B381="הפקדה",F381-G381,IF(B381="משיכה",-F381-G381,-G381))))))</f>
        <v/>
      </c>
      <c r="I381" s="28">
        <f>IF(B381="קנייה",D381*E381+G381,0)</f>
        <v/>
      </c>
      <c r="J381" s="41">
        <f>IF(B381="מכירה",D381*E381-G381-D381*IFERROR(SUMIFS($I$5:I381,$C$5:C381,C381)/SUMIFS($D$5:D381,$C$5:C381,C381,$B$5:B381,"קנייה"),0),0)</f>
        <v/>
      </c>
      <c r="K381" s="26" t="n"/>
    </row>
    <row r="382">
      <c r="A382" s="39" t="n"/>
      <c r="B382" s="26" t="n"/>
      <c r="C382" s="26" t="n"/>
      <c r="D382" s="40" t="n"/>
      <c r="E382" s="29" t="n"/>
      <c r="F382" s="29" t="n"/>
      <c r="G382" s="29" t="n"/>
      <c r="H382" s="28">
        <f>IF(B382="","",IF(B382="קנייה",-(D382*E382+G382),IF(B382="מכירה",D382*E382-G382,IF(B382="דיבידנד",F382-G382,IF(B382="הפקדה",F382-G382,IF(B382="משיכה",-F382-G382,-G382))))))</f>
        <v/>
      </c>
      <c r="I382" s="28">
        <f>IF(B382="קנייה",D382*E382+G382,0)</f>
        <v/>
      </c>
      <c r="J382" s="41">
        <f>IF(B382="מכירה",D382*E382-G382-D382*IFERROR(SUMIFS($I$5:I382,$C$5:C382,C382)/SUMIFS($D$5:D382,$C$5:C382,C382,$B$5:B382,"קנייה"),0),0)</f>
        <v/>
      </c>
      <c r="K382" s="26" t="n"/>
    </row>
    <row r="383">
      <c r="A383" s="39" t="n"/>
      <c r="B383" s="26" t="n"/>
      <c r="C383" s="26" t="n"/>
      <c r="D383" s="40" t="n"/>
      <c r="E383" s="29" t="n"/>
      <c r="F383" s="29" t="n"/>
      <c r="G383" s="29" t="n"/>
      <c r="H383" s="28">
        <f>IF(B383="","",IF(B383="קנייה",-(D383*E383+G383),IF(B383="מכירה",D383*E383-G383,IF(B383="דיבידנד",F383-G383,IF(B383="הפקדה",F383-G383,IF(B383="משיכה",-F383-G383,-G383))))))</f>
        <v/>
      </c>
      <c r="I383" s="28">
        <f>IF(B383="קנייה",D383*E383+G383,0)</f>
        <v/>
      </c>
      <c r="J383" s="41">
        <f>IF(B383="מכירה",D383*E383-G383-D383*IFERROR(SUMIFS($I$5:I383,$C$5:C383,C383)/SUMIFS($D$5:D383,$C$5:C383,C383,$B$5:B383,"קנייה"),0),0)</f>
        <v/>
      </c>
      <c r="K383" s="26" t="n"/>
    </row>
    <row r="384">
      <c r="A384" s="39" t="n"/>
      <c r="B384" s="26" t="n"/>
      <c r="C384" s="26" t="n"/>
      <c r="D384" s="40" t="n"/>
      <c r="E384" s="29" t="n"/>
      <c r="F384" s="29" t="n"/>
      <c r="G384" s="29" t="n"/>
      <c r="H384" s="28">
        <f>IF(B384="","",IF(B384="קנייה",-(D384*E384+G384),IF(B384="מכירה",D384*E384-G384,IF(B384="דיבידנד",F384-G384,IF(B384="הפקדה",F384-G384,IF(B384="משיכה",-F384-G384,-G384))))))</f>
        <v/>
      </c>
      <c r="I384" s="28">
        <f>IF(B384="קנייה",D384*E384+G384,0)</f>
        <v/>
      </c>
      <c r="J384" s="41">
        <f>IF(B384="מכירה",D384*E384-G384-D384*IFERROR(SUMIFS($I$5:I384,$C$5:C384,C384)/SUMIFS($D$5:D384,$C$5:C384,C384,$B$5:B384,"קנייה"),0),0)</f>
        <v/>
      </c>
      <c r="K384" s="26" t="n"/>
    </row>
    <row r="385">
      <c r="A385" s="39" t="n"/>
      <c r="B385" s="26" t="n"/>
      <c r="C385" s="26" t="n"/>
      <c r="D385" s="40" t="n"/>
      <c r="E385" s="29" t="n"/>
      <c r="F385" s="29" t="n"/>
      <c r="G385" s="29" t="n"/>
      <c r="H385" s="28">
        <f>IF(B385="","",IF(B385="קנייה",-(D385*E385+G385),IF(B385="מכירה",D385*E385-G385,IF(B385="דיבידנד",F385-G385,IF(B385="הפקדה",F385-G385,IF(B385="משיכה",-F385-G385,-G385))))))</f>
        <v/>
      </c>
      <c r="I385" s="28">
        <f>IF(B385="קנייה",D385*E385+G385,0)</f>
        <v/>
      </c>
      <c r="J385" s="41">
        <f>IF(B385="מכירה",D385*E385-G385-D385*IFERROR(SUMIFS($I$5:I385,$C$5:C385,C385)/SUMIFS($D$5:D385,$C$5:C385,C385,$B$5:B385,"קנייה"),0),0)</f>
        <v/>
      </c>
      <c r="K385" s="26" t="n"/>
    </row>
    <row r="386">
      <c r="A386" s="39" t="n"/>
      <c r="B386" s="26" t="n"/>
      <c r="C386" s="26" t="n"/>
      <c r="D386" s="40" t="n"/>
      <c r="E386" s="29" t="n"/>
      <c r="F386" s="29" t="n"/>
      <c r="G386" s="29" t="n"/>
      <c r="H386" s="28">
        <f>IF(B386="","",IF(B386="קנייה",-(D386*E386+G386),IF(B386="מכירה",D386*E386-G386,IF(B386="דיבידנד",F386-G386,IF(B386="הפקדה",F386-G386,IF(B386="משיכה",-F386-G386,-G386))))))</f>
        <v/>
      </c>
      <c r="I386" s="28">
        <f>IF(B386="קנייה",D386*E386+G386,0)</f>
        <v/>
      </c>
      <c r="J386" s="41">
        <f>IF(B386="מכירה",D386*E386-G386-D386*IFERROR(SUMIFS($I$5:I386,$C$5:C386,C386)/SUMIFS($D$5:D386,$C$5:C386,C386,$B$5:B386,"קנייה"),0),0)</f>
        <v/>
      </c>
      <c r="K386" s="26" t="n"/>
    </row>
    <row r="387">
      <c r="A387" s="39" t="n"/>
      <c r="B387" s="26" t="n"/>
      <c r="C387" s="26" t="n"/>
      <c r="D387" s="40" t="n"/>
      <c r="E387" s="29" t="n"/>
      <c r="F387" s="29" t="n"/>
      <c r="G387" s="29" t="n"/>
      <c r="H387" s="28">
        <f>IF(B387="","",IF(B387="קנייה",-(D387*E387+G387),IF(B387="מכירה",D387*E387-G387,IF(B387="דיבידנד",F387-G387,IF(B387="הפקדה",F387-G387,IF(B387="משיכה",-F387-G387,-G387))))))</f>
        <v/>
      </c>
      <c r="I387" s="28">
        <f>IF(B387="קנייה",D387*E387+G387,0)</f>
        <v/>
      </c>
      <c r="J387" s="41">
        <f>IF(B387="מכירה",D387*E387-G387-D387*IFERROR(SUMIFS($I$5:I387,$C$5:C387,C387)/SUMIFS($D$5:D387,$C$5:C387,C387,$B$5:B387,"קנייה"),0),0)</f>
        <v/>
      </c>
      <c r="K387" s="26" t="n"/>
    </row>
    <row r="388">
      <c r="A388" s="39" t="n"/>
      <c r="B388" s="26" t="n"/>
      <c r="C388" s="26" t="n"/>
      <c r="D388" s="40" t="n"/>
      <c r="E388" s="29" t="n"/>
      <c r="F388" s="29" t="n"/>
      <c r="G388" s="29" t="n"/>
      <c r="H388" s="28">
        <f>IF(B388="","",IF(B388="קנייה",-(D388*E388+G388),IF(B388="מכירה",D388*E388-G388,IF(B388="דיבידנד",F388-G388,IF(B388="הפקדה",F388-G388,IF(B388="משיכה",-F388-G388,-G388))))))</f>
        <v/>
      </c>
      <c r="I388" s="28">
        <f>IF(B388="קנייה",D388*E388+G388,0)</f>
        <v/>
      </c>
      <c r="J388" s="41">
        <f>IF(B388="מכירה",D388*E388-G388-D388*IFERROR(SUMIFS($I$5:I388,$C$5:C388,C388)/SUMIFS($D$5:D388,$C$5:C388,C388,$B$5:B388,"קנייה"),0),0)</f>
        <v/>
      </c>
      <c r="K388" s="26" t="n"/>
    </row>
    <row r="389">
      <c r="A389" s="39" t="n"/>
      <c r="B389" s="26" t="n"/>
      <c r="C389" s="26" t="n"/>
      <c r="D389" s="40" t="n"/>
      <c r="E389" s="29" t="n"/>
      <c r="F389" s="29" t="n"/>
      <c r="G389" s="29" t="n"/>
      <c r="H389" s="28">
        <f>IF(B389="","",IF(B389="קנייה",-(D389*E389+G389),IF(B389="מכירה",D389*E389-G389,IF(B389="דיבידנד",F389-G389,IF(B389="הפקדה",F389-G389,IF(B389="משיכה",-F389-G389,-G389))))))</f>
        <v/>
      </c>
      <c r="I389" s="28">
        <f>IF(B389="קנייה",D389*E389+G389,0)</f>
        <v/>
      </c>
      <c r="J389" s="41">
        <f>IF(B389="מכירה",D389*E389-G389-D389*IFERROR(SUMIFS($I$5:I389,$C$5:C389,C389)/SUMIFS($D$5:D389,$C$5:C389,C389,$B$5:B389,"קנייה"),0),0)</f>
        <v/>
      </c>
      <c r="K389" s="26" t="n"/>
    </row>
    <row r="390">
      <c r="A390" s="39" t="n"/>
      <c r="B390" s="26" t="n"/>
      <c r="C390" s="26" t="n"/>
      <c r="D390" s="40" t="n"/>
      <c r="E390" s="29" t="n"/>
      <c r="F390" s="29" t="n"/>
      <c r="G390" s="29" t="n"/>
      <c r="H390" s="28">
        <f>IF(B390="","",IF(B390="קנייה",-(D390*E390+G390),IF(B390="מכירה",D390*E390-G390,IF(B390="דיבידנד",F390-G390,IF(B390="הפקדה",F390-G390,IF(B390="משיכה",-F390-G390,-G390))))))</f>
        <v/>
      </c>
      <c r="I390" s="28">
        <f>IF(B390="קנייה",D390*E390+G390,0)</f>
        <v/>
      </c>
      <c r="J390" s="41">
        <f>IF(B390="מכירה",D390*E390-G390-D390*IFERROR(SUMIFS($I$5:I390,$C$5:C390,C390)/SUMIFS($D$5:D390,$C$5:C390,C390,$B$5:B390,"קנייה"),0),0)</f>
        <v/>
      </c>
      <c r="K390" s="26" t="n"/>
    </row>
    <row r="391">
      <c r="A391" s="39" t="n"/>
      <c r="B391" s="26" t="n"/>
      <c r="C391" s="26" t="n"/>
      <c r="D391" s="40" t="n"/>
      <c r="E391" s="29" t="n"/>
      <c r="F391" s="29" t="n"/>
      <c r="G391" s="29" t="n"/>
      <c r="H391" s="28">
        <f>IF(B391="","",IF(B391="קנייה",-(D391*E391+G391),IF(B391="מכירה",D391*E391-G391,IF(B391="דיבידנד",F391-G391,IF(B391="הפקדה",F391-G391,IF(B391="משיכה",-F391-G391,-G391))))))</f>
        <v/>
      </c>
      <c r="I391" s="28">
        <f>IF(B391="קנייה",D391*E391+G391,0)</f>
        <v/>
      </c>
      <c r="J391" s="41">
        <f>IF(B391="מכירה",D391*E391-G391-D391*IFERROR(SUMIFS($I$5:I391,$C$5:C391,C391)/SUMIFS($D$5:D391,$C$5:C391,C391,$B$5:B391,"קנייה"),0),0)</f>
        <v/>
      </c>
      <c r="K391" s="26" t="n"/>
    </row>
    <row r="392">
      <c r="A392" s="39" t="n"/>
      <c r="B392" s="26" t="n"/>
      <c r="C392" s="26" t="n"/>
      <c r="D392" s="40" t="n"/>
      <c r="E392" s="29" t="n"/>
      <c r="F392" s="29" t="n"/>
      <c r="G392" s="29" t="n"/>
      <c r="H392" s="28">
        <f>IF(B392="","",IF(B392="קנייה",-(D392*E392+G392),IF(B392="מכירה",D392*E392-G392,IF(B392="דיבידנד",F392-G392,IF(B392="הפקדה",F392-G392,IF(B392="משיכה",-F392-G392,-G392))))))</f>
        <v/>
      </c>
      <c r="I392" s="28">
        <f>IF(B392="קנייה",D392*E392+G392,0)</f>
        <v/>
      </c>
      <c r="J392" s="41">
        <f>IF(B392="מכירה",D392*E392-G392-D392*IFERROR(SUMIFS($I$5:I392,$C$5:C392,C392)/SUMIFS($D$5:D392,$C$5:C392,C392,$B$5:B392,"קנייה"),0),0)</f>
        <v/>
      </c>
      <c r="K392" s="26" t="n"/>
    </row>
    <row r="393">
      <c r="A393" s="39" t="n"/>
      <c r="B393" s="26" t="n"/>
      <c r="C393" s="26" t="n"/>
      <c r="D393" s="40" t="n"/>
      <c r="E393" s="29" t="n"/>
      <c r="F393" s="29" t="n"/>
      <c r="G393" s="29" t="n"/>
      <c r="H393" s="28">
        <f>IF(B393="","",IF(B393="קנייה",-(D393*E393+G393),IF(B393="מכירה",D393*E393-G393,IF(B393="דיבידנד",F393-G393,IF(B393="הפקדה",F393-G393,IF(B393="משיכה",-F393-G393,-G393))))))</f>
        <v/>
      </c>
      <c r="I393" s="28">
        <f>IF(B393="קנייה",D393*E393+G393,0)</f>
        <v/>
      </c>
      <c r="J393" s="41">
        <f>IF(B393="מכירה",D393*E393-G393-D393*IFERROR(SUMIFS($I$5:I393,$C$5:C393,C393)/SUMIFS($D$5:D393,$C$5:C393,C393,$B$5:B393,"קנייה"),0),0)</f>
        <v/>
      </c>
      <c r="K393" s="26" t="n"/>
    </row>
    <row r="394">
      <c r="A394" s="39" t="n"/>
      <c r="B394" s="26" t="n"/>
      <c r="C394" s="26" t="n"/>
      <c r="D394" s="40" t="n"/>
      <c r="E394" s="29" t="n"/>
      <c r="F394" s="29" t="n"/>
      <c r="G394" s="29" t="n"/>
      <c r="H394" s="28">
        <f>IF(B394="","",IF(B394="קנייה",-(D394*E394+G394),IF(B394="מכירה",D394*E394-G394,IF(B394="דיבידנד",F394-G394,IF(B394="הפקדה",F394-G394,IF(B394="משיכה",-F394-G394,-G394))))))</f>
        <v/>
      </c>
      <c r="I394" s="28">
        <f>IF(B394="קנייה",D394*E394+G394,0)</f>
        <v/>
      </c>
      <c r="J394" s="41">
        <f>IF(B394="מכירה",D394*E394-G394-D394*IFERROR(SUMIFS($I$5:I394,$C$5:C394,C394)/SUMIFS($D$5:D394,$C$5:C394,C394,$B$5:B394,"קנייה"),0),0)</f>
        <v/>
      </c>
      <c r="K394" s="26" t="n"/>
    </row>
    <row r="395">
      <c r="A395" s="39" t="n"/>
      <c r="B395" s="26" t="n"/>
      <c r="C395" s="26" t="n"/>
      <c r="D395" s="40" t="n"/>
      <c r="E395" s="29" t="n"/>
      <c r="F395" s="29" t="n"/>
      <c r="G395" s="29" t="n"/>
      <c r="H395" s="28">
        <f>IF(B395="","",IF(B395="קנייה",-(D395*E395+G395),IF(B395="מכירה",D395*E395-G395,IF(B395="דיבידנד",F395-G395,IF(B395="הפקדה",F395-G395,IF(B395="משיכה",-F395-G395,-G395))))))</f>
        <v/>
      </c>
      <c r="I395" s="28">
        <f>IF(B395="קנייה",D395*E395+G395,0)</f>
        <v/>
      </c>
      <c r="J395" s="41">
        <f>IF(B395="מכירה",D395*E395-G395-D395*IFERROR(SUMIFS($I$5:I395,$C$5:C395,C395)/SUMIFS($D$5:D395,$C$5:C395,C395,$B$5:B395,"קנייה"),0),0)</f>
        <v/>
      </c>
      <c r="K395" s="26" t="n"/>
    </row>
    <row r="396">
      <c r="A396" s="39" t="n"/>
      <c r="B396" s="26" t="n"/>
      <c r="C396" s="26" t="n"/>
      <c r="D396" s="40" t="n"/>
      <c r="E396" s="29" t="n"/>
      <c r="F396" s="29" t="n"/>
      <c r="G396" s="29" t="n"/>
      <c r="H396" s="28">
        <f>IF(B396="","",IF(B396="קנייה",-(D396*E396+G396),IF(B396="מכירה",D396*E396-G396,IF(B396="דיבידנד",F396-G396,IF(B396="הפקדה",F396-G396,IF(B396="משיכה",-F396-G396,-G396))))))</f>
        <v/>
      </c>
      <c r="I396" s="28">
        <f>IF(B396="קנייה",D396*E396+G396,0)</f>
        <v/>
      </c>
      <c r="J396" s="41">
        <f>IF(B396="מכירה",D396*E396-G396-D396*IFERROR(SUMIFS($I$5:I396,$C$5:C396,C396)/SUMIFS($D$5:D396,$C$5:C396,C396,$B$5:B396,"קנייה"),0),0)</f>
        <v/>
      </c>
      <c r="K396" s="26" t="n"/>
    </row>
    <row r="397">
      <c r="A397" s="39" t="n"/>
      <c r="B397" s="26" t="n"/>
      <c r="C397" s="26" t="n"/>
      <c r="D397" s="40" t="n"/>
      <c r="E397" s="29" t="n"/>
      <c r="F397" s="29" t="n"/>
      <c r="G397" s="29" t="n"/>
      <c r="H397" s="28">
        <f>IF(B397="","",IF(B397="קנייה",-(D397*E397+G397),IF(B397="מכירה",D397*E397-G397,IF(B397="דיבידנד",F397-G397,IF(B397="הפקדה",F397-G397,IF(B397="משיכה",-F397-G397,-G397))))))</f>
        <v/>
      </c>
      <c r="I397" s="28">
        <f>IF(B397="קנייה",D397*E397+G397,0)</f>
        <v/>
      </c>
      <c r="J397" s="41">
        <f>IF(B397="מכירה",D397*E397-G397-D397*IFERROR(SUMIFS($I$5:I397,$C$5:C397,C397)/SUMIFS($D$5:D397,$C$5:C397,C397,$B$5:B397,"קנייה"),0),0)</f>
        <v/>
      </c>
      <c r="K397" s="26" t="n"/>
    </row>
    <row r="398">
      <c r="A398" s="39" t="n"/>
      <c r="B398" s="26" t="n"/>
      <c r="C398" s="26" t="n"/>
      <c r="D398" s="40" t="n"/>
      <c r="E398" s="29" t="n"/>
      <c r="F398" s="29" t="n"/>
      <c r="G398" s="29" t="n"/>
      <c r="H398" s="28">
        <f>IF(B398="","",IF(B398="קנייה",-(D398*E398+G398),IF(B398="מכירה",D398*E398-G398,IF(B398="דיבידנד",F398-G398,IF(B398="הפקדה",F398-G398,IF(B398="משיכה",-F398-G398,-G398))))))</f>
        <v/>
      </c>
      <c r="I398" s="28">
        <f>IF(B398="קנייה",D398*E398+G398,0)</f>
        <v/>
      </c>
      <c r="J398" s="41">
        <f>IF(B398="מכירה",D398*E398-G398-D398*IFERROR(SUMIFS($I$5:I398,$C$5:C398,C398)/SUMIFS($D$5:D398,$C$5:C398,C398,$B$5:B398,"קנייה"),0),0)</f>
        <v/>
      </c>
      <c r="K398" s="26" t="n"/>
    </row>
    <row r="399">
      <c r="A399" s="39" t="n"/>
      <c r="B399" s="26" t="n"/>
      <c r="C399" s="26" t="n"/>
      <c r="D399" s="40" t="n"/>
      <c r="E399" s="29" t="n"/>
      <c r="F399" s="29" t="n"/>
      <c r="G399" s="29" t="n"/>
      <c r="H399" s="28">
        <f>IF(B399="","",IF(B399="קנייה",-(D399*E399+G399),IF(B399="מכירה",D399*E399-G399,IF(B399="דיבידנד",F399-G399,IF(B399="הפקדה",F399-G399,IF(B399="משיכה",-F399-G399,-G399))))))</f>
        <v/>
      </c>
      <c r="I399" s="28">
        <f>IF(B399="קנייה",D399*E399+G399,0)</f>
        <v/>
      </c>
      <c r="J399" s="41">
        <f>IF(B399="מכירה",D399*E399-G399-D399*IFERROR(SUMIFS($I$5:I399,$C$5:C399,C399)/SUMIFS($D$5:D399,$C$5:C399,C399,$B$5:B399,"קנייה"),0),0)</f>
        <v/>
      </c>
      <c r="K399" s="26" t="n"/>
    </row>
    <row r="400">
      <c r="A400" s="39" t="n"/>
      <c r="B400" s="26" t="n"/>
      <c r="C400" s="26" t="n"/>
      <c r="D400" s="40" t="n"/>
      <c r="E400" s="29" t="n"/>
      <c r="F400" s="29" t="n"/>
      <c r="G400" s="29" t="n"/>
      <c r="H400" s="28">
        <f>IF(B400="","",IF(B400="קנייה",-(D400*E400+G400),IF(B400="מכירה",D400*E400-G400,IF(B400="דיבידנד",F400-G400,IF(B400="הפקדה",F400-G400,IF(B400="משיכה",-F400-G400,-G400))))))</f>
        <v/>
      </c>
      <c r="I400" s="28">
        <f>IF(B400="קנייה",D400*E400+G400,0)</f>
        <v/>
      </c>
      <c r="J400" s="41">
        <f>IF(B400="מכירה",D400*E400-G400-D400*IFERROR(SUMIFS($I$5:I400,$C$5:C400,C400)/SUMIFS($D$5:D400,$C$5:C400,C400,$B$5:B400,"קנייה"),0),0)</f>
        <v/>
      </c>
      <c r="K400" s="26" t="n"/>
    </row>
    <row r="401">
      <c r="A401" s="39" t="n"/>
      <c r="B401" s="26" t="n"/>
      <c r="C401" s="26" t="n"/>
      <c r="D401" s="40" t="n"/>
      <c r="E401" s="29" t="n"/>
      <c r="F401" s="29" t="n"/>
      <c r="G401" s="29" t="n"/>
      <c r="H401" s="28">
        <f>IF(B401="","",IF(B401="קנייה",-(D401*E401+G401),IF(B401="מכירה",D401*E401-G401,IF(B401="דיבידנד",F401-G401,IF(B401="הפקדה",F401-G401,IF(B401="משיכה",-F401-G401,-G401))))))</f>
        <v/>
      </c>
      <c r="I401" s="28">
        <f>IF(B401="קנייה",D401*E401+G401,0)</f>
        <v/>
      </c>
      <c r="J401" s="41">
        <f>IF(B401="מכירה",D401*E401-G401-D401*IFERROR(SUMIFS($I$5:I401,$C$5:C401,C401)/SUMIFS($D$5:D401,$C$5:C401,C401,$B$5:B401,"קנייה"),0),0)</f>
        <v/>
      </c>
      <c r="K401" s="26" t="n"/>
    </row>
    <row r="402">
      <c r="A402" s="39" t="n"/>
      <c r="B402" s="26" t="n"/>
      <c r="C402" s="26" t="n"/>
      <c r="D402" s="40" t="n"/>
      <c r="E402" s="29" t="n"/>
      <c r="F402" s="29" t="n"/>
      <c r="G402" s="29" t="n"/>
      <c r="H402" s="28">
        <f>IF(B402="","",IF(B402="קנייה",-(D402*E402+G402),IF(B402="מכירה",D402*E402-G402,IF(B402="דיבידנד",F402-G402,IF(B402="הפקדה",F402-G402,IF(B402="משיכה",-F402-G402,-G402))))))</f>
        <v/>
      </c>
      <c r="I402" s="28">
        <f>IF(B402="קנייה",D402*E402+G402,0)</f>
        <v/>
      </c>
      <c r="J402" s="41">
        <f>IF(B402="מכירה",D402*E402-G402-D402*IFERROR(SUMIFS($I$5:I402,$C$5:C402,C402)/SUMIFS($D$5:D402,$C$5:C402,C402,$B$5:B402,"קנייה"),0),0)</f>
        <v/>
      </c>
      <c r="K402" s="26" t="n"/>
    </row>
    <row r="403">
      <c r="A403" s="39" t="n"/>
      <c r="B403" s="26" t="n"/>
      <c r="C403" s="26" t="n"/>
      <c r="D403" s="40" t="n"/>
      <c r="E403" s="29" t="n"/>
      <c r="F403" s="29" t="n"/>
      <c r="G403" s="29" t="n"/>
      <c r="H403" s="28">
        <f>IF(B403="","",IF(B403="קנייה",-(D403*E403+G403),IF(B403="מכירה",D403*E403-G403,IF(B403="דיבידנד",F403-G403,IF(B403="הפקדה",F403-G403,IF(B403="משיכה",-F403-G403,-G403))))))</f>
        <v/>
      </c>
      <c r="I403" s="28">
        <f>IF(B403="קנייה",D403*E403+G403,0)</f>
        <v/>
      </c>
      <c r="J403" s="41">
        <f>IF(B403="מכירה",D403*E403-G403-D403*IFERROR(SUMIFS($I$5:I403,$C$5:C403,C403)/SUMIFS($D$5:D403,$C$5:C403,C403,$B$5:B403,"קנייה"),0),0)</f>
        <v/>
      </c>
      <c r="K403" s="26" t="n"/>
    </row>
    <row r="404">
      <c r="A404" s="39" t="n"/>
      <c r="B404" s="26" t="n"/>
      <c r="C404" s="26" t="n"/>
      <c r="D404" s="40" t="n"/>
      <c r="E404" s="29" t="n"/>
      <c r="F404" s="29" t="n"/>
      <c r="G404" s="29" t="n"/>
      <c r="H404" s="28">
        <f>IF(B404="","",IF(B404="קנייה",-(D404*E404+G404),IF(B404="מכירה",D404*E404-G404,IF(B404="דיבידנד",F404-G404,IF(B404="הפקדה",F404-G404,IF(B404="משיכה",-F404-G404,-G404))))))</f>
        <v/>
      </c>
      <c r="I404" s="28">
        <f>IF(B404="קנייה",D404*E404+G404,0)</f>
        <v/>
      </c>
      <c r="J404" s="41">
        <f>IF(B404="מכירה",D404*E404-G404-D404*IFERROR(SUMIFS($I$5:I404,$C$5:C404,C404)/SUMIFS($D$5:D404,$C$5:C404,C404,$B$5:B404,"קנייה"),0),0)</f>
        <v/>
      </c>
      <c r="K404" s="26" t="n"/>
    </row>
    <row r="405">
      <c r="A405" s="39" t="n"/>
      <c r="B405" s="26" t="n"/>
      <c r="C405" s="26" t="n"/>
      <c r="D405" s="40" t="n"/>
      <c r="E405" s="29" t="n"/>
      <c r="F405" s="29" t="n"/>
      <c r="G405" s="29" t="n"/>
      <c r="H405" s="28">
        <f>IF(B405="","",IF(B405="קנייה",-(D405*E405+G405),IF(B405="מכירה",D405*E405-G405,IF(B405="דיבידנד",F405-G405,IF(B405="הפקדה",F405-G405,IF(B405="משיכה",-F405-G405,-G405))))))</f>
        <v/>
      </c>
      <c r="I405" s="28">
        <f>IF(B405="קנייה",D405*E405+G405,0)</f>
        <v/>
      </c>
      <c r="J405" s="41">
        <f>IF(B405="מכירה",D405*E405-G405-D405*IFERROR(SUMIFS($I$5:I405,$C$5:C405,C405)/SUMIFS($D$5:D405,$C$5:C405,C405,$B$5:B405,"קנייה"),0),0)</f>
        <v/>
      </c>
      <c r="K405" s="26" t="n"/>
    </row>
    <row r="406">
      <c r="A406" s="39" t="n"/>
      <c r="B406" s="26" t="n"/>
      <c r="C406" s="26" t="n"/>
      <c r="D406" s="40" t="n"/>
      <c r="E406" s="29" t="n"/>
      <c r="F406" s="29" t="n"/>
      <c r="G406" s="29" t="n"/>
      <c r="H406" s="28">
        <f>IF(B406="","",IF(B406="קנייה",-(D406*E406+G406),IF(B406="מכירה",D406*E406-G406,IF(B406="דיבידנד",F406-G406,IF(B406="הפקדה",F406-G406,IF(B406="משיכה",-F406-G406,-G406))))))</f>
        <v/>
      </c>
      <c r="I406" s="28">
        <f>IF(B406="קנייה",D406*E406+G406,0)</f>
        <v/>
      </c>
      <c r="J406" s="41">
        <f>IF(B406="מכירה",D406*E406-G406-D406*IFERROR(SUMIFS($I$5:I406,$C$5:C406,C406)/SUMIFS($D$5:D406,$C$5:C406,C406,$B$5:B406,"קנייה"),0),0)</f>
        <v/>
      </c>
      <c r="K406" s="26" t="n"/>
    </row>
    <row r="407">
      <c r="A407" s="39" t="n"/>
      <c r="B407" s="26" t="n"/>
      <c r="C407" s="26" t="n"/>
      <c r="D407" s="40" t="n"/>
      <c r="E407" s="29" t="n"/>
      <c r="F407" s="29" t="n"/>
      <c r="G407" s="29" t="n"/>
      <c r="H407" s="28">
        <f>IF(B407="","",IF(B407="קנייה",-(D407*E407+G407),IF(B407="מכירה",D407*E407-G407,IF(B407="דיבידנד",F407-G407,IF(B407="הפקדה",F407-G407,IF(B407="משיכה",-F407-G407,-G407))))))</f>
        <v/>
      </c>
      <c r="I407" s="28">
        <f>IF(B407="קנייה",D407*E407+G407,0)</f>
        <v/>
      </c>
      <c r="J407" s="41">
        <f>IF(B407="מכירה",D407*E407-G407-D407*IFERROR(SUMIFS($I$5:I407,$C$5:C407,C407)/SUMIFS($D$5:D407,$C$5:C407,C407,$B$5:B407,"קנייה"),0),0)</f>
        <v/>
      </c>
      <c r="K407" s="26" t="n"/>
    </row>
    <row r="408">
      <c r="A408" s="39" t="n"/>
      <c r="B408" s="26" t="n"/>
      <c r="C408" s="26" t="n"/>
      <c r="D408" s="40" t="n"/>
      <c r="E408" s="29" t="n"/>
      <c r="F408" s="29" t="n"/>
      <c r="G408" s="29" t="n"/>
      <c r="H408" s="28">
        <f>IF(B408="","",IF(B408="קנייה",-(D408*E408+G408),IF(B408="מכירה",D408*E408-G408,IF(B408="דיבידנד",F408-G408,IF(B408="הפקדה",F408-G408,IF(B408="משיכה",-F408-G408,-G408))))))</f>
        <v/>
      </c>
      <c r="I408" s="28">
        <f>IF(B408="קנייה",D408*E408+G408,0)</f>
        <v/>
      </c>
      <c r="J408" s="41">
        <f>IF(B408="מכירה",D408*E408-G408-D408*IFERROR(SUMIFS($I$5:I408,$C$5:C408,C408)/SUMIFS($D$5:D408,$C$5:C408,C408,$B$5:B408,"קנייה"),0),0)</f>
        <v/>
      </c>
      <c r="K408" s="26" t="n"/>
    </row>
    <row r="409">
      <c r="A409" s="39" t="n"/>
      <c r="B409" s="26" t="n"/>
      <c r="C409" s="26" t="n"/>
      <c r="D409" s="40" t="n"/>
      <c r="E409" s="29" t="n"/>
      <c r="F409" s="29" t="n"/>
      <c r="G409" s="29" t="n"/>
      <c r="H409" s="28">
        <f>IF(B409="","",IF(B409="קנייה",-(D409*E409+G409),IF(B409="מכירה",D409*E409-G409,IF(B409="דיבידנד",F409-G409,IF(B409="הפקדה",F409-G409,IF(B409="משיכה",-F409-G409,-G409))))))</f>
        <v/>
      </c>
      <c r="I409" s="28">
        <f>IF(B409="קנייה",D409*E409+G409,0)</f>
        <v/>
      </c>
      <c r="J409" s="41">
        <f>IF(B409="מכירה",D409*E409-G409-D409*IFERROR(SUMIFS($I$5:I409,$C$5:C409,C409)/SUMIFS($D$5:D409,$C$5:C409,C409,$B$5:B409,"קנייה"),0),0)</f>
        <v/>
      </c>
      <c r="K409" s="26" t="n"/>
    </row>
    <row r="410">
      <c r="A410" s="39" t="n"/>
      <c r="B410" s="26" t="n"/>
      <c r="C410" s="26" t="n"/>
      <c r="D410" s="40" t="n"/>
      <c r="E410" s="29" t="n"/>
      <c r="F410" s="29" t="n"/>
      <c r="G410" s="29" t="n"/>
      <c r="H410" s="28">
        <f>IF(B410="","",IF(B410="קנייה",-(D410*E410+G410),IF(B410="מכירה",D410*E410-G410,IF(B410="דיבידנד",F410-G410,IF(B410="הפקדה",F410-G410,IF(B410="משיכה",-F410-G410,-G410))))))</f>
        <v/>
      </c>
      <c r="I410" s="28">
        <f>IF(B410="קנייה",D410*E410+G410,0)</f>
        <v/>
      </c>
      <c r="J410" s="41">
        <f>IF(B410="מכירה",D410*E410-G410-D410*IFERROR(SUMIFS($I$5:I410,$C$5:C410,C410)/SUMIFS($D$5:D410,$C$5:C410,C410,$B$5:B410,"קנייה"),0),0)</f>
        <v/>
      </c>
      <c r="K410" s="26" t="n"/>
    </row>
    <row r="411">
      <c r="A411" s="39" t="n"/>
      <c r="B411" s="26" t="n"/>
      <c r="C411" s="26" t="n"/>
      <c r="D411" s="40" t="n"/>
      <c r="E411" s="29" t="n"/>
      <c r="F411" s="29" t="n"/>
      <c r="G411" s="29" t="n"/>
      <c r="H411" s="28">
        <f>IF(B411="","",IF(B411="קנייה",-(D411*E411+G411),IF(B411="מכירה",D411*E411-G411,IF(B411="דיבידנד",F411-G411,IF(B411="הפקדה",F411-G411,IF(B411="משיכה",-F411-G411,-G411))))))</f>
        <v/>
      </c>
      <c r="I411" s="28">
        <f>IF(B411="קנייה",D411*E411+G411,0)</f>
        <v/>
      </c>
      <c r="J411" s="41">
        <f>IF(B411="מכירה",D411*E411-G411-D411*IFERROR(SUMIFS($I$5:I411,$C$5:C411,C411)/SUMIFS($D$5:D411,$C$5:C411,C411,$B$5:B411,"קנייה"),0),0)</f>
        <v/>
      </c>
      <c r="K411" s="26" t="n"/>
    </row>
    <row r="412">
      <c r="A412" s="39" t="n"/>
      <c r="B412" s="26" t="n"/>
      <c r="C412" s="26" t="n"/>
      <c r="D412" s="40" t="n"/>
      <c r="E412" s="29" t="n"/>
      <c r="F412" s="29" t="n"/>
      <c r="G412" s="29" t="n"/>
      <c r="H412" s="28">
        <f>IF(B412="","",IF(B412="קנייה",-(D412*E412+G412),IF(B412="מכירה",D412*E412-G412,IF(B412="דיבידנד",F412-G412,IF(B412="הפקדה",F412-G412,IF(B412="משיכה",-F412-G412,-G412))))))</f>
        <v/>
      </c>
      <c r="I412" s="28">
        <f>IF(B412="קנייה",D412*E412+G412,0)</f>
        <v/>
      </c>
      <c r="J412" s="41">
        <f>IF(B412="מכירה",D412*E412-G412-D412*IFERROR(SUMIFS($I$5:I412,$C$5:C412,C412)/SUMIFS($D$5:D412,$C$5:C412,C412,$B$5:B412,"קנייה"),0),0)</f>
        <v/>
      </c>
      <c r="K412" s="26" t="n"/>
    </row>
    <row r="413">
      <c r="A413" s="39" t="n"/>
      <c r="B413" s="26" t="n"/>
      <c r="C413" s="26" t="n"/>
      <c r="D413" s="40" t="n"/>
      <c r="E413" s="29" t="n"/>
      <c r="F413" s="29" t="n"/>
      <c r="G413" s="29" t="n"/>
      <c r="H413" s="28">
        <f>IF(B413="","",IF(B413="קנייה",-(D413*E413+G413),IF(B413="מכירה",D413*E413-G413,IF(B413="דיבידנד",F413-G413,IF(B413="הפקדה",F413-G413,IF(B413="משיכה",-F413-G413,-G413))))))</f>
        <v/>
      </c>
      <c r="I413" s="28">
        <f>IF(B413="קנייה",D413*E413+G413,0)</f>
        <v/>
      </c>
      <c r="J413" s="41">
        <f>IF(B413="מכירה",D413*E413-G413-D413*IFERROR(SUMIFS($I$5:I413,$C$5:C413,C413)/SUMIFS($D$5:D413,$C$5:C413,C413,$B$5:B413,"קנייה"),0),0)</f>
        <v/>
      </c>
      <c r="K413" s="26" t="n"/>
    </row>
    <row r="414">
      <c r="A414" s="39" t="n"/>
      <c r="B414" s="26" t="n"/>
      <c r="C414" s="26" t="n"/>
      <c r="D414" s="40" t="n"/>
      <c r="E414" s="29" t="n"/>
      <c r="F414" s="29" t="n"/>
      <c r="G414" s="29" t="n"/>
      <c r="H414" s="28">
        <f>IF(B414="","",IF(B414="קנייה",-(D414*E414+G414),IF(B414="מכירה",D414*E414-G414,IF(B414="דיבידנד",F414-G414,IF(B414="הפקדה",F414-G414,IF(B414="משיכה",-F414-G414,-G414))))))</f>
        <v/>
      </c>
      <c r="I414" s="28">
        <f>IF(B414="קנייה",D414*E414+G414,0)</f>
        <v/>
      </c>
      <c r="J414" s="41">
        <f>IF(B414="מכירה",D414*E414-G414-D414*IFERROR(SUMIFS($I$5:I414,$C$5:C414,C414)/SUMIFS($D$5:D414,$C$5:C414,C414,$B$5:B414,"קנייה"),0),0)</f>
        <v/>
      </c>
      <c r="K414" s="26" t="n"/>
    </row>
    <row r="415">
      <c r="A415" s="39" t="n"/>
      <c r="B415" s="26" t="n"/>
      <c r="C415" s="26" t="n"/>
      <c r="D415" s="40" t="n"/>
      <c r="E415" s="29" t="n"/>
      <c r="F415" s="29" t="n"/>
      <c r="G415" s="29" t="n"/>
      <c r="H415" s="28">
        <f>IF(B415="","",IF(B415="קנייה",-(D415*E415+G415),IF(B415="מכירה",D415*E415-G415,IF(B415="דיבידנד",F415-G415,IF(B415="הפקדה",F415-G415,IF(B415="משיכה",-F415-G415,-G415))))))</f>
        <v/>
      </c>
      <c r="I415" s="28">
        <f>IF(B415="קנייה",D415*E415+G415,0)</f>
        <v/>
      </c>
      <c r="J415" s="41">
        <f>IF(B415="מכירה",D415*E415-G415-D415*IFERROR(SUMIFS($I$5:I415,$C$5:C415,C415)/SUMIFS($D$5:D415,$C$5:C415,C415,$B$5:B415,"קנייה"),0),0)</f>
        <v/>
      </c>
      <c r="K415" s="26" t="n"/>
    </row>
    <row r="416">
      <c r="A416" s="39" t="n"/>
      <c r="B416" s="26" t="n"/>
      <c r="C416" s="26" t="n"/>
      <c r="D416" s="40" t="n"/>
      <c r="E416" s="29" t="n"/>
      <c r="F416" s="29" t="n"/>
      <c r="G416" s="29" t="n"/>
      <c r="H416" s="28">
        <f>IF(B416="","",IF(B416="קנייה",-(D416*E416+G416),IF(B416="מכירה",D416*E416-G416,IF(B416="דיבידנד",F416-G416,IF(B416="הפקדה",F416-G416,IF(B416="משיכה",-F416-G416,-G416))))))</f>
        <v/>
      </c>
      <c r="I416" s="28">
        <f>IF(B416="קנייה",D416*E416+G416,0)</f>
        <v/>
      </c>
      <c r="J416" s="41">
        <f>IF(B416="מכירה",D416*E416-G416-D416*IFERROR(SUMIFS($I$5:I416,$C$5:C416,C416)/SUMIFS($D$5:D416,$C$5:C416,C416,$B$5:B416,"קנייה"),0),0)</f>
        <v/>
      </c>
      <c r="K416" s="26" t="n"/>
    </row>
    <row r="417">
      <c r="A417" s="39" t="n"/>
      <c r="B417" s="26" t="n"/>
      <c r="C417" s="26" t="n"/>
      <c r="D417" s="40" t="n"/>
      <c r="E417" s="29" t="n"/>
      <c r="F417" s="29" t="n"/>
      <c r="G417" s="29" t="n"/>
      <c r="H417" s="28">
        <f>IF(B417="","",IF(B417="קנייה",-(D417*E417+G417),IF(B417="מכירה",D417*E417-G417,IF(B417="דיבידנד",F417-G417,IF(B417="הפקדה",F417-G417,IF(B417="משיכה",-F417-G417,-G417))))))</f>
        <v/>
      </c>
      <c r="I417" s="28">
        <f>IF(B417="קנייה",D417*E417+G417,0)</f>
        <v/>
      </c>
      <c r="J417" s="41">
        <f>IF(B417="מכירה",D417*E417-G417-D417*IFERROR(SUMIFS($I$5:I417,$C$5:C417,C417)/SUMIFS($D$5:D417,$C$5:C417,C417,$B$5:B417,"קנייה"),0),0)</f>
        <v/>
      </c>
      <c r="K417" s="26" t="n"/>
    </row>
    <row r="418">
      <c r="A418" s="39" t="n"/>
      <c r="B418" s="26" t="n"/>
      <c r="C418" s="26" t="n"/>
      <c r="D418" s="40" t="n"/>
      <c r="E418" s="29" t="n"/>
      <c r="F418" s="29" t="n"/>
      <c r="G418" s="29" t="n"/>
      <c r="H418" s="28">
        <f>IF(B418="","",IF(B418="קנייה",-(D418*E418+G418),IF(B418="מכירה",D418*E418-G418,IF(B418="דיבידנד",F418-G418,IF(B418="הפקדה",F418-G418,IF(B418="משיכה",-F418-G418,-G418))))))</f>
        <v/>
      </c>
      <c r="I418" s="28">
        <f>IF(B418="קנייה",D418*E418+G418,0)</f>
        <v/>
      </c>
      <c r="J418" s="41">
        <f>IF(B418="מכירה",D418*E418-G418-D418*IFERROR(SUMIFS($I$5:I418,$C$5:C418,C418)/SUMIFS($D$5:D418,$C$5:C418,C418,$B$5:B418,"קנייה"),0),0)</f>
        <v/>
      </c>
      <c r="K418" s="26" t="n"/>
    </row>
    <row r="419">
      <c r="A419" s="39" t="n"/>
      <c r="B419" s="26" t="n"/>
      <c r="C419" s="26" t="n"/>
      <c r="D419" s="40" t="n"/>
      <c r="E419" s="29" t="n"/>
      <c r="F419" s="29" t="n"/>
      <c r="G419" s="29" t="n"/>
      <c r="H419" s="28">
        <f>IF(B419="","",IF(B419="קנייה",-(D419*E419+G419),IF(B419="מכירה",D419*E419-G419,IF(B419="דיבידנד",F419-G419,IF(B419="הפקדה",F419-G419,IF(B419="משיכה",-F419-G419,-G419))))))</f>
        <v/>
      </c>
      <c r="I419" s="28">
        <f>IF(B419="קנייה",D419*E419+G419,0)</f>
        <v/>
      </c>
      <c r="J419" s="41">
        <f>IF(B419="מכירה",D419*E419-G419-D419*IFERROR(SUMIFS($I$5:I419,$C$5:C419,C419)/SUMIFS($D$5:D419,$C$5:C419,C419,$B$5:B419,"קנייה"),0),0)</f>
        <v/>
      </c>
      <c r="K419" s="26" t="n"/>
    </row>
    <row r="420">
      <c r="A420" s="39" t="n"/>
      <c r="B420" s="26" t="n"/>
      <c r="C420" s="26" t="n"/>
      <c r="D420" s="40" t="n"/>
      <c r="E420" s="29" t="n"/>
      <c r="F420" s="29" t="n"/>
      <c r="G420" s="29" t="n"/>
      <c r="H420" s="28">
        <f>IF(B420="","",IF(B420="קנייה",-(D420*E420+G420),IF(B420="מכירה",D420*E420-G420,IF(B420="דיבידנד",F420-G420,IF(B420="הפקדה",F420-G420,IF(B420="משיכה",-F420-G420,-G420))))))</f>
        <v/>
      </c>
      <c r="I420" s="28">
        <f>IF(B420="קנייה",D420*E420+G420,0)</f>
        <v/>
      </c>
      <c r="J420" s="41">
        <f>IF(B420="מכירה",D420*E420-G420-D420*IFERROR(SUMIFS($I$5:I420,$C$5:C420,C420)/SUMIFS($D$5:D420,$C$5:C420,C420,$B$5:B420,"קנייה"),0),0)</f>
        <v/>
      </c>
      <c r="K420" s="26" t="n"/>
    </row>
    <row r="421">
      <c r="A421" s="39" t="n"/>
      <c r="B421" s="26" t="n"/>
      <c r="C421" s="26" t="n"/>
      <c r="D421" s="40" t="n"/>
      <c r="E421" s="29" t="n"/>
      <c r="F421" s="29" t="n"/>
      <c r="G421" s="29" t="n"/>
      <c r="H421" s="28">
        <f>IF(B421="","",IF(B421="קנייה",-(D421*E421+G421),IF(B421="מכירה",D421*E421-G421,IF(B421="דיבידנד",F421-G421,IF(B421="הפקדה",F421-G421,IF(B421="משיכה",-F421-G421,-G421))))))</f>
        <v/>
      </c>
      <c r="I421" s="28">
        <f>IF(B421="קנייה",D421*E421+G421,0)</f>
        <v/>
      </c>
      <c r="J421" s="41">
        <f>IF(B421="מכירה",D421*E421-G421-D421*IFERROR(SUMIFS($I$5:I421,$C$5:C421,C421)/SUMIFS($D$5:D421,$C$5:C421,C421,$B$5:B421,"קנייה"),0),0)</f>
        <v/>
      </c>
      <c r="K421" s="26" t="n"/>
    </row>
    <row r="422">
      <c r="A422" s="39" t="n"/>
      <c r="B422" s="26" t="n"/>
      <c r="C422" s="26" t="n"/>
      <c r="D422" s="40" t="n"/>
      <c r="E422" s="29" t="n"/>
      <c r="F422" s="29" t="n"/>
      <c r="G422" s="29" t="n"/>
      <c r="H422" s="28">
        <f>IF(B422="","",IF(B422="קנייה",-(D422*E422+G422),IF(B422="מכירה",D422*E422-G422,IF(B422="דיבידנד",F422-G422,IF(B422="הפקדה",F422-G422,IF(B422="משיכה",-F422-G422,-G422))))))</f>
        <v/>
      </c>
      <c r="I422" s="28">
        <f>IF(B422="קנייה",D422*E422+G422,0)</f>
        <v/>
      </c>
      <c r="J422" s="41">
        <f>IF(B422="מכירה",D422*E422-G422-D422*IFERROR(SUMIFS($I$5:I422,$C$5:C422,C422)/SUMIFS($D$5:D422,$C$5:C422,C422,$B$5:B422,"קנייה"),0),0)</f>
        <v/>
      </c>
      <c r="K422" s="26" t="n"/>
    </row>
    <row r="423">
      <c r="A423" s="39" t="n"/>
      <c r="B423" s="26" t="n"/>
      <c r="C423" s="26" t="n"/>
      <c r="D423" s="40" t="n"/>
      <c r="E423" s="29" t="n"/>
      <c r="F423" s="29" t="n"/>
      <c r="G423" s="29" t="n"/>
      <c r="H423" s="28">
        <f>IF(B423="","",IF(B423="קנייה",-(D423*E423+G423),IF(B423="מכירה",D423*E423-G423,IF(B423="דיבידנד",F423-G423,IF(B423="הפקדה",F423-G423,IF(B423="משיכה",-F423-G423,-G423))))))</f>
        <v/>
      </c>
      <c r="I423" s="28">
        <f>IF(B423="קנייה",D423*E423+G423,0)</f>
        <v/>
      </c>
      <c r="J423" s="41">
        <f>IF(B423="מכירה",D423*E423-G423-D423*IFERROR(SUMIFS($I$5:I423,$C$5:C423,C423)/SUMIFS($D$5:D423,$C$5:C423,C423,$B$5:B423,"קנייה"),0),0)</f>
        <v/>
      </c>
      <c r="K423" s="26" t="n"/>
    </row>
    <row r="424">
      <c r="A424" s="39" t="n"/>
      <c r="B424" s="26" t="n"/>
      <c r="C424" s="26" t="n"/>
      <c r="D424" s="40" t="n"/>
      <c r="E424" s="29" t="n"/>
      <c r="F424" s="29" t="n"/>
      <c r="G424" s="29" t="n"/>
      <c r="H424" s="28">
        <f>IF(B424="","",IF(B424="קנייה",-(D424*E424+G424),IF(B424="מכירה",D424*E424-G424,IF(B424="דיבידנד",F424-G424,IF(B424="הפקדה",F424-G424,IF(B424="משיכה",-F424-G424,-G424))))))</f>
        <v/>
      </c>
      <c r="I424" s="28">
        <f>IF(B424="קנייה",D424*E424+G424,0)</f>
        <v/>
      </c>
      <c r="J424" s="41">
        <f>IF(B424="מכירה",D424*E424-G424-D424*IFERROR(SUMIFS($I$5:I424,$C$5:C424,C424)/SUMIFS($D$5:D424,$C$5:C424,C424,$B$5:B424,"קנייה"),0),0)</f>
        <v/>
      </c>
      <c r="K424" s="26" t="n"/>
    </row>
    <row r="425">
      <c r="A425" s="39" t="n"/>
      <c r="B425" s="26" t="n"/>
      <c r="C425" s="26" t="n"/>
      <c r="D425" s="40" t="n"/>
      <c r="E425" s="29" t="n"/>
      <c r="F425" s="29" t="n"/>
      <c r="G425" s="29" t="n"/>
      <c r="H425" s="28">
        <f>IF(B425="","",IF(B425="קנייה",-(D425*E425+G425),IF(B425="מכירה",D425*E425-G425,IF(B425="דיבידנד",F425-G425,IF(B425="הפקדה",F425-G425,IF(B425="משיכה",-F425-G425,-G425))))))</f>
        <v/>
      </c>
      <c r="I425" s="28">
        <f>IF(B425="קנייה",D425*E425+G425,0)</f>
        <v/>
      </c>
      <c r="J425" s="41">
        <f>IF(B425="מכירה",D425*E425-G425-D425*IFERROR(SUMIFS($I$5:I425,$C$5:C425,C425)/SUMIFS($D$5:D425,$C$5:C425,C425,$B$5:B425,"קנייה"),0),0)</f>
        <v/>
      </c>
      <c r="K425" s="26" t="n"/>
    </row>
    <row r="426">
      <c r="A426" s="39" t="n"/>
      <c r="B426" s="26" t="n"/>
      <c r="C426" s="26" t="n"/>
      <c r="D426" s="40" t="n"/>
      <c r="E426" s="29" t="n"/>
      <c r="F426" s="29" t="n"/>
      <c r="G426" s="29" t="n"/>
      <c r="H426" s="28">
        <f>IF(B426="","",IF(B426="קנייה",-(D426*E426+G426),IF(B426="מכירה",D426*E426-G426,IF(B426="דיבידנד",F426-G426,IF(B426="הפקדה",F426-G426,IF(B426="משיכה",-F426-G426,-G426))))))</f>
        <v/>
      </c>
      <c r="I426" s="28">
        <f>IF(B426="קנייה",D426*E426+G426,0)</f>
        <v/>
      </c>
      <c r="J426" s="41">
        <f>IF(B426="מכירה",D426*E426-G426-D426*IFERROR(SUMIFS($I$5:I426,$C$5:C426,C426)/SUMIFS($D$5:D426,$C$5:C426,C426,$B$5:B426,"קנייה"),0),0)</f>
        <v/>
      </c>
      <c r="K426" s="26" t="n"/>
    </row>
    <row r="427">
      <c r="A427" s="39" t="n"/>
      <c r="B427" s="26" t="n"/>
      <c r="C427" s="26" t="n"/>
      <c r="D427" s="40" t="n"/>
      <c r="E427" s="29" t="n"/>
      <c r="F427" s="29" t="n"/>
      <c r="G427" s="29" t="n"/>
      <c r="H427" s="28">
        <f>IF(B427="","",IF(B427="קנייה",-(D427*E427+G427),IF(B427="מכירה",D427*E427-G427,IF(B427="דיבידנד",F427-G427,IF(B427="הפקדה",F427-G427,IF(B427="משיכה",-F427-G427,-G427))))))</f>
        <v/>
      </c>
      <c r="I427" s="28">
        <f>IF(B427="קנייה",D427*E427+G427,0)</f>
        <v/>
      </c>
      <c r="J427" s="41">
        <f>IF(B427="מכירה",D427*E427-G427-D427*IFERROR(SUMIFS($I$5:I427,$C$5:C427,C427)/SUMIFS($D$5:D427,$C$5:C427,C427,$B$5:B427,"קנייה"),0),0)</f>
        <v/>
      </c>
      <c r="K427" s="26" t="n"/>
    </row>
    <row r="428">
      <c r="A428" s="39" t="n"/>
      <c r="B428" s="26" t="n"/>
      <c r="C428" s="26" t="n"/>
      <c r="D428" s="40" t="n"/>
      <c r="E428" s="29" t="n"/>
      <c r="F428" s="29" t="n"/>
      <c r="G428" s="29" t="n"/>
      <c r="H428" s="28">
        <f>IF(B428="","",IF(B428="קנייה",-(D428*E428+G428),IF(B428="מכירה",D428*E428-G428,IF(B428="דיבידנד",F428-G428,IF(B428="הפקדה",F428-G428,IF(B428="משיכה",-F428-G428,-G428))))))</f>
        <v/>
      </c>
      <c r="I428" s="28">
        <f>IF(B428="קנייה",D428*E428+G428,0)</f>
        <v/>
      </c>
      <c r="J428" s="41">
        <f>IF(B428="מכירה",D428*E428-G428-D428*IFERROR(SUMIFS($I$5:I428,$C$5:C428,C428)/SUMIFS($D$5:D428,$C$5:C428,C428,$B$5:B428,"קנייה"),0),0)</f>
        <v/>
      </c>
      <c r="K428" s="26" t="n"/>
    </row>
    <row r="429">
      <c r="A429" s="39" t="n"/>
      <c r="B429" s="26" t="n"/>
      <c r="C429" s="26" t="n"/>
      <c r="D429" s="40" t="n"/>
      <c r="E429" s="29" t="n"/>
      <c r="F429" s="29" t="n"/>
      <c r="G429" s="29" t="n"/>
      <c r="H429" s="28">
        <f>IF(B429="","",IF(B429="קנייה",-(D429*E429+G429),IF(B429="מכירה",D429*E429-G429,IF(B429="דיבידנד",F429-G429,IF(B429="הפקדה",F429-G429,IF(B429="משיכה",-F429-G429,-G429))))))</f>
        <v/>
      </c>
      <c r="I429" s="28">
        <f>IF(B429="קנייה",D429*E429+G429,0)</f>
        <v/>
      </c>
      <c r="J429" s="41">
        <f>IF(B429="מכירה",D429*E429-G429-D429*IFERROR(SUMIFS($I$5:I429,$C$5:C429,C429)/SUMIFS($D$5:D429,$C$5:C429,C429,$B$5:B429,"קנייה"),0),0)</f>
        <v/>
      </c>
      <c r="K429" s="26" t="n"/>
    </row>
    <row r="430">
      <c r="A430" s="39" t="n"/>
      <c r="B430" s="26" t="n"/>
      <c r="C430" s="26" t="n"/>
      <c r="D430" s="40" t="n"/>
      <c r="E430" s="29" t="n"/>
      <c r="F430" s="29" t="n"/>
      <c r="G430" s="29" t="n"/>
      <c r="H430" s="28">
        <f>IF(B430="","",IF(B430="קנייה",-(D430*E430+G430),IF(B430="מכירה",D430*E430-G430,IF(B430="דיבידנד",F430-G430,IF(B430="הפקדה",F430-G430,IF(B430="משיכה",-F430-G430,-G430))))))</f>
        <v/>
      </c>
      <c r="I430" s="28">
        <f>IF(B430="קנייה",D430*E430+G430,0)</f>
        <v/>
      </c>
      <c r="J430" s="41">
        <f>IF(B430="מכירה",D430*E430-G430-D430*IFERROR(SUMIFS($I$5:I430,$C$5:C430,C430)/SUMIFS($D$5:D430,$C$5:C430,C430,$B$5:B430,"קנייה"),0),0)</f>
        <v/>
      </c>
      <c r="K430" s="26" t="n"/>
    </row>
    <row r="431">
      <c r="A431" s="39" t="n"/>
      <c r="B431" s="26" t="n"/>
      <c r="C431" s="26" t="n"/>
      <c r="D431" s="40" t="n"/>
      <c r="E431" s="29" t="n"/>
      <c r="F431" s="29" t="n"/>
      <c r="G431" s="29" t="n"/>
      <c r="H431" s="28">
        <f>IF(B431="","",IF(B431="קנייה",-(D431*E431+G431),IF(B431="מכירה",D431*E431-G431,IF(B431="דיבידנד",F431-G431,IF(B431="הפקדה",F431-G431,IF(B431="משיכה",-F431-G431,-G431))))))</f>
        <v/>
      </c>
      <c r="I431" s="28">
        <f>IF(B431="קנייה",D431*E431+G431,0)</f>
        <v/>
      </c>
      <c r="J431" s="41">
        <f>IF(B431="מכירה",D431*E431-G431-D431*IFERROR(SUMIFS($I$5:I431,$C$5:C431,C431)/SUMIFS($D$5:D431,$C$5:C431,C431,$B$5:B431,"קנייה"),0),0)</f>
        <v/>
      </c>
      <c r="K431" s="26" t="n"/>
    </row>
    <row r="432">
      <c r="A432" s="39" t="n"/>
      <c r="B432" s="26" t="n"/>
      <c r="C432" s="26" t="n"/>
      <c r="D432" s="40" t="n"/>
      <c r="E432" s="29" t="n"/>
      <c r="F432" s="29" t="n"/>
      <c r="G432" s="29" t="n"/>
      <c r="H432" s="28">
        <f>IF(B432="","",IF(B432="קנייה",-(D432*E432+G432),IF(B432="מכירה",D432*E432-G432,IF(B432="דיבידנד",F432-G432,IF(B432="הפקדה",F432-G432,IF(B432="משיכה",-F432-G432,-G432))))))</f>
        <v/>
      </c>
      <c r="I432" s="28">
        <f>IF(B432="קנייה",D432*E432+G432,0)</f>
        <v/>
      </c>
      <c r="J432" s="41">
        <f>IF(B432="מכירה",D432*E432-G432-D432*IFERROR(SUMIFS($I$5:I432,$C$5:C432,C432)/SUMIFS($D$5:D432,$C$5:C432,C432,$B$5:B432,"קנייה"),0),0)</f>
        <v/>
      </c>
      <c r="K432" s="26" t="n"/>
    </row>
    <row r="433">
      <c r="A433" s="39" t="n"/>
      <c r="B433" s="26" t="n"/>
      <c r="C433" s="26" t="n"/>
      <c r="D433" s="40" t="n"/>
      <c r="E433" s="29" t="n"/>
      <c r="F433" s="29" t="n"/>
      <c r="G433" s="29" t="n"/>
      <c r="H433" s="28">
        <f>IF(B433="","",IF(B433="קנייה",-(D433*E433+G433),IF(B433="מכירה",D433*E433-G433,IF(B433="דיבידנד",F433-G433,IF(B433="הפקדה",F433-G433,IF(B433="משיכה",-F433-G433,-G433))))))</f>
        <v/>
      </c>
      <c r="I433" s="28">
        <f>IF(B433="קנייה",D433*E433+G433,0)</f>
        <v/>
      </c>
      <c r="J433" s="41">
        <f>IF(B433="מכירה",D433*E433-G433-D433*IFERROR(SUMIFS($I$5:I433,$C$5:C433,C433)/SUMIFS($D$5:D433,$C$5:C433,C433,$B$5:B433,"קנייה"),0),0)</f>
        <v/>
      </c>
      <c r="K433" s="26" t="n"/>
    </row>
    <row r="434">
      <c r="A434" s="39" t="n"/>
      <c r="B434" s="26" t="n"/>
      <c r="C434" s="26" t="n"/>
      <c r="D434" s="40" t="n"/>
      <c r="E434" s="29" t="n"/>
      <c r="F434" s="29" t="n"/>
      <c r="G434" s="29" t="n"/>
      <c r="H434" s="28">
        <f>IF(B434="","",IF(B434="קנייה",-(D434*E434+G434),IF(B434="מכירה",D434*E434-G434,IF(B434="דיבידנד",F434-G434,IF(B434="הפקדה",F434-G434,IF(B434="משיכה",-F434-G434,-G434))))))</f>
        <v/>
      </c>
      <c r="I434" s="28">
        <f>IF(B434="קנייה",D434*E434+G434,0)</f>
        <v/>
      </c>
      <c r="J434" s="41">
        <f>IF(B434="מכירה",D434*E434-G434-D434*IFERROR(SUMIFS($I$5:I434,$C$5:C434,C434)/SUMIFS($D$5:D434,$C$5:C434,C434,$B$5:B434,"קנייה"),0),0)</f>
        <v/>
      </c>
      <c r="K434" s="26" t="n"/>
    </row>
    <row r="435">
      <c r="A435" s="39" t="n"/>
      <c r="B435" s="26" t="n"/>
      <c r="C435" s="26" t="n"/>
      <c r="D435" s="40" t="n"/>
      <c r="E435" s="29" t="n"/>
      <c r="F435" s="29" t="n"/>
      <c r="G435" s="29" t="n"/>
      <c r="H435" s="28">
        <f>IF(B435="","",IF(B435="קנייה",-(D435*E435+G435),IF(B435="מכירה",D435*E435-G435,IF(B435="דיבידנד",F435-G435,IF(B435="הפקדה",F435-G435,IF(B435="משיכה",-F435-G435,-G435))))))</f>
        <v/>
      </c>
      <c r="I435" s="28">
        <f>IF(B435="קנייה",D435*E435+G435,0)</f>
        <v/>
      </c>
      <c r="J435" s="41">
        <f>IF(B435="מכירה",D435*E435-G435-D435*IFERROR(SUMIFS($I$5:I435,$C$5:C435,C435)/SUMIFS($D$5:D435,$C$5:C435,C435,$B$5:B435,"קנייה"),0),0)</f>
        <v/>
      </c>
      <c r="K435" s="26" t="n"/>
    </row>
    <row r="436">
      <c r="A436" s="39" t="n"/>
      <c r="B436" s="26" t="n"/>
      <c r="C436" s="26" t="n"/>
      <c r="D436" s="40" t="n"/>
      <c r="E436" s="29" t="n"/>
      <c r="F436" s="29" t="n"/>
      <c r="G436" s="29" t="n"/>
      <c r="H436" s="28">
        <f>IF(B436="","",IF(B436="קנייה",-(D436*E436+G436),IF(B436="מכירה",D436*E436-G436,IF(B436="דיבידנד",F436-G436,IF(B436="הפקדה",F436-G436,IF(B436="משיכה",-F436-G436,-G436))))))</f>
        <v/>
      </c>
      <c r="I436" s="28">
        <f>IF(B436="קנייה",D436*E436+G436,0)</f>
        <v/>
      </c>
      <c r="J436" s="41">
        <f>IF(B436="מכירה",D436*E436-G436-D436*IFERROR(SUMIFS($I$5:I436,$C$5:C436,C436)/SUMIFS($D$5:D436,$C$5:C436,C436,$B$5:B436,"קנייה"),0),0)</f>
        <v/>
      </c>
      <c r="K436" s="26" t="n"/>
    </row>
    <row r="437">
      <c r="A437" s="39" t="n"/>
      <c r="B437" s="26" t="n"/>
      <c r="C437" s="26" t="n"/>
      <c r="D437" s="40" t="n"/>
      <c r="E437" s="29" t="n"/>
      <c r="F437" s="29" t="n"/>
      <c r="G437" s="29" t="n"/>
      <c r="H437" s="28">
        <f>IF(B437="","",IF(B437="קנייה",-(D437*E437+G437),IF(B437="מכירה",D437*E437-G437,IF(B437="דיבידנד",F437-G437,IF(B437="הפקדה",F437-G437,IF(B437="משיכה",-F437-G437,-G437))))))</f>
        <v/>
      </c>
      <c r="I437" s="28">
        <f>IF(B437="קנייה",D437*E437+G437,0)</f>
        <v/>
      </c>
      <c r="J437" s="41">
        <f>IF(B437="מכירה",D437*E437-G437-D437*IFERROR(SUMIFS($I$5:I437,$C$5:C437,C437)/SUMIFS($D$5:D437,$C$5:C437,C437,$B$5:B437,"קנייה"),0),0)</f>
        <v/>
      </c>
      <c r="K437" s="26" t="n"/>
    </row>
    <row r="438">
      <c r="A438" s="39" t="n"/>
      <c r="B438" s="26" t="n"/>
      <c r="C438" s="26" t="n"/>
      <c r="D438" s="40" t="n"/>
      <c r="E438" s="29" t="n"/>
      <c r="F438" s="29" t="n"/>
      <c r="G438" s="29" t="n"/>
      <c r="H438" s="28">
        <f>IF(B438="","",IF(B438="קנייה",-(D438*E438+G438),IF(B438="מכירה",D438*E438-G438,IF(B438="דיבידנד",F438-G438,IF(B438="הפקדה",F438-G438,IF(B438="משיכה",-F438-G438,-G438))))))</f>
        <v/>
      </c>
      <c r="I438" s="28">
        <f>IF(B438="קנייה",D438*E438+G438,0)</f>
        <v/>
      </c>
      <c r="J438" s="41">
        <f>IF(B438="מכירה",D438*E438-G438-D438*IFERROR(SUMIFS($I$5:I438,$C$5:C438,C438)/SUMIFS($D$5:D438,$C$5:C438,C438,$B$5:B438,"קנייה"),0),0)</f>
        <v/>
      </c>
      <c r="K438" s="26" t="n"/>
    </row>
    <row r="439">
      <c r="A439" s="39" t="n"/>
      <c r="B439" s="26" t="n"/>
      <c r="C439" s="26" t="n"/>
      <c r="D439" s="40" t="n"/>
      <c r="E439" s="29" t="n"/>
      <c r="F439" s="29" t="n"/>
      <c r="G439" s="29" t="n"/>
      <c r="H439" s="28">
        <f>IF(B439="","",IF(B439="קנייה",-(D439*E439+G439),IF(B439="מכירה",D439*E439-G439,IF(B439="דיבידנד",F439-G439,IF(B439="הפקדה",F439-G439,IF(B439="משיכה",-F439-G439,-G439))))))</f>
        <v/>
      </c>
      <c r="I439" s="28">
        <f>IF(B439="קנייה",D439*E439+G439,0)</f>
        <v/>
      </c>
      <c r="J439" s="41">
        <f>IF(B439="מכירה",D439*E439-G439-D439*IFERROR(SUMIFS($I$5:I439,$C$5:C439,C439)/SUMIFS($D$5:D439,$C$5:C439,C439,$B$5:B439,"קנייה"),0),0)</f>
        <v/>
      </c>
      <c r="K439" s="26" t="n"/>
    </row>
    <row r="440">
      <c r="A440" s="39" t="n"/>
      <c r="B440" s="26" t="n"/>
      <c r="C440" s="26" t="n"/>
      <c r="D440" s="40" t="n"/>
      <c r="E440" s="29" t="n"/>
      <c r="F440" s="29" t="n"/>
      <c r="G440" s="29" t="n"/>
      <c r="H440" s="28">
        <f>IF(B440="","",IF(B440="קנייה",-(D440*E440+G440),IF(B440="מכירה",D440*E440-G440,IF(B440="דיבידנד",F440-G440,IF(B440="הפקדה",F440-G440,IF(B440="משיכה",-F440-G440,-G440))))))</f>
        <v/>
      </c>
      <c r="I440" s="28">
        <f>IF(B440="קנייה",D440*E440+G440,0)</f>
        <v/>
      </c>
      <c r="J440" s="41">
        <f>IF(B440="מכירה",D440*E440-G440-D440*IFERROR(SUMIFS($I$5:I440,$C$5:C440,C440)/SUMIFS($D$5:D440,$C$5:C440,C440,$B$5:B440,"קנייה"),0),0)</f>
        <v/>
      </c>
      <c r="K440" s="26" t="n"/>
    </row>
    <row r="441">
      <c r="A441" s="39" t="n"/>
      <c r="B441" s="26" t="n"/>
      <c r="C441" s="26" t="n"/>
      <c r="D441" s="40" t="n"/>
      <c r="E441" s="29" t="n"/>
      <c r="F441" s="29" t="n"/>
      <c r="G441" s="29" t="n"/>
      <c r="H441" s="28">
        <f>IF(B441="","",IF(B441="קנייה",-(D441*E441+G441),IF(B441="מכירה",D441*E441-G441,IF(B441="דיבידנד",F441-G441,IF(B441="הפקדה",F441-G441,IF(B441="משיכה",-F441-G441,-G441))))))</f>
        <v/>
      </c>
      <c r="I441" s="28">
        <f>IF(B441="קנייה",D441*E441+G441,0)</f>
        <v/>
      </c>
      <c r="J441" s="41">
        <f>IF(B441="מכירה",D441*E441-G441-D441*IFERROR(SUMIFS($I$5:I441,$C$5:C441,C441)/SUMIFS($D$5:D441,$C$5:C441,C441,$B$5:B441,"קנייה"),0),0)</f>
        <v/>
      </c>
      <c r="K441" s="26" t="n"/>
    </row>
    <row r="442">
      <c r="A442" s="39" t="n"/>
      <c r="B442" s="26" t="n"/>
      <c r="C442" s="26" t="n"/>
      <c r="D442" s="40" t="n"/>
      <c r="E442" s="29" t="n"/>
      <c r="F442" s="29" t="n"/>
      <c r="G442" s="29" t="n"/>
      <c r="H442" s="28">
        <f>IF(B442="","",IF(B442="קנייה",-(D442*E442+G442),IF(B442="מכירה",D442*E442-G442,IF(B442="דיבידנד",F442-G442,IF(B442="הפקדה",F442-G442,IF(B442="משיכה",-F442-G442,-G442))))))</f>
        <v/>
      </c>
      <c r="I442" s="28">
        <f>IF(B442="קנייה",D442*E442+G442,0)</f>
        <v/>
      </c>
      <c r="J442" s="41">
        <f>IF(B442="מכירה",D442*E442-G442-D442*IFERROR(SUMIFS($I$5:I442,$C$5:C442,C442)/SUMIFS($D$5:D442,$C$5:C442,C442,$B$5:B442,"קנייה"),0),0)</f>
        <v/>
      </c>
      <c r="K442" s="26" t="n"/>
    </row>
    <row r="443">
      <c r="A443" s="39" t="n"/>
      <c r="B443" s="26" t="n"/>
      <c r="C443" s="26" t="n"/>
      <c r="D443" s="40" t="n"/>
      <c r="E443" s="29" t="n"/>
      <c r="F443" s="29" t="n"/>
      <c r="G443" s="29" t="n"/>
      <c r="H443" s="28">
        <f>IF(B443="","",IF(B443="קנייה",-(D443*E443+G443),IF(B443="מכירה",D443*E443-G443,IF(B443="דיבידנד",F443-G443,IF(B443="הפקדה",F443-G443,IF(B443="משיכה",-F443-G443,-G443))))))</f>
        <v/>
      </c>
      <c r="I443" s="28">
        <f>IF(B443="קנייה",D443*E443+G443,0)</f>
        <v/>
      </c>
      <c r="J443" s="41">
        <f>IF(B443="מכירה",D443*E443-G443-D443*IFERROR(SUMIFS($I$5:I443,$C$5:C443,C443)/SUMIFS($D$5:D443,$C$5:C443,C443,$B$5:B443,"קנייה"),0),0)</f>
        <v/>
      </c>
      <c r="K443" s="26" t="n"/>
    </row>
    <row r="444">
      <c r="A444" s="39" t="n"/>
      <c r="B444" s="26" t="n"/>
      <c r="C444" s="26" t="n"/>
      <c r="D444" s="40" t="n"/>
      <c r="E444" s="29" t="n"/>
      <c r="F444" s="29" t="n"/>
      <c r="G444" s="29" t="n"/>
      <c r="H444" s="28">
        <f>IF(B444="","",IF(B444="קנייה",-(D444*E444+G444),IF(B444="מכירה",D444*E444-G444,IF(B444="דיבידנד",F444-G444,IF(B444="הפקדה",F444-G444,IF(B444="משיכה",-F444-G444,-G444))))))</f>
        <v/>
      </c>
      <c r="I444" s="28">
        <f>IF(B444="קנייה",D444*E444+G444,0)</f>
        <v/>
      </c>
      <c r="J444" s="41">
        <f>IF(B444="מכירה",D444*E444-G444-D444*IFERROR(SUMIFS($I$5:I444,$C$5:C444,C444)/SUMIFS($D$5:D444,$C$5:C444,C444,$B$5:B444,"קנייה"),0),0)</f>
        <v/>
      </c>
      <c r="K444" s="26" t="n"/>
    </row>
    <row r="445">
      <c r="A445" s="39" t="n"/>
      <c r="B445" s="26" t="n"/>
      <c r="C445" s="26" t="n"/>
      <c r="D445" s="40" t="n"/>
      <c r="E445" s="29" t="n"/>
      <c r="F445" s="29" t="n"/>
      <c r="G445" s="29" t="n"/>
      <c r="H445" s="28">
        <f>IF(B445="","",IF(B445="קנייה",-(D445*E445+G445),IF(B445="מכירה",D445*E445-G445,IF(B445="דיבידנד",F445-G445,IF(B445="הפקדה",F445-G445,IF(B445="משיכה",-F445-G445,-G445))))))</f>
        <v/>
      </c>
      <c r="I445" s="28">
        <f>IF(B445="קנייה",D445*E445+G445,0)</f>
        <v/>
      </c>
      <c r="J445" s="41">
        <f>IF(B445="מכירה",D445*E445-G445-D445*IFERROR(SUMIFS($I$5:I445,$C$5:C445,C445)/SUMIFS($D$5:D445,$C$5:C445,C445,$B$5:B445,"קנייה"),0),0)</f>
        <v/>
      </c>
      <c r="K445" s="26" t="n"/>
    </row>
    <row r="446">
      <c r="A446" s="39" t="n"/>
      <c r="B446" s="26" t="n"/>
      <c r="C446" s="26" t="n"/>
      <c r="D446" s="40" t="n"/>
      <c r="E446" s="29" t="n"/>
      <c r="F446" s="29" t="n"/>
      <c r="G446" s="29" t="n"/>
      <c r="H446" s="28">
        <f>IF(B446="","",IF(B446="קנייה",-(D446*E446+G446),IF(B446="מכירה",D446*E446-G446,IF(B446="דיבידנד",F446-G446,IF(B446="הפקדה",F446-G446,IF(B446="משיכה",-F446-G446,-G446))))))</f>
        <v/>
      </c>
      <c r="I446" s="28">
        <f>IF(B446="קנייה",D446*E446+G446,0)</f>
        <v/>
      </c>
      <c r="J446" s="41">
        <f>IF(B446="מכירה",D446*E446-G446-D446*IFERROR(SUMIFS($I$5:I446,$C$5:C446,C446)/SUMIFS($D$5:D446,$C$5:C446,C446,$B$5:B446,"קנייה"),0),0)</f>
        <v/>
      </c>
      <c r="K446" s="26" t="n"/>
    </row>
    <row r="447">
      <c r="A447" s="39" t="n"/>
      <c r="B447" s="26" t="n"/>
      <c r="C447" s="26" t="n"/>
      <c r="D447" s="40" t="n"/>
      <c r="E447" s="29" t="n"/>
      <c r="F447" s="29" t="n"/>
      <c r="G447" s="29" t="n"/>
      <c r="H447" s="28">
        <f>IF(B447="","",IF(B447="קנייה",-(D447*E447+G447),IF(B447="מכירה",D447*E447-G447,IF(B447="דיבידנד",F447-G447,IF(B447="הפקדה",F447-G447,IF(B447="משיכה",-F447-G447,-G447))))))</f>
        <v/>
      </c>
      <c r="I447" s="28">
        <f>IF(B447="קנייה",D447*E447+G447,0)</f>
        <v/>
      </c>
      <c r="J447" s="41">
        <f>IF(B447="מכירה",D447*E447-G447-D447*IFERROR(SUMIFS($I$5:I447,$C$5:C447,C447)/SUMIFS($D$5:D447,$C$5:C447,C447,$B$5:B447,"קנייה"),0),0)</f>
        <v/>
      </c>
      <c r="K447" s="26" t="n"/>
    </row>
    <row r="448">
      <c r="A448" s="39" t="n"/>
      <c r="B448" s="26" t="n"/>
      <c r="C448" s="26" t="n"/>
      <c r="D448" s="40" t="n"/>
      <c r="E448" s="29" t="n"/>
      <c r="F448" s="29" t="n"/>
      <c r="G448" s="29" t="n"/>
      <c r="H448" s="28">
        <f>IF(B448="","",IF(B448="קנייה",-(D448*E448+G448),IF(B448="מכירה",D448*E448-G448,IF(B448="דיבידנד",F448-G448,IF(B448="הפקדה",F448-G448,IF(B448="משיכה",-F448-G448,-G448))))))</f>
        <v/>
      </c>
      <c r="I448" s="28">
        <f>IF(B448="קנייה",D448*E448+G448,0)</f>
        <v/>
      </c>
      <c r="J448" s="41">
        <f>IF(B448="מכירה",D448*E448-G448-D448*IFERROR(SUMIFS($I$5:I448,$C$5:C448,C448)/SUMIFS($D$5:D448,$C$5:C448,C448,$B$5:B448,"קנייה"),0),0)</f>
        <v/>
      </c>
      <c r="K448" s="26" t="n"/>
    </row>
    <row r="449">
      <c r="A449" s="39" t="n"/>
      <c r="B449" s="26" t="n"/>
      <c r="C449" s="26" t="n"/>
      <c r="D449" s="40" t="n"/>
      <c r="E449" s="29" t="n"/>
      <c r="F449" s="29" t="n"/>
      <c r="G449" s="29" t="n"/>
      <c r="H449" s="28">
        <f>IF(B449="","",IF(B449="קנייה",-(D449*E449+G449),IF(B449="מכירה",D449*E449-G449,IF(B449="דיבידנד",F449-G449,IF(B449="הפקדה",F449-G449,IF(B449="משיכה",-F449-G449,-G449))))))</f>
        <v/>
      </c>
      <c r="I449" s="28">
        <f>IF(B449="קנייה",D449*E449+G449,0)</f>
        <v/>
      </c>
      <c r="J449" s="41">
        <f>IF(B449="מכירה",D449*E449-G449-D449*IFERROR(SUMIFS($I$5:I449,$C$5:C449,C449)/SUMIFS($D$5:D449,$C$5:C449,C449,$B$5:B449,"קנייה"),0),0)</f>
        <v/>
      </c>
      <c r="K449" s="26" t="n"/>
    </row>
    <row r="450">
      <c r="A450" s="39" t="n"/>
      <c r="B450" s="26" t="n"/>
      <c r="C450" s="26" t="n"/>
      <c r="D450" s="40" t="n"/>
      <c r="E450" s="29" t="n"/>
      <c r="F450" s="29" t="n"/>
      <c r="G450" s="29" t="n"/>
      <c r="H450" s="28">
        <f>IF(B450="","",IF(B450="קנייה",-(D450*E450+G450),IF(B450="מכירה",D450*E450-G450,IF(B450="דיבידנד",F450-G450,IF(B450="הפקדה",F450-G450,IF(B450="משיכה",-F450-G450,-G450))))))</f>
        <v/>
      </c>
      <c r="I450" s="28">
        <f>IF(B450="קנייה",D450*E450+G450,0)</f>
        <v/>
      </c>
      <c r="J450" s="41">
        <f>IF(B450="מכירה",D450*E450-G450-D450*IFERROR(SUMIFS($I$5:I450,$C$5:C450,C450)/SUMIFS($D$5:D450,$C$5:C450,C450,$B$5:B450,"קנייה"),0),0)</f>
        <v/>
      </c>
      <c r="K450" s="26" t="n"/>
    </row>
    <row r="451">
      <c r="A451" s="39" t="n"/>
      <c r="B451" s="26" t="n"/>
      <c r="C451" s="26" t="n"/>
      <c r="D451" s="40" t="n"/>
      <c r="E451" s="29" t="n"/>
      <c r="F451" s="29" t="n"/>
      <c r="G451" s="29" t="n"/>
      <c r="H451" s="28">
        <f>IF(B451="","",IF(B451="קנייה",-(D451*E451+G451),IF(B451="מכירה",D451*E451-G451,IF(B451="דיבידנד",F451-G451,IF(B451="הפקדה",F451-G451,IF(B451="משיכה",-F451-G451,-G451))))))</f>
        <v/>
      </c>
      <c r="I451" s="28">
        <f>IF(B451="קנייה",D451*E451+G451,0)</f>
        <v/>
      </c>
      <c r="J451" s="41">
        <f>IF(B451="מכירה",D451*E451-G451-D451*IFERROR(SUMIFS($I$5:I451,$C$5:C451,C451)/SUMIFS($D$5:D451,$C$5:C451,C451,$B$5:B451,"קנייה"),0),0)</f>
        <v/>
      </c>
      <c r="K451" s="26" t="n"/>
    </row>
    <row r="452">
      <c r="A452" s="39" t="n"/>
      <c r="B452" s="26" t="n"/>
      <c r="C452" s="26" t="n"/>
      <c r="D452" s="40" t="n"/>
      <c r="E452" s="29" t="n"/>
      <c r="F452" s="29" t="n"/>
      <c r="G452" s="29" t="n"/>
      <c r="H452" s="28">
        <f>IF(B452="","",IF(B452="קנייה",-(D452*E452+G452),IF(B452="מכירה",D452*E452-G452,IF(B452="דיבידנד",F452-G452,IF(B452="הפקדה",F452-G452,IF(B452="משיכה",-F452-G452,-G452))))))</f>
        <v/>
      </c>
      <c r="I452" s="28">
        <f>IF(B452="קנייה",D452*E452+G452,0)</f>
        <v/>
      </c>
      <c r="J452" s="41">
        <f>IF(B452="מכירה",D452*E452-G452-D452*IFERROR(SUMIFS($I$5:I452,$C$5:C452,C452)/SUMIFS($D$5:D452,$C$5:C452,C452,$B$5:B452,"קנייה"),0),0)</f>
        <v/>
      </c>
      <c r="K452" s="26" t="n"/>
    </row>
    <row r="453">
      <c r="A453" s="39" t="n"/>
      <c r="B453" s="26" t="n"/>
      <c r="C453" s="26" t="n"/>
      <c r="D453" s="40" t="n"/>
      <c r="E453" s="29" t="n"/>
      <c r="F453" s="29" t="n"/>
      <c r="G453" s="29" t="n"/>
      <c r="H453" s="28">
        <f>IF(B453="","",IF(B453="קנייה",-(D453*E453+G453),IF(B453="מכירה",D453*E453-G453,IF(B453="דיבידנד",F453-G453,IF(B453="הפקדה",F453-G453,IF(B453="משיכה",-F453-G453,-G453))))))</f>
        <v/>
      </c>
      <c r="I453" s="28">
        <f>IF(B453="קנייה",D453*E453+G453,0)</f>
        <v/>
      </c>
      <c r="J453" s="41">
        <f>IF(B453="מכירה",D453*E453-G453-D453*IFERROR(SUMIFS($I$5:I453,$C$5:C453,C453)/SUMIFS($D$5:D453,$C$5:C453,C453,$B$5:B453,"קנייה"),0),0)</f>
        <v/>
      </c>
      <c r="K453" s="26" t="n"/>
    </row>
    <row r="454">
      <c r="A454" s="39" t="n"/>
      <c r="B454" s="26" t="n"/>
      <c r="C454" s="26" t="n"/>
      <c r="D454" s="40" t="n"/>
      <c r="E454" s="29" t="n"/>
      <c r="F454" s="29" t="n"/>
      <c r="G454" s="29" t="n"/>
      <c r="H454" s="28">
        <f>IF(B454="","",IF(B454="קנייה",-(D454*E454+G454),IF(B454="מכירה",D454*E454-G454,IF(B454="דיבידנד",F454-G454,IF(B454="הפקדה",F454-G454,IF(B454="משיכה",-F454-G454,-G454))))))</f>
        <v/>
      </c>
      <c r="I454" s="28">
        <f>IF(B454="קנייה",D454*E454+G454,0)</f>
        <v/>
      </c>
      <c r="J454" s="41">
        <f>IF(B454="מכירה",D454*E454-G454-D454*IFERROR(SUMIFS($I$5:I454,$C$5:C454,C454)/SUMIFS($D$5:D454,$C$5:C454,C454,$B$5:B454,"קנייה"),0),0)</f>
        <v/>
      </c>
      <c r="K454" s="26" t="n"/>
    </row>
    <row r="455">
      <c r="A455" s="39" t="n"/>
      <c r="B455" s="26" t="n"/>
      <c r="C455" s="26" t="n"/>
      <c r="D455" s="40" t="n"/>
      <c r="E455" s="29" t="n"/>
      <c r="F455" s="29" t="n"/>
      <c r="G455" s="29" t="n"/>
      <c r="H455" s="28">
        <f>IF(B455="","",IF(B455="קנייה",-(D455*E455+G455),IF(B455="מכירה",D455*E455-G455,IF(B455="דיבידנד",F455-G455,IF(B455="הפקדה",F455-G455,IF(B455="משיכה",-F455-G455,-G455))))))</f>
        <v/>
      </c>
      <c r="I455" s="28">
        <f>IF(B455="קנייה",D455*E455+G455,0)</f>
        <v/>
      </c>
      <c r="J455" s="41">
        <f>IF(B455="מכירה",D455*E455-G455-D455*IFERROR(SUMIFS($I$5:I455,$C$5:C455,C455)/SUMIFS($D$5:D455,$C$5:C455,C455,$B$5:B455,"קנייה"),0),0)</f>
        <v/>
      </c>
      <c r="K455" s="26" t="n"/>
    </row>
    <row r="456">
      <c r="A456" s="39" t="n"/>
      <c r="B456" s="26" t="n"/>
      <c r="C456" s="26" t="n"/>
      <c r="D456" s="40" t="n"/>
      <c r="E456" s="29" t="n"/>
      <c r="F456" s="29" t="n"/>
      <c r="G456" s="29" t="n"/>
      <c r="H456" s="28">
        <f>IF(B456="","",IF(B456="קנייה",-(D456*E456+G456),IF(B456="מכירה",D456*E456-G456,IF(B456="דיבידנד",F456-G456,IF(B456="הפקדה",F456-G456,IF(B456="משיכה",-F456-G456,-G456))))))</f>
        <v/>
      </c>
      <c r="I456" s="28">
        <f>IF(B456="קנייה",D456*E456+G456,0)</f>
        <v/>
      </c>
      <c r="J456" s="41">
        <f>IF(B456="מכירה",D456*E456-G456-D456*IFERROR(SUMIFS($I$5:I456,$C$5:C456,C456)/SUMIFS($D$5:D456,$C$5:C456,C456,$B$5:B456,"קנייה"),0),0)</f>
        <v/>
      </c>
      <c r="K456" s="26" t="n"/>
    </row>
    <row r="457">
      <c r="A457" s="39" t="n"/>
      <c r="B457" s="26" t="n"/>
      <c r="C457" s="26" t="n"/>
      <c r="D457" s="40" t="n"/>
      <c r="E457" s="29" t="n"/>
      <c r="F457" s="29" t="n"/>
      <c r="G457" s="29" t="n"/>
      <c r="H457" s="28">
        <f>IF(B457="","",IF(B457="קנייה",-(D457*E457+G457),IF(B457="מכירה",D457*E457-G457,IF(B457="דיבידנד",F457-G457,IF(B457="הפקדה",F457-G457,IF(B457="משיכה",-F457-G457,-G457))))))</f>
        <v/>
      </c>
      <c r="I457" s="28">
        <f>IF(B457="קנייה",D457*E457+G457,0)</f>
        <v/>
      </c>
      <c r="J457" s="41">
        <f>IF(B457="מכירה",D457*E457-G457-D457*IFERROR(SUMIFS($I$5:I457,$C$5:C457,C457)/SUMIFS($D$5:D457,$C$5:C457,C457,$B$5:B457,"קנייה"),0),0)</f>
        <v/>
      </c>
      <c r="K457" s="26" t="n"/>
    </row>
    <row r="458">
      <c r="A458" s="39" t="n"/>
      <c r="B458" s="26" t="n"/>
      <c r="C458" s="26" t="n"/>
      <c r="D458" s="40" t="n"/>
      <c r="E458" s="29" t="n"/>
      <c r="F458" s="29" t="n"/>
      <c r="G458" s="29" t="n"/>
      <c r="H458" s="28">
        <f>IF(B458="","",IF(B458="קנייה",-(D458*E458+G458),IF(B458="מכירה",D458*E458-G458,IF(B458="דיבידנד",F458-G458,IF(B458="הפקדה",F458-G458,IF(B458="משיכה",-F458-G458,-G458))))))</f>
        <v/>
      </c>
      <c r="I458" s="28">
        <f>IF(B458="קנייה",D458*E458+G458,0)</f>
        <v/>
      </c>
      <c r="J458" s="41">
        <f>IF(B458="מכירה",D458*E458-G458-D458*IFERROR(SUMIFS($I$5:I458,$C$5:C458,C458)/SUMIFS($D$5:D458,$C$5:C458,C458,$B$5:B458,"קנייה"),0),0)</f>
        <v/>
      </c>
      <c r="K458" s="26" t="n"/>
    </row>
    <row r="459">
      <c r="A459" s="39" t="n"/>
      <c r="B459" s="26" t="n"/>
      <c r="C459" s="26" t="n"/>
      <c r="D459" s="40" t="n"/>
      <c r="E459" s="29" t="n"/>
      <c r="F459" s="29" t="n"/>
      <c r="G459" s="29" t="n"/>
      <c r="H459" s="28">
        <f>IF(B459="","",IF(B459="קנייה",-(D459*E459+G459),IF(B459="מכירה",D459*E459-G459,IF(B459="דיבידנד",F459-G459,IF(B459="הפקדה",F459-G459,IF(B459="משיכה",-F459-G459,-G459))))))</f>
        <v/>
      </c>
      <c r="I459" s="28">
        <f>IF(B459="קנייה",D459*E459+G459,0)</f>
        <v/>
      </c>
      <c r="J459" s="41">
        <f>IF(B459="מכירה",D459*E459-G459-D459*IFERROR(SUMIFS($I$5:I459,$C$5:C459,C459)/SUMIFS($D$5:D459,$C$5:C459,C459,$B$5:B459,"קנייה"),0),0)</f>
        <v/>
      </c>
      <c r="K459" s="26" t="n"/>
    </row>
    <row r="460">
      <c r="A460" s="39" t="n"/>
      <c r="B460" s="26" t="n"/>
      <c r="C460" s="26" t="n"/>
      <c r="D460" s="40" t="n"/>
      <c r="E460" s="29" t="n"/>
      <c r="F460" s="29" t="n"/>
      <c r="G460" s="29" t="n"/>
      <c r="H460" s="28">
        <f>IF(B460="","",IF(B460="קנייה",-(D460*E460+G460),IF(B460="מכירה",D460*E460-G460,IF(B460="דיבידנד",F460-G460,IF(B460="הפקדה",F460-G460,IF(B460="משיכה",-F460-G460,-G460))))))</f>
        <v/>
      </c>
      <c r="I460" s="28">
        <f>IF(B460="קנייה",D460*E460+G460,0)</f>
        <v/>
      </c>
      <c r="J460" s="41">
        <f>IF(B460="מכירה",D460*E460-G460-D460*IFERROR(SUMIFS($I$5:I460,$C$5:C460,C460)/SUMIFS($D$5:D460,$C$5:C460,C460,$B$5:B460,"קנייה"),0),0)</f>
        <v/>
      </c>
      <c r="K460" s="26" t="n"/>
    </row>
    <row r="461">
      <c r="A461" s="39" t="n"/>
      <c r="B461" s="26" t="n"/>
      <c r="C461" s="26" t="n"/>
      <c r="D461" s="40" t="n"/>
      <c r="E461" s="29" t="n"/>
      <c r="F461" s="29" t="n"/>
      <c r="G461" s="29" t="n"/>
      <c r="H461" s="28">
        <f>IF(B461="","",IF(B461="קנייה",-(D461*E461+G461),IF(B461="מכירה",D461*E461-G461,IF(B461="דיבידנד",F461-G461,IF(B461="הפקדה",F461-G461,IF(B461="משיכה",-F461-G461,-G461))))))</f>
        <v/>
      </c>
      <c r="I461" s="28">
        <f>IF(B461="קנייה",D461*E461+G461,0)</f>
        <v/>
      </c>
      <c r="J461" s="41">
        <f>IF(B461="מכירה",D461*E461-G461-D461*IFERROR(SUMIFS($I$5:I461,$C$5:C461,C461)/SUMIFS($D$5:D461,$C$5:C461,C461,$B$5:B461,"קנייה"),0),0)</f>
        <v/>
      </c>
      <c r="K461" s="26" t="n"/>
    </row>
    <row r="462">
      <c r="A462" s="39" t="n"/>
      <c r="B462" s="26" t="n"/>
      <c r="C462" s="26" t="n"/>
      <c r="D462" s="40" t="n"/>
      <c r="E462" s="29" t="n"/>
      <c r="F462" s="29" t="n"/>
      <c r="G462" s="29" t="n"/>
      <c r="H462" s="28">
        <f>IF(B462="","",IF(B462="קנייה",-(D462*E462+G462),IF(B462="מכירה",D462*E462-G462,IF(B462="דיבידנד",F462-G462,IF(B462="הפקדה",F462-G462,IF(B462="משיכה",-F462-G462,-G462))))))</f>
        <v/>
      </c>
      <c r="I462" s="28">
        <f>IF(B462="קנייה",D462*E462+G462,0)</f>
        <v/>
      </c>
      <c r="J462" s="41">
        <f>IF(B462="מכירה",D462*E462-G462-D462*IFERROR(SUMIFS($I$5:I462,$C$5:C462,C462)/SUMIFS($D$5:D462,$C$5:C462,C462,$B$5:B462,"קנייה"),0),0)</f>
        <v/>
      </c>
      <c r="K462" s="26" t="n"/>
    </row>
    <row r="463">
      <c r="A463" s="39" t="n"/>
      <c r="B463" s="26" t="n"/>
      <c r="C463" s="26" t="n"/>
      <c r="D463" s="40" t="n"/>
      <c r="E463" s="29" t="n"/>
      <c r="F463" s="29" t="n"/>
      <c r="G463" s="29" t="n"/>
      <c r="H463" s="28">
        <f>IF(B463="","",IF(B463="קנייה",-(D463*E463+G463),IF(B463="מכירה",D463*E463-G463,IF(B463="דיבידנד",F463-G463,IF(B463="הפקדה",F463-G463,IF(B463="משיכה",-F463-G463,-G463))))))</f>
        <v/>
      </c>
      <c r="I463" s="28">
        <f>IF(B463="קנייה",D463*E463+G463,0)</f>
        <v/>
      </c>
      <c r="J463" s="41">
        <f>IF(B463="מכירה",D463*E463-G463-D463*IFERROR(SUMIFS($I$5:I463,$C$5:C463,C463)/SUMIFS($D$5:D463,$C$5:C463,C463,$B$5:B463,"קנייה"),0),0)</f>
        <v/>
      </c>
      <c r="K463" s="26" t="n"/>
    </row>
    <row r="464">
      <c r="A464" s="39" t="n"/>
      <c r="B464" s="26" t="n"/>
      <c r="C464" s="26" t="n"/>
      <c r="D464" s="40" t="n"/>
      <c r="E464" s="29" t="n"/>
      <c r="F464" s="29" t="n"/>
      <c r="G464" s="29" t="n"/>
      <c r="H464" s="28">
        <f>IF(B464="","",IF(B464="קנייה",-(D464*E464+G464),IF(B464="מכירה",D464*E464-G464,IF(B464="דיבידנד",F464-G464,IF(B464="הפקדה",F464-G464,IF(B464="משיכה",-F464-G464,-G464))))))</f>
        <v/>
      </c>
      <c r="I464" s="28">
        <f>IF(B464="קנייה",D464*E464+G464,0)</f>
        <v/>
      </c>
      <c r="J464" s="41">
        <f>IF(B464="מכירה",D464*E464-G464-D464*IFERROR(SUMIFS($I$5:I464,$C$5:C464,C464)/SUMIFS($D$5:D464,$C$5:C464,C464,$B$5:B464,"קנייה"),0),0)</f>
        <v/>
      </c>
      <c r="K464" s="26" t="n"/>
    </row>
    <row r="465">
      <c r="A465" s="39" t="n"/>
      <c r="B465" s="26" t="n"/>
      <c r="C465" s="26" t="n"/>
      <c r="D465" s="40" t="n"/>
      <c r="E465" s="29" t="n"/>
      <c r="F465" s="29" t="n"/>
      <c r="G465" s="29" t="n"/>
      <c r="H465" s="28">
        <f>IF(B465="","",IF(B465="קנייה",-(D465*E465+G465),IF(B465="מכירה",D465*E465-G465,IF(B465="דיבידנד",F465-G465,IF(B465="הפקדה",F465-G465,IF(B465="משיכה",-F465-G465,-G465))))))</f>
        <v/>
      </c>
      <c r="I465" s="28">
        <f>IF(B465="קנייה",D465*E465+G465,0)</f>
        <v/>
      </c>
      <c r="J465" s="41">
        <f>IF(B465="מכירה",D465*E465-G465-D465*IFERROR(SUMIFS($I$5:I465,$C$5:C465,C465)/SUMIFS($D$5:D465,$C$5:C465,C465,$B$5:B465,"קנייה"),0),0)</f>
        <v/>
      </c>
      <c r="K465" s="26" t="n"/>
    </row>
    <row r="466">
      <c r="A466" s="39" t="n"/>
      <c r="B466" s="26" t="n"/>
      <c r="C466" s="26" t="n"/>
      <c r="D466" s="40" t="n"/>
      <c r="E466" s="29" t="n"/>
      <c r="F466" s="29" t="n"/>
      <c r="G466" s="29" t="n"/>
      <c r="H466" s="28">
        <f>IF(B466="","",IF(B466="קנייה",-(D466*E466+G466),IF(B466="מכירה",D466*E466-G466,IF(B466="דיבידנד",F466-G466,IF(B466="הפקדה",F466-G466,IF(B466="משיכה",-F466-G466,-G466))))))</f>
        <v/>
      </c>
      <c r="I466" s="28">
        <f>IF(B466="קנייה",D466*E466+G466,0)</f>
        <v/>
      </c>
      <c r="J466" s="41">
        <f>IF(B466="מכירה",D466*E466-G466-D466*IFERROR(SUMIFS($I$5:I466,$C$5:C466,C466)/SUMIFS($D$5:D466,$C$5:C466,C466,$B$5:B466,"קנייה"),0),0)</f>
        <v/>
      </c>
      <c r="K466" s="26" t="n"/>
    </row>
    <row r="467">
      <c r="A467" s="39" t="n"/>
      <c r="B467" s="26" t="n"/>
      <c r="C467" s="26" t="n"/>
      <c r="D467" s="40" t="n"/>
      <c r="E467" s="29" t="n"/>
      <c r="F467" s="29" t="n"/>
      <c r="G467" s="29" t="n"/>
      <c r="H467" s="28">
        <f>IF(B467="","",IF(B467="קנייה",-(D467*E467+G467),IF(B467="מכירה",D467*E467-G467,IF(B467="דיבידנד",F467-G467,IF(B467="הפקדה",F467-G467,IF(B467="משיכה",-F467-G467,-G467))))))</f>
        <v/>
      </c>
      <c r="I467" s="28">
        <f>IF(B467="קנייה",D467*E467+G467,0)</f>
        <v/>
      </c>
      <c r="J467" s="41">
        <f>IF(B467="מכירה",D467*E467-G467-D467*IFERROR(SUMIFS($I$5:I467,$C$5:C467,C467)/SUMIFS($D$5:D467,$C$5:C467,C467,$B$5:B467,"קנייה"),0),0)</f>
        <v/>
      </c>
      <c r="K467" s="26" t="n"/>
    </row>
    <row r="468">
      <c r="A468" s="39" t="n"/>
      <c r="B468" s="26" t="n"/>
      <c r="C468" s="26" t="n"/>
      <c r="D468" s="40" t="n"/>
      <c r="E468" s="29" t="n"/>
      <c r="F468" s="29" t="n"/>
      <c r="G468" s="29" t="n"/>
      <c r="H468" s="28">
        <f>IF(B468="","",IF(B468="קנייה",-(D468*E468+G468),IF(B468="מכירה",D468*E468-G468,IF(B468="דיבידנד",F468-G468,IF(B468="הפקדה",F468-G468,IF(B468="משיכה",-F468-G468,-G468))))))</f>
        <v/>
      </c>
      <c r="I468" s="28">
        <f>IF(B468="קנייה",D468*E468+G468,0)</f>
        <v/>
      </c>
      <c r="J468" s="41">
        <f>IF(B468="מכירה",D468*E468-G468-D468*IFERROR(SUMIFS($I$5:I468,$C$5:C468,C468)/SUMIFS($D$5:D468,$C$5:C468,C468,$B$5:B468,"קנייה"),0),0)</f>
        <v/>
      </c>
      <c r="K468" s="26" t="n"/>
    </row>
    <row r="469">
      <c r="A469" s="39" t="n"/>
      <c r="B469" s="26" t="n"/>
      <c r="C469" s="26" t="n"/>
      <c r="D469" s="40" t="n"/>
      <c r="E469" s="29" t="n"/>
      <c r="F469" s="29" t="n"/>
      <c r="G469" s="29" t="n"/>
      <c r="H469" s="28">
        <f>IF(B469="","",IF(B469="קנייה",-(D469*E469+G469),IF(B469="מכירה",D469*E469-G469,IF(B469="דיבידנד",F469-G469,IF(B469="הפקדה",F469-G469,IF(B469="משיכה",-F469-G469,-G469))))))</f>
        <v/>
      </c>
      <c r="I469" s="28">
        <f>IF(B469="קנייה",D469*E469+G469,0)</f>
        <v/>
      </c>
      <c r="J469" s="41">
        <f>IF(B469="מכירה",D469*E469-G469-D469*IFERROR(SUMIFS($I$5:I469,$C$5:C469,C469)/SUMIFS($D$5:D469,$C$5:C469,C469,$B$5:B469,"קנייה"),0),0)</f>
        <v/>
      </c>
      <c r="K469" s="26" t="n"/>
    </row>
    <row r="470">
      <c r="A470" s="39" t="n"/>
      <c r="B470" s="26" t="n"/>
      <c r="C470" s="26" t="n"/>
      <c r="D470" s="40" t="n"/>
      <c r="E470" s="29" t="n"/>
      <c r="F470" s="29" t="n"/>
      <c r="G470" s="29" t="n"/>
      <c r="H470" s="28">
        <f>IF(B470="","",IF(B470="קנייה",-(D470*E470+G470),IF(B470="מכירה",D470*E470-G470,IF(B470="דיבידנד",F470-G470,IF(B470="הפקדה",F470-G470,IF(B470="משיכה",-F470-G470,-G470))))))</f>
        <v/>
      </c>
      <c r="I470" s="28">
        <f>IF(B470="קנייה",D470*E470+G470,0)</f>
        <v/>
      </c>
      <c r="J470" s="41">
        <f>IF(B470="מכירה",D470*E470-G470-D470*IFERROR(SUMIFS($I$5:I470,$C$5:C470,C470)/SUMIFS($D$5:D470,$C$5:C470,C470,$B$5:B470,"קנייה"),0),0)</f>
        <v/>
      </c>
      <c r="K470" s="26" t="n"/>
    </row>
    <row r="471">
      <c r="A471" s="39" t="n"/>
      <c r="B471" s="26" t="n"/>
      <c r="C471" s="26" t="n"/>
      <c r="D471" s="40" t="n"/>
      <c r="E471" s="29" t="n"/>
      <c r="F471" s="29" t="n"/>
      <c r="G471" s="29" t="n"/>
      <c r="H471" s="28">
        <f>IF(B471="","",IF(B471="קנייה",-(D471*E471+G471),IF(B471="מכירה",D471*E471-G471,IF(B471="דיבידנד",F471-G471,IF(B471="הפקדה",F471-G471,IF(B471="משיכה",-F471-G471,-G471))))))</f>
        <v/>
      </c>
      <c r="I471" s="28">
        <f>IF(B471="קנייה",D471*E471+G471,0)</f>
        <v/>
      </c>
      <c r="J471" s="41">
        <f>IF(B471="מכירה",D471*E471-G471-D471*IFERROR(SUMIFS($I$5:I471,$C$5:C471,C471)/SUMIFS($D$5:D471,$C$5:C471,C471,$B$5:B471,"קנייה"),0),0)</f>
        <v/>
      </c>
      <c r="K471" s="26" t="n"/>
    </row>
    <row r="472">
      <c r="A472" s="39" t="n"/>
      <c r="B472" s="26" t="n"/>
      <c r="C472" s="26" t="n"/>
      <c r="D472" s="40" t="n"/>
      <c r="E472" s="29" t="n"/>
      <c r="F472" s="29" t="n"/>
      <c r="G472" s="29" t="n"/>
      <c r="H472" s="28">
        <f>IF(B472="","",IF(B472="קנייה",-(D472*E472+G472),IF(B472="מכירה",D472*E472-G472,IF(B472="דיבידנד",F472-G472,IF(B472="הפקדה",F472-G472,IF(B472="משיכה",-F472-G472,-G472))))))</f>
        <v/>
      </c>
      <c r="I472" s="28">
        <f>IF(B472="קנייה",D472*E472+G472,0)</f>
        <v/>
      </c>
      <c r="J472" s="41">
        <f>IF(B472="מכירה",D472*E472-G472-D472*IFERROR(SUMIFS($I$5:I472,$C$5:C472,C472)/SUMIFS($D$5:D472,$C$5:C472,C472,$B$5:B472,"קנייה"),0),0)</f>
        <v/>
      </c>
      <c r="K472" s="26" t="n"/>
    </row>
    <row r="473">
      <c r="A473" s="39" t="n"/>
      <c r="B473" s="26" t="n"/>
      <c r="C473" s="26" t="n"/>
      <c r="D473" s="40" t="n"/>
      <c r="E473" s="29" t="n"/>
      <c r="F473" s="29" t="n"/>
      <c r="G473" s="29" t="n"/>
      <c r="H473" s="28">
        <f>IF(B473="","",IF(B473="קנייה",-(D473*E473+G473),IF(B473="מכירה",D473*E473-G473,IF(B473="דיבידנד",F473-G473,IF(B473="הפקדה",F473-G473,IF(B473="משיכה",-F473-G473,-G473))))))</f>
        <v/>
      </c>
      <c r="I473" s="28">
        <f>IF(B473="קנייה",D473*E473+G473,0)</f>
        <v/>
      </c>
      <c r="J473" s="41">
        <f>IF(B473="מכירה",D473*E473-G473-D473*IFERROR(SUMIFS($I$5:I473,$C$5:C473,C473)/SUMIFS($D$5:D473,$C$5:C473,C473,$B$5:B473,"קנייה"),0),0)</f>
        <v/>
      </c>
      <c r="K473" s="26" t="n"/>
    </row>
    <row r="474">
      <c r="A474" s="39" t="n"/>
      <c r="B474" s="26" t="n"/>
      <c r="C474" s="26" t="n"/>
      <c r="D474" s="40" t="n"/>
      <c r="E474" s="29" t="n"/>
      <c r="F474" s="29" t="n"/>
      <c r="G474" s="29" t="n"/>
      <c r="H474" s="28">
        <f>IF(B474="","",IF(B474="קנייה",-(D474*E474+G474),IF(B474="מכירה",D474*E474-G474,IF(B474="דיבידנד",F474-G474,IF(B474="הפקדה",F474-G474,IF(B474="משיכה",-F474-G474,-G474))))))</f>
        <v/>
      </c>
      <c r="I474" s="28">
        <f>IF(B474="קנייה",D474*E474+G474,0)</f>
        <v/>
      </c>
      <c r="J474" s="41">
        <f>IF(B474="מכירה",D474*E474-G474-D474*IFERROR(SUMIFS($I$5:I474,$C$5:C474,C474)/SUMIFS($D$5:D474,$C$5:C474,C474,$B$5:B474,"קנייה"),0),0)</f>
        <v/>
      </c>
      <c r="K474" s="26" t="n"/>
    </row>
    <row r="475">
      <c r="A475" s="39" t="n"/>
      <c r="B475" s="26" t="n"/>
      <c r="C475" s="26" t="n"/>
      <c r="D475" s="40" t="n"/>
      <c r="E475" s="29" t="n"/>
      <c r="F475" s="29" t="n"/>
      <c r="G475" s="29" t="n"/>
      <c r="H475" s="28">
        <f>IF(B475="","",IF(B475="קנייה",-(D475*E475+G475),IF(B475="מכירה",D475*E475-G475,IF(B475="דיבידנד",F475-G475,IF(B475="הפקדה",F475-G475,IF(B475="משיכה",-F475-G475,-G475))))))</f>
        <v/>
      </c>
      <c r="I475" s="28">
        <f>IF(B475="קנייה",D475*E475+G475,0)</f>
        <v/>
      </c>
      <c r="J475" s="41">
        <f>IF(B475="מכירה",D475*E475-G475-D475*IFERROR(SUMIFS($I$5:I475,$C$5:C475,C475)/SUMIFS($D$5:D475,$C$5:C475,C475,$B$5:B475,"קנייה"),0),0)</f>
        <v/>
      </c>
      <c r="K475" s="26" t="n"/>
    </row>
    <row r="476">
      <c r="A476" s="39" t="n"/>
      <c r="B476" s="26" t="n"/>
      <c r="C476" s="26" t="n"/>
      <c r="D476" s="40" t="n"/>
      <c r="E476" s="29" t="n"/>
      <c r="F476" s="29" t="n"/>
      <c r="G476" s="29" t="n"/>
      <c r="H476" s="28">
        <f>IF(B476="","",IF(B476="קנייה",-(D476*E476+G476),IF(B476="מכירה",D476*E476-G476,IF(B476="דיבידנד",F476-G476,IF(B476="הפקדה",F476-G476,IF(B476="משיכה",-F476-G476,-G476))))))</f>
        <v/>
      </c>
      <c r="I476" s="28">
        <f>IF(B476="קנייה",D476*E476+G476,0)</f>
        <v/>
      </c>
      <c r="J476" s="41">
        <f>IF(B476="מכירה",D476*E476-G476-D476*IFERROR(SUMIFS($I$5:I476,$C$5:C476,C476)/SUMIFS($D$5:D476,$C$5:C476,C476,$B$5:B476,"קנייה"),0),0)</f>
        <v/>
      </c>
      <c r="K476" s="26" t="n"/>
    </row>
    <row r="477">
      <c r="A477" s="39" t="n"/>
      <c r="B477" s="26" t="n"/>
      <c r="C477" s="26" t="n"/>
      <c r="D477" s="40" t="n"/>
      <c r="E477" s="29" t="n"/>
      <c r="F477" s="29" t="n"/>
      <c r="G477" s="29" t="n"/>
      <c r="H477" s="28">
        <f>IF(B477="","",IF(B477="קנייה",-(D477*E477+G477),IF(B477="מכירה",D477*E477-G477,IF(B477="דיבידנד",F477-G477,IF(B477="הפקדה",F477-G477,IF(B477="משיכה",-F477-G477,-G477))))))</f>
        <v/>
      </c>
      <c r="I477" s="28">
        <f>IF(B477="קנייה",D477*E477+G477,0)</f>
        <v/>
      </c>
      <c r="J477" s="41">
        <f>IF(B477="מכירה",D477*E477-G477-D477*IFERROR(SUMIFS($I$5:I477,$C$5:C477,C477)/SUMIFS($D$5:D477,$C$5:C477,C477,$B$5:B477,"קנייה"),0),0)</f>
        <v/>
      </c>
      <c r="K477" s="26" t="n"/>
    </row>
    <row r="478">
      <c r="A478" s="39" t="n"/>
      <c r="B478" s="26" t="n"/>
      <c r="C478" s="26" t="n"/>
      <c r="D478" s="40" t="n"/>
      <c r="E478" s="29" t="n"/>
      <c r="F478" s="29" t="n"/>
      <c r="G478" s="29" t="n"/>
      <c r="H478" s="28">
        <f>IF(B478="","",IF(B478="קנייה",-(D478*E478+G478),IF(B478="מכירה",D478*E478-G478,IF(B478="דיבידנד",F478-G478,IF(B478="הפקדה",F478-G478,IF(B478="משיכה",-F478-G478,-G478))))))</f>
        <v/>
      </c>
      <c r="I478" s="28">
        <f>IF(B478="קנייה",D478*E478+G478,0)</f>
        <v/>
      </c>
      <c r="J478" s="41">
        <f>IF(B478="מכירה",D478*E478-G478-D478*IFERROR(SUMIFS($I$5:I478,$C$5:C478,C478)/SUMIFS($D$5:D478,$C$5:C478,C478,$B$5:B478,"קנייה"),0),0)</f>
        <v/>
      </c>
      <c r="K478" s="26" t="n"/>
    </row>
    <row r="479">
      <c r="A479" s="39" t="n"/>
      <c r="B479" s="26" t="n"/>
      <c r="C479" s="26" t="n"/>
      <c r="D479" s="40" t="n"/>
      <c r="E479" s="29" t="n"/>
      <c r="F479" s="29" t="n"/>
      <c r="G479" s="29" t="n"/>
      <c r="H479" s="28">
        <f>IF(B479="","",IF(B479="קנייה",-(D479*E479+G479),IF(B479="מכירה",D479*E479-G479,IF(B479="דיבידנד",F479-G479,IF(B479="הפקדה",F479-G479,IF(B479="משיכה",-F479-G479,-G479))))))</f>
        <v/>
      </c>
      <c r="I479" s="28">
        <f>IF(B479="קנייה",D479*E479+G479,0)</f>
        <v/>
      </c>
      <c r="J479" s="41">
        <f>IF(B479="מכירה",D479*E479-G479-D479*IFERROR(SUMIFS($I$5:I479,$C$5:C479,C479)/SUMIFS($D$5:D479,$C$5:C479,C479,$B$5:B479,"קנייה"),0),0)</f>
        <v/>
      </c>
      <c r="K479" s="26" t="n"/>
    </row>
    <row r="480">
      <c r="A480" s="39" t="n"/>
      <c r="B480" s="26" t="n"/>
      <c r="C480" s="26" t="n"/>
      <c r="D480" s="40" t="n"/>
      <c r="E480" s="29" t="n"/>
      <c r="F480" s="29" t="n"/>
      <c r="G480" s="29" t="n"/>
      <c r="H480" s="28">
        <f>IF(B480="","",IF(B480="קנייה",-(D480*E480+G480),IF(B480="מכירה",D480*E480-G480,IF(B480="דיבידנד",F480-G480,IF(B480="הפקדה",F480-G480,IF(B480="משיכה",-F480-G480,-G480))))))</f>
        <v/>
      </c>
      <c r="I480" s="28">
        <f>IF(B480="קנייה",D480*E480+G480,0)</f>
        <v/>
      </c>
      <c r="J480" s="41">
        <f>IF(B480="מכירה",D480*E480-G480-D480*IFERROR(SUMIFS($I$5:I480,$C$5:C480,C480)/SUMIFS($D$5:D480,$C$5:C480,C480,$B$5:B480,"קנייה"),0),0)</f>
        <v/>
      </c>
      <c r="K480" s="26" t="n"/>
    </row>
    <row r="481">
      <c r="A481" s="39" t="n"/>
      <c r="B481" s="26" t="n"/>
      <c r="C481" s="26" t="n"/>
      <c r="D481" s="40" t="n"/>
      <c r="E481" s="29" t="n"/>
      <c r="F481" s="29" t="n"/>
      <c r="G481" s="29" t="n"/>
      <c r="H481" s="28">
        <f>IF(B481="","",IF(B481="קנייה",-(D481*E481+G481),IF(B481="מכירה",D481*E481-G481,IF(B481="דיבידנד",F481-G481,IF(B481="הפקדה",F481-G481,IF(B481="משיכה",-F481-G481,-G481))))))</f>
        <v/>
      </c>
      <c r="I481" s="28">
        <f>IF(B481="קנייה",D481*E481+G481,0)</f>
        <v/>
      </c>
      <c r="J481" s="41">
        <f>IF(B481="מכירה",D481*E481-G481-D481*IFERROR(SUMIFS($I$5:I481,$C$5:C481,C481)/SUMIFS($D$5:D481,$C$5:C481,C481,$B$5:B481,"קנייה"),0),0)</f>
        <v/>
      </c>
      <c r="K481" s="26" t="n"/>
    </row>
    <row r="482">
      <c r="A482" s="39" t="n"/>
      <c r="B482" s="26" t="n"/>
      <c r="C482" s="26" t="n"/>
      <c r="D482" s="40" t="n"/>
      <c r="E482" s="29" t="n"/>
      <c r="F482" s="29" t="n"/>
      <c r="G482" s="29" t="n"/>
      <c r="H482" s="28">
        <f>IF(B482="","",IF(B482="קנייה",-(D482*E482+G482),IF(B482="מכירה",D482*E482-G482,IF(B482="דיבידנד",F482-G482,IF(B482="הפקדה",F482-G482,IF(B482="משיכה",-F482-G482,-G482))))))</f>
        <v/>
      </c>
      <c r="I482" s="28">
        <f>IF(B482="קנייה",D482*E482+G482,0)</f>
        <v/>
      </c>
      <c r="J482" s="41">
        <f>IF(B482="מכירה",D482*E482-G482-D482*IFERROR(SUMIFS($I$5:I482,$C$5:C482,C482)/SUMIFS($D$5:D482,$C$5:C482,C482,$B$5:B482,"קנייה"),0),0)</f>
        <v/>
      </c>
      <c r="K482" s="26" t="n"/>
    </row>
    <row r="483">
      <c r="A483" s="39" t="n"/>
      <c r="B483" s="26" t="n"/>
      <c r="C483" s="26" t="n"/>
      <c r="D483" s="40" t="n"/>
      <c r="E483" s="29" t="n"/>
      <c r="F483" s="29" t="n"/>
      <c r="G483" s="29" t="n"/>
      <c r="H483" s="28">
        <f>IF(B483="","",IF(B483="קנייה",-(D483*E483+G483),IF(B483="מכירה",D483*E483-G483,IF(B483="דיבידנד",F483-G483,IF(B483="הפקדה",F483-G483,IF(B483="משיכה",-F483-G483,-G483))))))</f>
        <v/>
      </c>
      <c r="I483" s="28">
        <f>IF(B483="קנייה",D483*E483+G483,0)</f>
        <v/>
      </c>
      <c r="J483" s="41">
        <f>IF(B483="מכירה",D483*E483-G483-D483*IFERROR(SUMIFS($I$5:I483,$C$5:C483,C483)/SUMIFS($D$5:D483,$C$5:C483,C483,$B$5:B483,"קנייה"),0),0)</f>
        <v/>
      </c>
      <c r="K483" s="26" t="n"/>
    </row>
    <row r="484">
      <c r="A484" s="39" t="n"/>
      <c r="B484" s="26" t="n"/>
      <c r="C484" s="26" t="n"/>
      <c r="D484" s="40" t="n"/>
      <c r="E484" s="29" t="n"/>
      <c r="F484" s="29" t="n"/>
      <c r="G484" s="29" t="n"/>
      <c r="H484" s="28">
        <f>IF(B484="","",IF(B484="קנייה",-(D484*E484+G484),IF(B484="מכירה",D484*E484-G484,IF(B484="דיבידנד",F484-G484,IF(B484="הפקדה",F484-G484,IF(B484="משיכה",-F484-G484,-G484))))))</f>
        <v/>
      </c>
      <c r="I484" s="28">
        <f>IF(B484="קנייה",D484*E484+G484,0)</f>
        <v/>
      </c>
      <c r="J484" s="41">
        <f>IF(B484="מכירה",D484*E484-G484-D484*IFERROR(SUMIFS($I$5:I484,$C$5:C484,C484)/SUMIFS($D$5:D484,$C$5:C484,C484,$B$5:B484,"קנייה"),0),0)</f>
        <v/>
      </c>
      <c r="K484" s="26" t="n"/>
    </row>
    <row r="485">
      <c r="A485" s="39" t="n"/>
      <c r="B485" s="26" t="n"/>
      <c r="C485" s="26" t="n"/>
      <c r="D485" s="40" t="n"/>
      <c r="E485" s="29" t="n"/>
      <c r="F485" s="29" t="n"/>
      <c r="G485" s="29" t="n"/>
      <c r="H485" s="28">
        <f>IF(B485="","",IF(B485="קנייה",-(D485*E485+G485),IF(B485="מכירה",D485*E485-G485,IF(B485="דיבידנד",F485-G485,IF(B485="הפקדה",F485-G485,IF(B485="משיכה",-F485-G485,-G485))))))</f>
        <v/>
      </c>
      <c r="I485" s="28">
        <f>IF(B485="קנייה",D485*E485+G485,0)</f>
        <v/>
      </c>
      <c r="J485" s="41">
        <f>IF(B485="מכירה",D485*E485-G485-D485*IFERROR(SUMIFS($I$5:I485,$C$5:C485,C485)/SUMIFS($D$5:D485,$C$5:C485,C485,$B$5:B485,"קנייה"),0),0)</f>
        <v/>
      </c>
      <c r="K485" s="26" t="n"/>
    </row>
    <row r="486">
      <c r="A486" s="39" t="n"/>
      <c r="B486" s="26" t="n"/>
      <c r="C486" s="26" t="n"/>
      <c r="D486" s="40" t="n"/>
      <c r="E486" s="29" t="n"/>
      <c r="F486" s="29" t="n"/>
      <c r="G486" s="29" t="n"/>
      <c r="H486" s="28">
        <f>IF(B486="","",IF(B486="קנייה",-(D486*E486+G486),IF(B486="מכירה",D486*E486-G486,IF(B486="דיבידנד",F486-G486,IF(B486="הפקדה",F486-G486,IF(B486="משיכה",-F486-G486,-G486))))))</f>
        <v/>
      </c>
      <c r="I486" s="28">
        <f>IF(B486="קנייה",D486*E486+G486,0)</f>
        <v/>
      </c>
      <c r="J486" s="41">
        <f>IF(B486="מכירה",D486*E486-G486-D486*IFERROR(SUMIFS($I$5:I486,$C$5:C486,C486)/SUMIFS($D$5:D486,$C$5:C486,C486,$B$5:B486,"קנייה"),0),0)</f>
        <v/>
      </c>
      <c r="K486" s="26" t="n"/>
    </row>
    <row r="487">
      <c r="A487" s="39" t="n"/>
      <c r="B487" s="26" t="n"/>
      <c r="C487" s="26" t="n"/>
      <c r="D487" s="40" t="n"/>
      <c r="E487" s="29" t="n"/>
      <c r="F487" s="29" t="n"/>
      <c r="G487" s="29" t="n"/>
      <c r="H487" s="28">
        <f>IF(B487="","",IF(B487="קנייה",-(D487*E487+G487),IF(B487="מכירה",D487*E487-G487,IF(B487="דיבידנד",F487-G487,IF(B487="הפקדה",F487-G487,IF(B487="משיכה",-F487-G487,-G487))))))</f>
        <v/>
      </c>
      <c r="I487" s="28">
        <f>IF(B487="קנייה",D487*E487+G487,0)</f>
        <v/>
      </c>
      <c r="J487" s="41">
        <f>IF(B487="מכירה",D487*E487-G487-D487*IFERROR(SUMIFS($I$5:I487,$C$5:C487,C487)/SUMIFS($D$5:D487,$C$5:C487,C487,$B$5:B487,"קנייה"),0),0)</f>
        <v/>
      </c>
      <c r="K487" s="26" t="n"/>
    </row>
    <row r="488">
      <c r="A488" s="39" t="n"/>
      <c r="B488" s="26" t="n"/>
      <c r="C488" s="26" t="n"/>
      <c r="D488" s="40" t="n"/>
      <c r="E488" s="29" t="n"/>
      <c r="F488" s="29" t="n"/>
      <c r="G488" s="29" t="n"/>
      <c r="H488" s="28">
        <f>IF(B488="","",IF(B488="קנייה",-(D488*E488+G488),IF(B488="מכירה",D488*E488-G488,IF(B488="דיבידנד",F488-G488,IF(B488="הפקדה",F488-G488,IF(B488="משיכה",-F488-G488,-G488))))))</f>
        <v/>
      </c>
      <c r="I488" s="28">
        <f>IF(B488="קנייה",D488*E488+G488,0)</f>
        <v/>
      </c>
      <c r="J488" s="41">
        <f>IF(B488="מכירה",D488*E488-G488-D488*IFERROR(SUMIFS($I$5:I488,$C$5:C488,C488)/SUMIFS($D$5:D488,$C$5:C488,C488,$B$5:B488,"קנייה"),0),0)</f>
        <v/>
      </c>
      <c r="K488" s="26" t="n"/>
    </row>
    <row r="489">
      <c r="A489" s="39" t="n"/>
      <c r="B489" s="26" t="n"/>
      <c r="C489" s="26" t="n"/>
      <c r="D489" s="40" t="n"/>
      <c r="E489" s="29" t="n"/>
      <c r="F489" s="29" t="n"/>
      <c r="G489" s="29" t="n"/>
      <c r="H489" s="28">
        <f>IF(B489="","",IF(B489="קנייה",-(D489*E489+G489),IF(B489="מכירה",D489*E489-G489,IF(B489="דיבידנד",F489-G489,IF(B489="הפקדה",F489-G489,IF(B489="משיכה",-F489-G489,-G489))))))</f>
        <v/>
      </c>
      <c r="I489" s="28">
        <f>IF(B489="קנייה",D489*E489+G489,0)</f>
        <v/>
      </c>
      <c r="J489" s="41">
        <f>IF(B489="מכירה",D489*E489-G489-D489*IFERROR(SUMIFS($I$5:I489,$C$5:C489,C489)/SUMIFS($D$5:D489,$C$5:C489,C489,$B$5:B489,"קנייה"),0),0)</f>
        <v/>
      </c>
      <c r="K489" s="26" t="n"/>
    </row>
    <row r="490">
      <c r="A490" s="39" t="n"/>
      <c r="B490" s="26" t="n"/>
      <c r="C490" s="26" t="n"/>
      <c r="D490" s="40" t="n"/>
      <c r="E490" s="29" t="n"/>
      <c r="F490" s="29" t="n"/>
      <c r="G490" s="29" t="n"/>
      <c r="H490" s="28">
        <f>IF(B490="","",IF(B490="קנייה",-(D490*E490+G490),IF(B490="מכירה",D490*E490-G490,IF(B490="דיבידנד",F490-G490,IF(B490="הפקדה",F490-G490,IF(B490="משיכה",-F490-G490,-G490))))))</f>
        <v/>
      </c>
      <c r="I490" s="28">
        <f>IF(B490="קנייה",D490*E490+G490,0)</f>
        <v/>
      </c>
      <c r="J490" s="41">
        <f>IF(B490="מכירה",D490*E490-G490-D490*IFERROR(SUMIFS($I$5:I490,$C$5:C490,C490)/SUMIFS($D$5:D490,$C$5:C490,C490,$B$5:B490,"קנייה"),0),0)</f>
        <v/>
      </c>
      <c r="K490" s="26" t="n"/>
    </row>
    <row r="491">
      <c r="A491" s="39" t="n"/>
      <c r="B491" s="26" t="n"/>
      <c r="C491" s="26" t="n"/>
      <c r="D491" s="40" t="n"/>
      <c r="E491" s="29" t="n"/>
      <c r="F491" s="29" t="n"/>
      <c r="G491" s="29" t="n"/>
      <c r="H491" s="28">
        <f>IF(B491="","",IF(B491="קנייה",-(D491*E491+G491),IF(B491="מכירה",D491*E491-G491,IF(B491="דיבידנד",F491-G491,IF(B491="הפקדה",F491-G491,IF(B491="משיכה",-F491-G491,-G491))))))</f>
        <v/>
      </c>
      <c r="I491" s="28">
        <f>IF(B491="קנייה",D491*E491+G491,0)</f>
        <v/>
      </c>
      <c r="J491" s="41">
        <f>IF(B491="מכירה",D491*E491-G491-D491*IFERROR(SUMIFS($I$5:I491,$C$5:C491,C491)/SUMIFS($D$5:D491,$C$5:C491,C491,$B$5:B491,"קנייה"),0),0)</f>
        <v/>
      </c>
      <c r="K491" s="26" t="n"/>
    </row>
    <row r="492">
      <c r="A492" s="39" t="n"/>
      <c r="B492" s="26" t="n"/>
      <c r="C492" s="26" t="n"/>
      <c r="D492" s="40" t="n"/>
      <c r="E492" s="29" t="n"/>
      <c r="F492" s="29" t="n"/>
      <c r="G492" s="29" t="n"/>
      <c r="H492" s="28">
        <f>IF(B492="","",IF(B492="קנייה",-(D492*E492+G492),IF(B492="מכירה",D492*E492-G492,IF(B492="דיבידנד",F492-G492,IF(B492="הפקדה",F492-G492,IF(B492="משיכה",-F492-G492,-G492))))))</f>
        <v/>
      </c>
      <c r="I492" s="28">
        <f>IF(B492="קנייה",D492*E492+G492,0)</f>
        <v/>
      </c>
      <c r="J492" s="41">
        <f>IF(B492="מכירה",D492*E492-G492-D492*IFERROR(SUMIFS($I$5:I492,$C$5:C492,C492)/SUMIFS($D$5:D492,$C$5:C492,C492,$B$5:B492,"קנייה"),0),0)</f>
        <v/>
      </c>
      <c r="K492" s="26" t="n"/>
    </row>
    <row r="493">
      <c r="A493" s="39" t="n"/>
      <c r="B493" s="26" t="n"/>
      <c r="C493" s="26" t="n"/>
      <c r="D493" s="40" t="n"/>
      <c r="E493" s="29" t="n"/>
      <c r="F493" s="29" t="n"/>
      <c r="G493" s="29" t="n"/>
      <c r="H493" s="28">
        <f>IF(B493="","",IF(B493="קנייה",-(D493*E493+G493),IF(B493="מכירה",D493*E493-G493,IF(B493="דיבידנד",F493-G493,IF(B493="הפקדה",F493-G493,IF(B493="משיכה",-F493-G493,-G493))))))</f>
        <v/>
      </c>
      <c r="I493" s="28">
        <f>IF(B493="קנייה",D493*E493+G493,0)</f>
        <v/>
      </c>
      <c r="J493" s="41">
        <f>IF(B493="מכירה",D493*E493-G493-D493*IFERROR(SUMIFS($I$5:I493,$C$5:C493,C493)/SUMIFS($D$5:D493,$C$5:C493,C493,$B$5:B493,"קנייה"),0),0)</f>
        <v/>
      </c>
      <c r="K493" s="26" t="n"/>
    </row>
    <row r="494">
      <c r="A494" s="39" t="n"/>
      <c r="B494" s="26" t="n"/>
      <c r="C494" s="26" t="n"/>
      <c r="D494" s="40" t="n"/>
      <c r="E494" s="29" t="n"/>
      <c r="F494" s="29" t="n"/>
      <c r="G494" s="29" t="n"/>
      <c r="H494" s="28">
        <f>IF(B494="","",IF(B494="קנייה",-(D494*E494+G494),IF(B494="מכירה",D494*E494-G494,IF(B494="דיבידנד",F494-G494,IF(B494="הפקדה",F494-G494,IF(B494="משיכה",-F494-G494,-G494))))))</f>
        <v/>
      </c>
      <c r="I494" s="28">
        <f>IF(B494="קנייה",D494*E494+G494,0)</f>
        <v/>
      </c>
      <c r="J494" s="41">
        <f>IF(B494="מכירה",D494*E494-G494-D494*IFERROR(SUMIFS($I$5:I494,$C$5:C494,C494)/SUMIFS($D$5:D494,$C$5:C494,C494,$B$5:B494,"קנייה"),0),0)</f>
        <v/>
      </c>
      <c r="K494" s="26" t="n"/>
    </row>
    <row r="495">
      <c r="A495" s="39" t="n"/>
      <c r="B495" s="26" t="n"/>
      <c r="C495" s="26" t="n"/>
      <c r="D495" s="40" t="n"/>
      <c r="E495" s="29" t="n"/>
      <c r="F495" s="29" t="n"/>
      <c r="G495" s="29" t="n"/>
      <c r="H495" s="28">
        <f>IF(B495="","",IF(B495="קנייה",-(D495*E495+G495),IF(B495="מכירה",D495*E495-G495,IF(B495="דיבידנד",F495-G495,IF(B495="הפקדה",F495-G495,IF(B495="משיכה",-F495-G495,-G495))))))</f>
        <v/>
      </c>
      <c r="I495" s="28">
        <f>IF(B495="קנייה",D495*E495+G495,0)</f>
        <v/>
      </c>
      <c r="J495" s="41">
        <f>IF(B495="מכירה",D495*E495-G495-D495*IFERROR(SUMIFS($I$5:I495,$C$5:C495,C495)/SUMIFS($D$5:D495,$C$5:C495,C495,$B$5:B495,"קנייה"),0),0)</f>
        <v/>
      </c>
      <c r="K495" s="26" t="n"/>
    </row>
    <row r="496">
      <c r="A496" s="39" t="n"/>
      <c r="B496" s="26" t="n"/>
      <c r="C496" s="26" t="n"/>
      <c r="D496" s="40" t="n"/>
      <c r="E496" s="29" t="n"/>
      <c r="F496" s="29" t="n"/>
      <c r="G496" s="29" t="n"/>
      <c r="H496" s="28">
        <f>IF(B496="","",IF(B496="קנייה",-(D496*E496+G496),IF(B496="מכירה",D496*E496-G496,IF(B496="דיבידנד",F496-G496,IF(B496="הפקדה",F496-G496,IF(B496="משיכה",-F496-G496,-G496))))))</f>
        <v/>
      </c>
      <c r="I496" s="28">
        <f>IF(B496="קנייה",D496*E496+G496,0)</f>
        <v/>
      </c>
      <c r="J496" s="41">
        <f>IF(B496="מכירה",D496*E496-G496-D496*IFERROR(SUMIFS($I$5:I496,$C$5:C496,C496)/SUMIFS($D$5:D496,$C$5:C496,C496,$B$5:B496,"קנייה"),0),0)</f>
        <v/>
      </c>
      <c r="K496" s="26" t="n"/>
    </row>
    <row r="497">
      <c r="A497" s="39" t="n"/>
      <c r="B497" s="26" t="n"/>
      <c r="C497" s="26" t="n"/>
      <c r="D497" s="40" t="n"/>
      <c r="E497" s="29" t="n"/>
      <c r="F497" s="29" t="n"/>
      <c r="G497" s="29" t="n"/>
      <c r="H497" s="28">
        <f>IF(B497="","",IF(B497="קנייה",-(D497*E497+G497),IF(B497="מכירה",D497*E497-G497,IF(B497="דיבידנד",F497-G497,IF(B497="הפקדה",F497-G497,IF(B497="משיכה",-F497-G497,-G497))))))</f>
        <v/>
      </c>
      <c r="I497" s="28">
        <f>IF(B497="קנייה",D497*E497+G497,0)</f>
        <v/>
      </c>
      <c r="J497" s="41">
        <f>IF(B497="מכירה",D497*E497-G497-D497*IFERROR(SUMIFS($I$5:I497,$C$5:C497,C497)/SUMIFS($D$5:D497,$C$5:C497,C497,$B$5:B497,"קנייה"),0),0)</f>
        <v/>
      </c>
      <c r="K497" s="26" t="n"/>
    </row>
    <row r="498">
      <c r="A498" s="39" t="n"/>
      <c r="B498" s="26" t="n"/>
      <c r="C498" s="26" t="n"/>
      <c r="D498" s="40" t="n"/>
      <c r="E498" s="29" t="n"/>
      <c r="F498" s="29" t="n"/>
      <c r="G498" s="29" t="n"/>
      <c r="H498" s="28">
        <f>IF(B498="","",IF(B498="קנייה",-(D498*E498+G498),IF(B498="מכירה",D498*E498-G498,IF(B498="דיבידנד",F498-G498,IF(B498="הפקדה",F498-G498,IF(B498="משיכה",-F498-G498,-G498))))))</f>
        <v/>
      </c>
      <c r="I498" s="28">
        <f>IF(B498="קנייה",D498*E498+G498,0)</f>
        <v/>
      </c>
      <c r="J498" s="41">
        <f>IF(B498="מכירה",D498*E498-G498-D498*IFERROR(SUMIFS($I$5:I498,$C$5:C498,C498)/SUMIFS($D$5:D498,$C$5:C498,C498,$B$5:B498,"קנייה"),0),0)</f>
        <v/>
      </c>
      <c r="K498" s="26" t="n"/>
    </row>
    <row r="499">
      <c r="A499" s="39" t="n"/>
      <c r="B499" s="26" t="n"/>
      <c r="C499" s="26" t="n"/>
      <c r="D499" s="40" t="n"/>
      <c r="E499" s="29" t="n"/>
      <c r="F499" s="29" t="n"/>
      <c r="G499" s="29" t="n"/>
      <c r="H499" s="28">
        <f>IF(B499="","",IF(B499="קנייה",-(D499*E499+G499),IF(B499="מכירה",D499*E499-G499,IF(B499="דיבידנד",F499-G499,IF(B499="הפקדה",F499-G499,IF(B499="משיכה",-F499-G499,-G499))))))</f>
        <v/>
      </c>
      <c r="I499" s="28">
        <f>IF(B499="קנייה",D499*E499+G499,0)</f>
        <v/>
      </c>
      <c r="J499" s="41">
        <f>IF(B499="מכירה",D499*E499-G499-D499*IFERROR(SUMIFS($I$5:I499,$C$5:C499,C499)/SUMIFS($D$5:D499,$C$5:C499,C499,$B$5:B499,"קנייה"),0),0)</f>
        <v/>
      </c>
      <c r="K499" s="26" t="n"/>
    </row>
    <row r="500">
      <c r="A500" s="39" t="n"/>
      <c r="B500" s="26" t="n"/>
      <c r="C500" s="26" t="n"/>
      <c r="D500" s="40" t="n"/>
      <c r="E500" s="29" t="n"/>
      <c r="F500" s="29" t="n"/>
      <c r="G500" s="29" t="n"/>
      <c r="H500" s="28">
        <f>IF(B500="","",IF(B500="קנייה",-(D500*E500+G500),IF(B500="מכירה",D500*E500-G500,IF(B500="דיבידנד",F500-G500,IF(B500="הפקדה",F500-G500,IF(B500="משיכה",-F500-G500,-G500))))))</f>
        <v/>
      </c>
      <c r="I500" s="28">
        <f>IF(B500="קנייה",D500*E500+G500,0)</f>
        <v/>
      </c>
      <c r="J500" s="41">
        <f>IF(B500="מכירה",D500*E500-G500-D500*IFERROR(SUMIFS($I$5:I500,$C$5:C500,C500)/SUMIFS($D$5:D500,$C$5:C500,C500,$B$5:B500,"קנייה"),0),0)</f>
        <v/>
      </c>
      <c r="K500" s="26" t="n"/>
    </row>
    <row r="501">
      <c r="A501" s="39" t="n"/>
      <c r="B501" s="26" t="n"/>
      <c r="C501" s="26" t="n"/>
      <c r="D501" s="40" t="n"/>
      <c r="E501" s="29" t="n"/>
      <c r="F501" s="29" t="n"/>
      <c r="G501" s="29" t="n"/>
      <c r="H501" s="28">
        <f>IF(B501="","",IF(B501="קנייה",-(D501*E501+G501),IF(B501="מכירה",D501*E501-G501,IF(B501="דיבידנד",F501-G501,IF(B501="הפקדה",F501-G501,IF(B501="משיכה",-F501-G501,-G501))))))</f>
        <v/>
      </c>
      <c r="I501" s="28">
        <f>IF(B501="קנייה",D501*E501+G501,0)</f>
        <v/>
      </c>
      <c r="J501" s="41">
        <f>IF(B501="מכירה",D501*E501-G501-D501*IFERROR(SUMIFS($I$5:I501,$C$5:C501,C501)/SUMIFS($D$5:D501,$C$5:C501,C501,$B$5:B501,"קנייה"),0),0)</f>
        <v/>
      </c>
      <c r="K501" s="26" t="n"/>
    </row>
    <row r="502">
      <c r="A502" s="39" t="n"/>
      <c r="B502" s="26" t="n"/>
      <c r="C502" s="26" t="n"/>
      <c r="D502" s="40" t="n"/>
      <c r="E502" s="29" t="n"/>
      <c r="F502" s="29" t="n"/>
      <c r="G502" s="29" t="n"/>
      <c r="H502" s="28">
        <f>IF(B502="","",IF(B502="קנייה",-(D502*E502+G502),IF(B502="מכירה",D502*E502-G502,IF(B502="דיבידנד",F502-G502,IF(B502="הפקדה",F502-G502,IF(B502="משיכה",-F502-G502,-G502))))))</f>
        <v/>
      </c>
      <c r="I502" s="28">
        <f>IF(B502="קנייה",D502*E502+G502,0)</f>
        <v/>
      </c>
      <c r="J502" s="41">
        <f>IF(B502="מכירה",D502*E502-G502-D502*IFERROR(SUMIFS($I$5:I502,$C$5:C502,C502)/SUMIFS($D$5:D502,$C$5:C502,C502,$B$5:B502,"קנייה"),0),0)</f>
        <v/>
      </c>
      <c r="K502" s="26" t="n"/>
    </row>
    <row r="503">
      <c r="A503" s="39" t="n"/>
      <c r="B503" s="26" t="n"/>
      <c r="C503" s="26" t="n"/>
      <c r="D503" s="40" t="n"/>
      <c r="E503" s="29" t="n"/>
      <c r="F503" s="29" t="n"/>
      <c r="G503" s="29" t="n"/>
      <c r="H503" s="28">
        <f>IF(B503="","",IF(B503="קנייה",-(D503*E503+G503),IF(B503="מכירה",D503*E503-G503,IF(B503="דיבידנד",F503-G503,IF(B503="הפקדה",F503-G503,IF(B503="משיכה",-F503-G503,-G503))))))</f>
        <v/>
      </c>
      <c r="I503" s="28">
        <f>IF(B503="קנייה",D503*E503+G503,0)</f>
        <v/>
      </c>
      <c r="J503" s="41">
        <f>IF(B503="מכירה",D503*E503-G503-D503*IFERROR(SUMIFS($I$5:I503,$C$5:C503,C503)/SUMIFS($D$5:D503,$C$5:C503,C503,$B$5:B503,"קנייה"),0),0)</f>
        <v/>
      </c>
      <c r="K503" s="26" t="n"/>
    </row>
    <row r="504">
      <c r="A504" s="39" t="n"/>
      <c r="B504" s="26" t="n"/>
      <c r="C504" s="26" t="n"/>
      <c r="D504" s="40" t="n"/>
      <c r="E504" s="29" t="n"/>
      <c r="F504" s="29" t="n"/>
      <c r="G504" s="29" t="n"/>
      <c r="H504" s="28">
        <f>IF(B504="","",IF(B504="קנייה",-(D504*E504+G504),IF(B504="מכירה",D504*E504-G504,IF(B504="דיבידנד",F504-G504,IF(B504="הפקדה",F504-G504,IF(B504="משיכה",-F504-G504,-G504))))))</f>
        <v/>
      </c>
      <c r="I504" s="28">
        <f>IF(B504="קנייה",D504*E504+G504,0)</f>
        <v/>
      </c>
      <c r="J504" s="41">
        <f>IF(B504="מכירה",D504*E504-G504-D504*IFERROR(SUMIFS($I$5:I504,$C$5:C504,C504)/SUMIFS($D$5:D504,$C$5:C504,C504,$B$5:B504,"קנייה"),0),0)</f>
        <v/>
      </c>
      <c r="K504" s="26" t="n"/>
    </row>
    <row r="505">
      <c r="A505" s="39" t="n"/>
      <c r="B505" s="26" t="n"/>
      <c r="C505" s="26" t="n"/>
      <c r="D505" s="40" t="n"/>
      <c r="E505" s="29" t="n"/>
      <c r="F505" s="29" t="n"/>
      <c r="G505" s="29" t="n"/>
      <c r="H505" s="28">
        <f>IF(B505="","",IF(B505="קנייה",-(D505*E505+G505),IF(B505="מכירה",D505*E505-G505,IF(B505="דיבידנד",F505-G505,IF(B505="הפקדה",F505-G505,IF(B505="משיכה",-F505-G505,-G505))))))</f>
        <v/>
      </c>
      <c r="I505" s="28">
        <f>IF(B505="קנייה",D505*E505+G505,0)</f>
        <v/>
      </c>
      <c r="J505" s="41">
        <f>IF(B505="מכירה",D505*E505-G505-D505*IFERROR(SUMIFS($I$5:I505,$C$5:C505,C505)/SUMIFS($D$5:D505,$C$5:C505,C505,$B$5:B505,"קנייה"),0),0)</f>
        <v/>
      </c>
      <c r="K505" s="26" t="n"/>
    </row>
    <row r="506">
      <c r="A506" s="39" t="n"/>
      <c r="B506" s="26" t="n"/>
      <c r="C506" s="26" t="n"/>
      <c r="D506" s="40" t="n"/>
      <c r="E506" s="29" t="n"/>
      <c r="F506" s="29" t="n"/>
      <c r="G506" s="29" t="n"/>
      <c r="H506" s="28">
        <f>IF(B506="","",IF(B506="קנייה",-(D506*E506+G506),IF(B506="מכירה",D506*E506-G506,IF(B506="דיבידנד",F506-G506,IF(B506="הפקדה",F506-G506,IF(B506="משיכה",-F506-G506,-G506))))))</f>
        <v/>
      </c>
      <c r="I506" s="28">
        <f>IF(B506="קנייה",D506*E506+G506,0)</f>
        <v/>
      </c>
      <c r="J506" s="41">
        <f>IF(B506="מכירה",D506*E506-G506-D506*IFERROR(SUMIFS($I$5:I506,$C$5:C506,C506)/SUMIFS($D$5:D506,$C$5:C506,C506,$B$5:B506,"קנייה"),0),0)</f>
        <v/>
      </c>
      <c r="K506" s="26" t="n"/>
    </row>
    <row r="507">
      <c r="A507" s="39" t="n"/>
      <c r="B507" s="26" t="n"/>
      <c r="C507" s="26" t="n"/>
      <c r="D507" s="40" t="n"/>
      <c r="E507" s="29" t="n"/>
      <c r="F507" s="29" t="n"/>
      <c r="G507" s="29" t="n"/>
      <c r="H507" s="28">
        <f>IF(B507="","",IF(B507="קנייה",-(D507*E507+G507),IF(B507="מכירה",D507*E507-G507,IF(B507="דיבידנד",F507-G507,IF(B507="הפקדה",F507-G507,IF(B507="משיכה",-F507-G507,-G507))))))</f>
        <v/>
      </c>
      <c r="I507" s="28">
        <f>IF(B507="קנייה",D507*E507+G507,0)</f>
        <v/>
      </c>
      <c r="J507" s="41">
        <f>IF(B507="מכירה",D507*E507-G507-D507*IFERROR(SUMIFS($I$5:I507,$C$5:C507,C507)/SUMIFS($D$5:D507,$C$5:C507,C507,$B$5:B507,"קנייה"),0),0)</f>
        <v/>
      </c>
      <c r="K507" s="26" t="n"/>
    </row>
    <row r="508">
      <c r="A508" s="39" t="n"/>
      <c r="B508" s="26" t="n"/>
      <c r="C508" s="26" t="n"/>
      <c r="D508" s="40" t="n"/>
      <c r="E508" s="29" t="n"/>
      <c r="F508" s="29" t="n"/>
      <c r="G508" s="29" t="n"/>
      <c r="H508" s="28">
        <f>IF(B508="","",IF(B508="קנייה",-(D508*E508+G508),IF(B508="מכירה",D508*E508-G508,IF(B508="דיבידנד",F508-G508,IF(B508="הפקדה",F508-G508,IF(B508="משיכה",-F508-G508,-G508))))))</f>
        <v/>
      </c>
      <c r="I508" s="28">
        <f>IF(B508="קנייה",D508*E508+G508,0)</f>
        <v/>
      </c>
      <c r="J508" s="41">
        <f>IF(B508="מכירה",D508*E508-G508-D508*IFERROR(SUMIFS($I$5:I508,$C$5:C508,C508)/SUMIFS($D$5:D508,$C$5:C508,C508,$B$5:B508,"קנייה"),0),0)</f>
        <v/>
      </c>
      <c r="K508" s="26" t="n"/>
    </row>
    <row r="509">
      <c r="A509" s="39" t="n"/>
      <c r="B509" s="26" t="n"/>
      <c r="C509" s="26" t="n"/>
      <c r="D509" s="40" t="n"/>
      <c r="E509" s="29" t="n"/>
      <c r="F509" s="29" t="n"/>
      <c r="G509" s="29" t="n"/>
      <c r="H509" s="28">
        <f>IF(B509="","",IF(B509="קנייה",-(D509*E509+G509),IF(B509="מכירה",D509*E509-G509,IF(B509="דיבידנד",F509-G509,IF(B509="הפקדה",F509-G509,IF(B509="משיכה",-F509-G509,-G509))))))</f>
        <v/>
      </c>
      <c r="I509" s="28">
        <f>IF(B509="קנייה",D509*E509+G509,0)</f>
        <v/>
      </c>
      <c r="J509" s="41">
        <f>IF(B509="מכירה",D509*E509-G509-D509*IFERROR(SUMIFS($I$5:I509,$C$5:C509,C509)/SUMIFS($D$5:D509,$C$5:C509,C509,$B$5:B509,"קנייה"),0),0)</f>
        <v/>
      </c>
      <c r="K509" s="26" t="n"/>
    </row>
    <row r="510">
      <c r="A510" s="39" t="n"/>
      <c r="B510" s="26" t="n"/>
      <c r="C510" s="26" t="n"/>
      <c r="D510" s="40" t="n"/>
      <c r="E510" s="29" t="n"/>
      <c r="F510" s="29" t="n"/>
      <c r="G510" s="29" t="n"/>
      <c r="H510" s="28">
        <f>IF(B510="","",IF(B510="קנייה",-(D510*E510+G510),IF(B510="מכירה",D510*E510-G510,IF(B510="דיבידנד",F510-G510,IF(B510="הפקדה",F510-G510,IF(B510="משיכה",-F510-G510,-G510))))))</f>
        <v/>
      </c>
      <c r="I510" s="28">
        <f>IF(B510="קנייה",D510*E510+G510,0)</f>
        <v/>
      </c>
      <c r="J510" s="41">
        <f>IF(B510="מכירה",D510*E510-G510-D510*IFERROR(SUMIFS($I$5:I510,$C$5:C510,C510)/SUMIFS($D$5:D510,$C$5:C510,C510,$B$5:B510,"קנייה"),0),0)</f>
        <v/>
      </c>
      <c r="K510" s="26" t="n"/>
    </row>
    <row r="511">
      <c r="A511" s="39" t="n"/>
      <c r="B511" s="26" t="n"/>
      <c r="C511" s="26" t="n"/>
      <c r="D511" s="40" t="n"/>
      <c r="E511" s="29" t="n"/>
      <c r="F511" s="29" t="n"/>
      <c r="G511" s="29" t="n"/>
      <c r="H511" s="28">
        <f>IF(B511="","",IF(B511="קנייה",-(D511*E511+G511),IF(B511="מכירה",D511*E511-G511,IF(B511="דיבידנד",F511-G511,IF(B511="הפקדה",F511-G511,IF(B511="משיכה",-F511-G511,-G511))))))</f>
        <v/>
      </c>
      <c r="I511" s="28">
        <f>IF(B511="קנייה",D511*E511+G511,0)</f>
        <v/>
      </c>
      <c r="J511" s="41">
        <f>IF(B511="מכירה",D511*E511-G511-D511*IFERROR(SUMIFS($I$5:I511,$C$5:C511,C511)/SUMIFS($D$5:D511,$C$5:C511,C511,$B$5:B511,"קנייה"),0),0)</f>
        <v/>
      </c>
      <c r="K511" s="26" t="n"/>
    </row>
    <row r="512">
      <c r="A512" s="39" t="n"/>
      <c r="B512" s="26" t="n"/>
      <c r="C512" s="26" t="n"/>
      <c r="D512" s="40" t="n"/>
      <c r="E512" s="29" t="n"/>
      <c r="F512" s="29" t="n"/>
      <c r="G512" s="29" t="n"/>
      <c r="H512" s="28">
        <f>IF(B512="","",IF(B512="קנייה",-(D512*E512+G512),IF(B512="מכירה",D512*E512-G512,IF(B512="דיבידנד",F512-G512,IF(B512="הפקדה",F512-G512,IF(B512="משיכה",-F512-G512,-G512))))))</f>
        <v/>
      </c>
      <c r="I512" s="28">
        <f>IF(B512="קנייה",D512*E512+G512,0)</f>
        <v/>
      </c>
      <c r="J512" s="41">
        <f>IF(B512="מכירה",D512*E512-G512-D512*IFERROR(SUMIFS($I$5:I512,$C$5:C512,C512)/SUMIFS($D$5:D512,$C$5:C512,C512,$B$5:B512,"קנייה"),0),0)</f>
        <v/>
      </c>
      <c r="K512" s="26" t="n"/>
    </row>
    <row r="513">
      <c r="A513" s="39" t="n"/>
      <c r="B513" s="26" t="n"/>
      <c r="C513" s="26" t="n"/>
      <c r="D513" s="40" t="n"/>
      <c r="E513" s="29" t="n"/>
      <c r="F513" s="29" t="n"/>
      <c r="G513" s="29" t="n"/>
      <c r="H513" s="28">
        <f>IF(B513="","",IF(B513="קנייה",-(D513*E513+G513),IF(B513="מכירה",D513*E513-G513,IF(B513="דיבידנד",F513-G513,IF(B513="הפקדה",F513-G513,IF(B513="משיכה",-F513-G513,-G513))))))</f>
        <v/>
      </c>
      <c r="I513" s="28">
        <f>IF(B513="קנייה",D513*E513+G513,0)</f>
        <v/>
      </c>
      <c r="J513" s="41">
        <f>IF(B513="מכירה",D513*E513-G513-D513*IFERROR(SUMIFS($I$5:I513,$C$5:C513,C513)/SUMIFS($D$5:D513,$C$5:C513,C513,$B$5:B513,"קנייה"),0),0)</f>
        <v/>
      </c>
      <c r="K513" s="26" t="n"/>
    </row>
    <row r="514">
      <c r="A514" s="39" t="n"/>
      <c r="B514" s="26" t="n"/>
      <c r="C514" s="26" t="n"/>
      <c r="D514" s="40" t="n"/>
      <c r="E514" s="29" t="n"/>
      <c r="F514" s="29" t="n"/>
      <c r="G514" s="29" t="n"/>
      <c r="H514" s="28">
        <f>IF(B514="","",IF(B514="קנייה",-(D514*E514+G514),IF(B514="מכירה",D514*E514-G514,IF(B514="דיבידנד",F514-G514,IF(B514="הפקדה",F514-G514,IF(B514="משיכה",-F514-G514,-G514))))))</f>
        <v/>
      </c>
      <c r="I514" s="28">
        <f>IF(B514="קנייה",D514*E514+G514,0)</f>
        <v/>
      </c>
      <c r="J514" s="41">
        <f>IF(B514="מכירה",D514*E514-G514-D514*IFERROR(SUMIFS($I$5:I514,$C$5:C514,C514)/SUMIFS($D$5:D514,$C$5:C514,C514,$B$5:B514,"קנייה"),0),0)</f>
        <v/>
      </c>
      <c r="K514" s="26" t="n"/>
    </row>
    <row r="515">
      <c r="A515" s="39" t="n"/>
      <c r="B515" s="26" t="n"/>
      <c r="C515" s="26" t="n"/>
      <c r="D515" s="40" t="n"/>
      <c r="E515" s="29" t="n"/>
      <c r="F515" s="29" t="n"/>
      <c r="G515" s="29" t="n"/>
      <c r="H515" s="28">
        <f>IF(B515="","",IF(B515="קנייה",-(D515*E515+G515),IF(B515="מכירה",D515*E515-G515,IF(B515="דיבידנד",F515-G515,IF(B515="הפקדה",F515-G515,IF(B515="משיכה",-F515-G515,-G515))))))</f>
        <v/>
      </c>
      <c r="I515" s="28">
        <f>IF(B515="קנייה",D515*E515+G515,0)</f>
        <v/>
      </c>
      <c r="J515" s="41">
        <f>IF(B515="מכירה",D515*E515-G515-D515*IFERROR(SUMIFS($I$5:I515,$C$5:C515,C515)/SUMIFS($D$5:D515,$C$5:C515,C515,$B$5:B515,"קנייה"),0),0)</f>
        <v/>
      </c>
      <c r="K515" s="26" t="n"/>
    </row>
    <row r="516">
      <c r="A516" s="39" t="n"/>
      <c r="B516" s="26" t="n"/>
      <c r="C516" s="26" t="n"/>
      <c r="D516" s="40" t="n"/>
      <c r="E516" s="29" t="n"/>
      <c r="F516" s="29" t="n"/>
      <c r="G516" s="29" t="n"/>
      <c r="H516" s="28">
        <f>IF(B516="","",IF(B516="קנייה",-(D516*E516+G516),IF(B516="מכירה",D516*E516-G516,IF(B516="דיבידנד",F516-G516,IF(B516="הפקדה",F516-G516,IF(B516="משיכה",-F516-G516,-G516))))))</f>
        <v/>
      </c>
      <c r="I516" s="28">
        <f>IF(B516="קנייה",D516*E516+G516,0)</f>
        <v/>
      </c>
      <c r="J516" s="41">
        <f>IF(B516="מכירה",D516*E516-G516-D516*IFERROR(SUMIFS($I$5:I516,$C$5:C516,C516)/SUMIFS($D$5:D516,$C$5:C516,C516,$B$5:B516,"קנייה"),0),0)</f>
        <v/>
      </c>
      <c r="K516" s="26" t="n"/>
    </row>
    <row r="517">
      <c r="A517" s="39" t="n"/>
      <c r="B517" s="26" t="n"/>
      <c r="C517" s="26" t="n"/>
      <c r="D517" s="40" t="n"/>
      <c r="E517" s="29" t="n"/>
      <c r="F517" s="29" t="n"/>
      <c r="G517" s="29" t="n"/>
      <c r="H517" s="28">
        <f>IF(B517="","",IF(B517="קנייה",-(D517*E517+G517),IF(B517="מכירה",D517*E517-G517,IF(B517="דיבידנד",F517-G517,IF(B517="הפקדה",F517-G517,IF(B517="משיכה",-F517-G517,-G517))))))</f>
        <v/>
      </c>
      <c r="I517" s="28">
        <f>IF(B517="קנייה",D517*E517+G517,0)</f>
        <v/>
      </c>
      <c r="J517" s="41">
        <f>IF(B517="מכירה",D517*E517-G517-D517*IFERROR(SUMIFS($I$5:I517,$C$5:C517,C517)/SUMIFS($D$5:D517,$C$5:C517,C517,$B$5:B517,"קנייה"),0),0)</f>
        <v/>
      </c>
      <c r="K517" s="26" t="n"/>
    </row>
    <row r="518">
      <c r="A518" s="39" t="n"/>
      <c r="B518" s="26" t="n"/>
      <c r="C518" s="26" t="n"/>
      <c r="D518" s="40" t="n"/>
      <c r="E518" s="29" t="n"/>
      <c r="F518" s="29" t="n"/>
      <c r="G518" s="29" t="n"/>
      <c r="H518" s="28">
        <f>IF(B518="","",IF(B518="קנייה",-(D518*E518+G518),IF(B518="מכירה",D518*E518-G518,IF(B518="דיבידנד",F518-G518,IF(B518="הפקדה",F518-G518,IF(B518="משיכה",-F518-G518,-G518))))))</f>
        <v/>
      </c>
      <c r="I518" s="28">
        <f>IF(B518="קנייה",D518*E518+G518,0)</f>
        <v/>
      </c>
      <c r="J518" s="41">
        <f>IF(B518="מכירה",D518*E518-G518-D518*IFERROR(SUMIFS($I$5:I518,$C$5:C518,C518)/SUMIFS($D$5:D518,$C$5:C518,C518,$B$5:B518,"קנייה"),0),0)</f>
        <v/>
      </c>
      <c r="K518" s="26" t="n"/>
    </row>
    <row r="519">
      <c r="A519" s="39" t="n"/>
      <c r="B519" s="26" t="n"/>
      <c r="C519" s="26" t="n"/>
      <c r="D519" s="40" t="n"/>
      <c r="E519" s="29" t="n"/>
      <c r="F519" s="29" t="n"/>
      <c r="G519" s="29" t="n"/>
      <c r="H519" s="28">
        <f>IF(B519="","",IF(B519="קנייה",-(D519*E519+G519),IF(B519="מכירה",D519*E519-G519,IF(B519="דיבידנד",F519-G519,IF(B519="הפקדה",F519-G519,IF(B519="משיכה",-F519-G519,-G519))))))</f>
        <v/>
      </c>
      <c r="I519" s="28">
        <f>IF(B519="קנייה",D519*E519+G519,0)</f>
        <v/>
      </c>
      <c r="J519" s="41">
        <f>IF(B519="מכירה",D519*E519-G519-D519*IFERROR(SUMIFS($I$5:I519,$C$5:C519,C519)/SUMIFS($D$5:D519,$C$5:C519,C519,$B$5:B519,"קנייה"),0),0)</f>
        <v/>
      </c>
      <c r="K519" s="26" t="n"/>
    </row>
    <row r="520">
      <c r="A520" s="39" t="n"/>
      <c r="B520" s="26" t="n"/>
      <c r="C520" s="26" t="n"/>
      <c r="D520" s="40" t="n"/>
      <c r="E520" s="29" t="n"/>
      <c r="F520" s="29" t="n"/>
      <c r="G520" s="29" t="n"/>
      <c r="H520" s="28">
        <f>IF(B520="","",IF(B520="קנייה",-(D520*E520+G520),IF(B520="מכירה",D520*E520-G520,IF(B520="דיבידנד",F520-G520,IF(B520="הפקדה",F520-G520,IF(B520="משיכה",-F520-G520,-G520))))))</f>
        <v/>
      </c>
      <c r="I520" s="28">
        <f>IF(B520="קנייה",D520*E520+G520,0)</f>
        <v/>
      </c>
      <c r="J520" s="41">
        <f>IF(B520="מכירה",D520*E520-G520-D520*IFERROR(SUMIFS($I$5:I520,$C$5:C520,C520)/SUMIFS($D$5:D520,$C$5:C520,C520,$B$5:B520,"קנייה"),0),0)</f>
        <v/>
      </c>
      <c r="K520" s="26" t="n"/>
    </row>
    <row r="521">
      <c r="A521" s="39" t="n"/>
      <c r="B521" s="26" t="n"/>
      <c r="C521" s="26" t="n"/>
      <c r="D521" s="40" t="n"/>
      <c r="E521" s="29" t="n"/>
      <c r="F521" s="29" t="n"/>
      <c r="G521" s="29" t="n"/>
      <c r="H521" s="28">
        <f>IF(B521="","",IF(B521="קנייה",-(D521*E521+G521),IF(B521="מכירה",D521*E521-G521,IF(B521="דיבידנד",F521-G521,IF(B521="הפקדה",F521-G521,IF(B521="משיכה",-F521-G521,-G521))))))</f>
        <v/>
      </c>
      <c r="I521" s="28">
        <f>IF(B521="קנייה",D521*E521+G521,0)</f>
        <v/>
      </c>
      <c r="J521" s="41">
        <f>IF(B521="מכירה",D521*E521-G521-D521*IFERROR(SUMIFS($I$5:I521,$C$5:C521,C521)/SUMIFS($D$5:D521,$C$5:C521,C521,$B$5:B521,"קנייה"),0),0)</f>
        <v/>
      </c>
      <c r="K521" s="26" t="n"/>
    </row>
    <row r="522">
      <c r="A522" s="39" t="n"/>
      <c r="B522" s="26" t="n"/>
      <c r="C522" s="26" t="n"/>
      <c r="D522" s="40" t="n"/>
      <c r="E522" s="29" t="n"/>
      <c r="F522" s="29" t="n"/>
      <c r="G522" s="29" t="n"/>
      <c r="H522" s="28">
        <f>IF(B522="","",IF(B522="קנייה",-(D522*E522+G522),IF(B522="מכירה",D522*E522-G522,IF(B522="דיבידנד",F522-G522,IF(B522="הפקדה",F522-G522,IF(B522="משיכה",-F522-G522,-G522))))))</f>
        <v/>
      </c>
      <c r="I522" s="28">
        <f>IF(B522="קנייה",D522*E522+G522,0)</f>
        <v/>
      </c>
      <c r="J522" s="41">
        <f>IF(B522="מכירה",D522*E522-G522-D522*IFERROR(SUMIFS($I$5:I522,$C$5:C522,C522)/SUMIFS($D$5:D522,$C$5:C522,C522,$B$5:B522,"קנייה"),0),0)</f>
        <v/>
      </c>
      <c r="K522" s="26" t="n"/>
    </row>
    <row r="523">
      <c r="A523" s="39" t="n"/>
      <c r="B523" s="26" t="n"/>
      <c r="C523" s="26" t="n"/>
      <c r="D523" s="40" t="n"/>
      <c r="E523" s="29" t="n"/>
      <c r="F523" s="29" t="n"/>
      <c r="G523" s="29" t="n"/>
      <c r="H523" s="28">
        <f>IF(B523="","",IF(B523="קנייה",-(D523*E523+G523),IF(B523="מכירה",D523*E523-G523,IF(B523="דיבידנד",F523-G523,IF(B523="הפקדה",F523-G523,IF(B523="משיכה",-F523-G523,-G523))))))</f>
        <v/>
      </c>
      <c r="I523" s="28">
        <f>IF(B523="קנייה",D523*E523+G523,0)</f>
        <v/>
      </c>
      <c r="J523" s="41">
        <f>IF(B523="מכירה",D523*E523-G523-D523*IFERROR(SUMIFS($I$5:I523,$C$5:C523,C523)/SUMIFS($D$5:D523,$C$5:C523,C523,$B$5:B523,"קנייה"),0),0)</f>
        <v/>
      </c>
      <c r="K523" s="26" t="n"/>
    </row>
    <row r="524">
      <c r="A524" s="39" t="n"/>
      <c r="B524" s="26" t="n"/>
      <c r="C524" s="26" t="n"/>
      <c r="D524" s="40" t="n"/>
      <c r="E524" s="29" t="n"/>
      <c r="F524" s="29" t="n"/>
      <c r="G524" s="29" t="n"/>
      <c r="H524" s="28">
        <f>IF(B524="","",IF(B524="קנייה",-(D524*E524+G524),IF(B524="מכירה",D524*E524-G524,IF(B524="דיבידנד",F524-G524,IF(B524="הפקדה",F524-G524,IF(B524="משיכה",-F524-G524,-G524))))))</f>
        <v/>
      </c>
      <c r="I524" s="28">
        <f>IF(B524="קנייה",D524*E524+G524,0)</f>
        <v/>
      </c>
      <c r="J524" s="41">
        <f>IF(B524="מכירה",D524*E524-G524-D524*IFERROR(SUMIFS($I$5:I524,$C$5:C524,C524)/SUMIFS($D$5:D524,$C$5:C524,C524,$B$5:B524,"קנייה"),0),0)</f>
        <v/>
      </c>
      <c r="K524" s="26" t="n"/>
    </row>
    <row r="525">
      <c r="A525" s="39" t="n"/>
      <c r="B525" s="26" t="n"/>
      <c r="C525" s="26" t="n"/>
      <c r="D525" s="40" t="n"/>
      <c r="E525" s="29" t="n"/>
      <c r="F525" s="29" t="n"/>
      <c r="G525" s="29" t="n"/>
      <c r="H525" s="28">
        <f>IF(B525="","",IF(B525="קנייה",-(D525*E525+G525),IF(B525="מכירה",D525*E525-G525,IF(B525="דיבידנד",F525-G525,IF(B525="הפקדה",F525-G525,IF(B525="משיכה",-F525-G525,-G525))))))</f>
        <v/>
      </c>
      <c r="I525" s="28">
        <f>IF(B525="קנייה",D525*E525+G525,0)</f>
        <v/>
      </c>
      <c r="J525" s="41">
        <f>IF(B525="מכירה",D525*E525-G525-D525*IFERROR(SUMIFS($I$5:I525,$C$5:C525,C525)/SUMIFS($D$5:D525,$C$5:C525,C525,$B$5:B525,"קנייה"),0),0)</f>
        <v/>
      </c>
      <c r="K525" s="26" t="n"/>
    </row>
    <row r="526">
      <c r="A526" s="39" t="n"/>
      <c r="B526" s="26" t="n"/>
      <c r="C526" s="26" t="n"/>
      <c r="D526" s="40" t="n"/>
      <c r="E526" s="29" t="n"/>
      <c r="F526" s="29" t="n"/>
      <c r="G526" s="29" t="n"/>
      <c r="H526" s="28">
        <f>IF(B526="","",IF(B526="קנייה",-(D526*E526+G526),IF(B526="מכירה",D526*E526-G526,IF(B526="דיבידנד",F526-G526,IF(B526="הפקדה",F526-G526,IF(B526="משיכה",-F526-G526,-G526))))))</f>
        <v/>
      </c>
      <c r="I526" s="28">
        <f>IF(B526="קנייה",D526*E526+G526,0)</f>
        <v/>
      </c>
      <c r="J526" s="41">
        <f>IF(B526="מכירה",D526*E526-G526-D526*IFERROR(SUMIFS($I$5:I526,$C$5:C526,C526)/SUMIFS($D$5:D526,$C$5:C526,C526,$B$5:B526,"קנייה"),0),0)</f>
        <v/>
      </c>
      <c r="K526" s="26" t="n"/>
    </row>
    <row r="527">
      <c r="A527" s="39" t="n"/>
      <c r="B527" s="26" t="n"/>
      <c r="C527" s="26" t="n"/>
      <c r="D527" s="40" t="n"/>
      <c r="E527" s="29" t="n"/>
      <c r="F527" s="29" t="n"/>
      <c r="G527" s="29" t="n"/>
      <c r="H527" s="28">
        <f>IF(B527="","",IF(B527="קנייה",-(D527*E527+G527),IF(B527="מכירה",D527*E527-G527,IF(B527="דיבידנד",F527-G527,IF(B527="הפקדה",F527-G527,IF(B527="משיכה",-F527-G527,-G527))))))</f>
        <v/>
      </c>
      <c r="I527" s="28">
        <f>IF(B527="קנייה",D527*E527+G527,0)</f>
        <v/>
      </c>
      <c r="J527" s="41">
        <f>IF(B527="מכירה",D527*E527-G527-D527*IFERROR(SUMIFS($I$5:I527,$C$5:C527,C527)/SUMIFS($D$5:D527,$C$5:C527,C527,$B$5:B527,"קנייה"),0),0)</f>
        <v/>
      </c>
      <c r="K527" s="26" t="n"/>
    </row>
    <row r="528">
      <c r="A528" s="39" t="n"/>
      <c r="B528" s="26" t="n"/>
      <c r="C528" s="26" t="n"/>
      <c r="D528" s="40" t="n"/>
      <c r="E528" s="29" t="n"/>
      <c r="F528" s="29" t="n"/>
      <c r="G528" s="29" t="n"/>
      <c r="H528" s="28">
        <f>IF(B528="","",IF(B528="קנייה",-(D528*E528+G528),IF(B528="מכירה",D528*E528-G528,IF(B528="דיבידנד",F528-G528,IF(B528="הפקדה",F528-G528,IF(B528="משיכה",-F528-G528,-G528))))))</f>
        <v/>
      </c>
      <c r="I528" s="28">
        <f>IF(B528="קנייה",D528*E528+G528,0)</f>
        <v/>
      </c>
      <c r="J528" s="41">
        <f>IF(B528="מכירה",D528*E528-G528-D528*IFERROR(SUMIFS($I$5:I528,$C$5:C528,C528)/SUMIFS($D$5:D528,$C$5:C528,C528,$B$5:B528,"קנייה"),0),0)</f>
        <v/>
      </c>
      <c r="K528" s="26" t="n"/>
    </row>
    <row r="529">
      <c r="A529" s="39" t="n"/>
      <c r="B529" s="26" t="n"/>
      <c r="C529" s="26" t="n"/>
      <c r="D529" s="40" t="n"/>
      <c r="E529" s="29" t="n"/>
      <c r="F529" s="29" t="n"/>
      <c r="G529" s="29" t="n"/>
      <c r="H529" s="28">
        <f>IF(B529="","",IF(B529="קנייה",-(D529*E529+G529),IF(B529="מכירה",D529*E529-G529,IF(B529="דיבידנד",F529-G529,IF(B529="הפקדה",F529-G529,IF(B529="משיכה",-F529-G529,-G529))))))</f>
        <v/>
      </c>
      <c r="I529" s="28">
        <f>IF(B529="קנייה",D529*E529+G529,0)</f>
        <v/>
      </c>
      <c r="J529" s="41">
        <f>IF(B529="מכירה",D529*E529-G529-D529*IFERROR(SUMIFS($I$5:I529,$C$5:C529,C529)/SUMIFS($D$5:D529,$C$5:C529,C529,$B$5:B529,"קנייה"),0),0)</f>
        <v/>
      </c>
      <c r="K529" s="26" t="n"/>
    </row>
    <row r="530">
      <c r="A530" s="39" t="n"/>
      <c r="B530" s="26" t="n"/>
      <c r="C530" s="26" t="n"/>
      <c r="D530" s="40" t="n"/>
      <c r="E530" s="29" t="n"/>
      <c r="F530" s="29" t="n"/>
      <c r="G530" s="29" t="n"/>
      <c r="H530" s="28">
        <f>IF(B530="","",IF(B530="קנייה",-(D530*E530+G530),IF(B530="מכירה",D530*E530-G530,IF(B530="דיבידנד",F530-G530,IF(B530="הפקדה",F530-G530,IF(B530="משיכה",-F530-G530,-G530))))))</f>
        <v/>
      </c>
      <c r="I530" s="28">
        <f>IF(B530="קנייה",D530*E530+G530,0)</f>
        <v/>
      </c>
      <c r="J530" s="41">
        <f>IF(B530="מכירה",D530*E530-G530-D530*IFERROR(SUMIFS($I$5:I530,$C$5:C530,C530)/SUMIFS($D$5:D530,$C$5:C530,C530,$B$5:B530,"קנייה"),0),0)</f>
        <v/>
      </c>
      <c r="K530" s="26" t="n"/>
    </row>
    <row r="531">
      <c r="A531" s="39" t="n"/>
      <c r="B531" s="26" t="n"/>
      <c r="C531" s="26" t="n"/>
      <c r="D531" s="40" t="n"/>
      <c r="E531" s="29" t="n"/>
      <c r="F531" s="29" t="n"/>
      <c r="G531" s="29" t="n"/>
      <c r="H531" s="28">
        <f>IF(B531="","",IF(B531="קנייה",-(D531*E531+G531),IF(B531="מכירה",D531*E531-G531,IF(B531="דיבידנד",F531-G531,IF(B531="הפקדה",F531-G531,IF(B531="משיכה",-F531-G531,-G531))))))</f>
        <v/>
      </c>
      <c r="I531" s="28">
        <f>IF(B531="קנייה",D531*E531+G531,0)</f>
        <v/>
      </c>
      <c r="J531" s="41">
        <f>IF(B531="מכירה",D531*E531-G531-D531*IFERROR(SUMIFS($I$5:I531,$C$5:C531,C531)/SUMIFS($D$5:D531,$C$5:C531,C531,$B$5:B531,"קנייה"),0),0)</f>
        <v/>
      </c>
      <c r="K531" s="26" t="n"/>
    </row>
    <row r="532">
      <c r="A532" s="39" t="n"/>
      <c r="B532" s="26" t="n"/>
      <c r="C532" s="26" t="n"/>
      <c r="D532" s="40" t="n"/>
      <c r="E532" s="29" t="n"/>
      <c r="F532" s="29" t="n"/>
      <c r="G532" s="29" t="n"/>
      <c r="H532" s="28">
        <f>IF(B532="","",IF(B532="קנייה",-(D532*E532+G532),IF(B532="מכירה",D532*E532-G532,IF(B532="דיבידנד",F532-G532,IF(B532="הפקדה",F532-G532,IF(B532="משיכה",-F532-G532,-G532))))))</f>
        <v/>
      </c>
      <c r="I532" s="28">
        <f>IF(B532="קנייה",D532*E532+G532,0)</f>
        <v/>
      </c>
      <c r="J532" s="41">
        <f>IF(B532="מכירה",D532*E532-G532-D532*IFERROR(SUMIFS($I$5:I532,$C$5:C532,C532)/SUMIFS($D$5:D532,$C$5:C532,C532,$B$5:B532,"קנייה"),0),0)</f>
        <v/>
      </c>
      <c r="K532" s="26" t="n"/>
    </row>
    <row r="533">
      <c r="A533" s="39" t="n"/>
      <c r="B533" s="26" t="n"/>
      <c r="C533" s="26" t="n"/>
      <c r="D533" s="40" t="n"/>
      <c r="E533" s="29" t="n"/>
      <c r="F533" s="29" t="n"/>
      <c r="G533" s="29" t="n"/>
      <c r="H533" s="28">
        <f>IF(B533="","",IF(B533="קנייה",-(D533*E533+G533),IF(B533="מכירה",D533*E533-G533,IF(B533="דיבידנד",F533-G533,IF(B533="הפקדה",F533-G533,IF(B533="משיכה",-F533-G533,-G533))))))</f>
        <v/>
      </c>
      <c r="I533" s="28">
        <f>IF(B533="קנייה",D533*E533+G533,0)</f>
        <v/>
      </c>
      <c r="J533" s="41">
        <f>IF(B533="מכירה",D533*E533-G533-D533*IFERROR(SUMIFS($I$5:I533,$C$5:C533,C533)/SUMIFS($D$5:D533,$C$5:C533,C533,$B$5:B533,"קנייה"),0),0)</f>
        <v/>
      </c>
      <c r="K533" s="26" t="n"/>
    </row>
    <row r="534">
      <c r="A534" s="39" t="n"/>
      <c r="B534" s="26" t="n"/>
      <c r="C534" s="26" t="n"/>
      <c r="D534" s="40" t="n"/>
      <c r="E534" s="29" t="n"/>
      <c r="F534" s="29" t="n"/>
      <c r="G534" s="29" t="n"/>
      <c r="H534" s="28">
        <f>IF(B534="","",IF(B534="קנייה",-(D534*E534+G534),IF(B534="מכירה",D534*E534-G534,IF(B534="דיבידנד",F534-G534,IF(B534="הפקדה",F534-G534,IF(B534="משיכה",-F534-G534,-G534))))))</f>
        <v/>
      </c>
      <c r="I534" s="28">
        <f>IF(B534="קנייה",D534*E534+G534,0)</f>
        <v/>
      </c>
      <c r="J534" s="41">
        <f>IF(B534="מכירה",D534*E534-G534-D534*IFERROR(SUMIFS($I$5:I534,$C$5:C534,C534)/SUMIFS($D$5:D534,$C$5:C534,C534,$B$5:B534,"קנייה"),0),0)</f>
        <v/>
      </c>
      <c r="K534" s="26" t="n"/>
    </row>
    <row r="535">
      <c r="A535" s="39" t="n"/>
      <c r="B535" s="26" t="n"/>
      <c r="C535" s="26" t="n"/>
      <c r="D535" s="40" t="n"/>
      <c r="E535" s="29" t="n"/>
      <c r="F535" s="29" t="n"/>
      <c r="G535" s="29" t="n"/>
      <c r="H535" s="28">
        <f>IF(B535="","",IF(B535="קנייה",-(D535*E535+G535),IF(B535="מכירה",D535*E535-G535,IF(B535="דיבידנד",F535-G535,IF(B535="הפקדה",F535-G535,IF(B535="משיכה",-F535-G535,-G535))))))</f>
        <v/>
      </c>
      <c r="I535" s="28">
        <f>IF(B535="קנייה",D535*E535+G535,0)</f>
        <v/>
      </c>
      <c r="J535" s="41">
        <f>IF(B535="מכירה",D535*E535-G535-D535*IFERROR(SUMIFS($I$5:I535,$C$5:C535,C535)/SUMIFS($D$5:D535,$C$5:C535,C535,$B$5:B535,"קנייה"),0),0)</f>
        <v/>
      </c>
      <c r="K535" s="26" t="n"/>
    </row>
    <row r="536">
      <c r="A536" s="39" t="n"/>
      <c r="B536" s="26" t="n"/>
      <c r="C536" s="26" t="n"/>
      <c r="D536" s="40" t="n"/>
      <c r="E536" s="29" t="n"/>
      <c r="F536" s="29" t="n"/>
      <c r="G536" s="29" t="n"/>
      <c r="H536" s="28">
        <f>IF(B536="","",IF(B536="קנייה",-(D536*E536+G536),IF(B536="מכירה",D536*E536-G536,IF(B536="דיבידנד",F536-G536,IF(B536="הפקדה",F536-G536,IF(B536="משיכה",-F536-G536,-G536))))))</f>
        <v/>
      </c>
      <c r="I536" s="28">
        <f>IF(B536="קנייה",D536*E536+G536,0)</f>
        <v/>
      </c>
      <c r="J536" s="41">
        <f>IF(B536="מכירה",D536*E536-G536-D536*IFERROR(SUMIFS($I$5:I536,$C$5:C536,C536)/SUMIFS($D$5:D536,$C$5:C536,C536,$B$5:B536,"קנייה"),0),0)</f>
        <v/>
      </c>
      <c r="K536" s="26" t="n"/>
    </row>
    <row r="537">
      <c r="A537" s="39" t="n"/>
      <c r="B537" s="26" t="n"/>
      <c r="C537" s="26" t="n"/>
      <c r="D537" s="40" t="n"/>
      <c r="E537" s="29" t="n"/>
      <c r="F537" s="29" t="n"/>
      <c r="G537" s="29" t="n"/>
      <c r="H537" s="28">
        <f>IF(B537="","",IF(B537="קנייה",-(D537*E537+G537),IF(B537="מכירה",D537*E537-G537,IF(B537="דיבידנד",F537-G537,IF(B537="הפקדה",F537-G537,IF(B537="משיכה",-F537-G537,-G537))))))</f>
        <v/>
      </c>
      <c r="I537" s="28">
        <f>IF(B537="קנייה",D537*E537+G537,0)</f>
        <v/>
      </c>
      <c r="J537" s="41">
        <f>IF(B537="מכירה",D537*E537-G537-D537*IFERROR(SUMIFS($I$5:I537,$C$5:C537,C537)/SUMIFS($D$5:D537,$C$5:C537,C537,$B$5:B537,"קנייה"),0),0)</f>
        <v/>
      </c>
      <c r="K537" s="26" t="n"/>
    </row>
    <row r="538">
      <c r="A538" s="39" t="n"/>
      <c r="B538" s="26" t="n"/>
      <c r="C538" s="26" t="n"/>
      <c r="D538" s="40" t="n"/>
      <c r="E538" s="29" t="n"/>
      <c r="F538" s="29" t="n"/>
      <c r="G538" s="29" t="n"/>
      <c r="H538" s="28">
        <f>IF(B538="","",IF(B538="קנייה",-(D538*E538+G538),IF(B538="מכירה",D538*E538-G538,IF(B538="דיבידנד",F538-G538,IF(B538="הפקדה",F538-G538,IF(B538="משיכה",-F538-G538,-G538))))))</f>
        <v/>
      </c>
      <c r="I538" s="28">
        <f>IF(B538="קנייה",D538*E538+G538,0)</f>
        <v/>
      </c>
      <c r="J538" s="41">
        <f>IF(B538="מכירה",D538*E538-G538-D538*IFERROR(SUMIFS($I$5:I538,$C$5:C538,C538)/SUMIFS($D$5:D538,$C$5:C538,C538,$B$5:B538,"קנייה"),0),0)</f>
        <v/>
      </c>
      <c r="K538" s="26" t="n"/>
    </row>
    <row r="539">
      <c r="A539" s="39" t="n"/>
      <c r="B539" s="26" t="n"/>
      <c r="C539" s="26" t="n"/>
      <c r="D539" s="40" t="n"/>
      <c r="E539" s="29" t="n"/>
      <c r="F539" s="29" t="n"/>
      <c r="G539" s="29" t="n"/>
      <c r="H539" s="28">
        <f>IF(B539="","",IF(B539="קנייה",-(D539*E539+G539),IF(B539="מכירה",D539*E539-G539,IF(B539="דיבידנד",F539-G539,IF(B539="הפקדה",F539-G539,IF(B539="משיכה",-F539-G539,-G539))))))</f>
        <v/>
      </c>
      <c r="I539" s="28">
        <f>IF(B539="קנייה",D539*E539+G539,0)</f>
        <v/>
      </c>
      <c r="J539" s="41">
        <f>IF(B539="מכירה",D539*E539-G539-D539*IFERROR(SUMIFS($I$5:I539,$C$5:C539,C539)/SUMIFS($D$5:D539,$C$5:C539,C539,$B$5:B539,"קנייה"),0),0)</f>
        <v/>
      </c>
      <c r="K539" s="26" t="n"/>
    </row>
    <row r="540">
      <c r="A540" s="39" t="n"/>
      <c r="B540" s="26" t="n"/>
      <c r="C540" s="26" t="n"/>
      <c r="D540" s="40" t="n"/>
      <c r="E540" s="29" t="n"/>
      <c r="F540" s="29" t="n"/>
      <c r="G540" s="29" t="n"/>
      <c r="H540" s="28">
        <f>IF(B540="","",IF(B540="קנייה",-(D540*E540+G540),IF(B540="מכירה",D540*E540-G540,IF(B540="דיבידנד",F540-G540,IF(B540="הפקדה",F540-G540,IF(B540="משיכה",-F540-G540,-G540))))))</f>
        <v/>
      </c>
      <c r="I540" s="28">
        <f>IF(B540="קנייה",D540*E540+G540,0)</f>
        <v/>
      </c>
      <c r="J540" s="41">
        <f>IF(B540="מכירה",D540*E540-G540-D540*IFERROR(SUMIFS($I$5:I540,$C$5:C540,C540)/SUMIFS($D$5:D540,$C$5:C540,C540,$B$5:B540,"קנייה"),0),0)</f>
        <v/>
      </c>
      <c r="K540" s="26" t="n"/>
    </row>
    <row r="541">
      <c r="A541" s="39" t="n"/>
      <c r="B541" s="26" t="n"/>
      <c r="C541" s="26" t="n"/>
      <c r="D541" s="40" t="n"/>
      <c r="E541" s="29" t="n"/>
      <c r="F541" s="29" t="n"/>
      <c r="G541" s="29" t="n"/>
      <c r="H541" s="28">
        <f>IF(B541="","",IF(B541="קנייה",-(D541*E541+G541),IF(B541="מכירה",D541*E541-G541,IF(B541="דיבידנד",F541-G541,IF(B541="הפקדה",F541-G541,IF(B541="משיכה",-F541-G541,-G541))))))</f>
        <v/>
      </c>
      <c r="I541" s="28">
        <f>IF(B541="קנייה",D541*E541+G541,0)</f>
        <v/>
      </c>
      <c r="J541" s="41">
        <f>IF(B541="מכירה",D541*E541-G541-D541*IFERROR(SUMIFS($I$5:I541,$C$5:C541,C541)/SUMIFS($D$5:D541,$C$5:C541,C541,$B$5:B541,"קנייה"),0),0)</f>
        <v/>
      </c>
      <c r="K541" s="26" t="n"/>
    </row>
    <row r="542">
      <c r="A542" s="39" t="n"/>
      <c r="B542" s="26" t="n"/>
      <c r="C542" s="26" t="n"/>
      <c r="D542" s="40" t="n"/>
      <c r="E542" s="29" t="n"/>
      <c r="F542" s="29" t="n"/>
      <c r="G542" s="29" t="n"/>
      <c r="H542" s="28">
        <f>IF(B542="","",IF(B542="קנייה",-(D542*E542+G542),IF(B542="מכירה",D542*E542-G542,IF(B542="דיבידנד",F542-G542,IF(B542="הפקדה",F542-G542,IF(B542="משיכה",-F542-G542,-G542))))))</f>
        <v/>
      </c>
      <c r="I542" s="28">
        <f>IF(B542="קנייה",D542*E542+G542,0)</f>
        <v/>
      </c>
      <c r="J542" s="41">
        <f>IF(B542="מכירה",D542*E542-G542-D542*IFERROR(SUMIFS($I$5:I542,$C$5:C542,C542)/SUMIFS($D$5:D542,$C$5:C542,C542,$B$5:B542,"קנייה"),0),0)</f>
        <v/>
      </c>
      <c r="K542" s="26" t="n"/>
    </row>
    <row r="543">
      <c r="A543" s="39" t="n"/>
      <c r="B543" s="26" t="n"/>
      <c r="C543" s="26" t="n"/>
      <c r="D543" s="40" t="n"/>
      <c r="E543" s="29" t="n"/>
      <c r="F543" s="29" t="n"/>
      <c r="G543" s="29" t="n"/>
      <c r="H543" s="28">
        <f>IF(B543="","",IF(B543="קנייה",-(D543*E543+G543),IF(B543="מכירה",D543*E543-G543,IF(B543="דיבידנד",F543-G543,IF(B543="הפקדה",F543-G543,IF(B543="משיכה",-F543-G543,-G543))))))</f>
        <v/>
      </c>
      <c r="I543" s="28">
        <f>IF(B543="קנייה",D543*E543+G543,0)</f>
        <v/>
      </c>
      <c r="J543" s="41">
        <f>IF(B543="מכירה",D543*E543-G543-D543*IFERROR(SUMIFS($I$5:I543,$C$5:C543,C543)/SUMIFS($D$5:D543,$C$5:C543,C543,$B$5:B543,"קנייה"),0),0)</f>
        <v/>
      </c>
      <c r="K543" s="26" t="n"/>
    </row>
    <row r="544">
      <c r="A544" s="39" t="n"/>
      <c r="B544" s="26" t="n"/>
      <c r="C544" s="26" t="n"/>
      <c r="D544" s="40" t="n"/>
      <c r="E544" s="29" t="n"/>
      <c r="F544" s="29" t="n"/>
      <c r="G544" s="29" t="n"/>
      <c r="H544" s="28">
        <f>IF(B544="","",IF(B544="קנייה",-(D544*E544+G544),IF(B544="מכירה",D544*E544-G544,IF(B544="דיבידנד",F544-G544,IF(B544="הפקדה",F544-G544,IF(B544="משיכה",-F544-G544,-G544))))))</f>
        <v/>
      </c>
      <c r="I544" s="28">
        <f>IF(B544="קנייה",D544*E544+G544,0)</f>
        <v/>
      </c>
      <c r="J544" s="41">
        <f>IF(B544="מכירה",D544*E544-G544-D544*IFERROR(SUMIFS($I$5:I544,$C$5:C544,C544)/SUMIFS($D$5:D544,$C$5:C544,C544,$B$5:B544,"קנייה"),0),0)</f>
        <v/>
      </c>
      <c r="K544" s="26" t="n"/>
    </row>
    <row r="545">
      <c r="A545" s="39" t="n"/>
      <c r="B545" s="26" t="n"/>
      <c r="C545" s="26" t="n"/>
      <c r="D545" s="40" t="n"/>
      <c r="E545" s="29" t="n"/>
      <c r="F545" s="29" t="n"/>
      <c r="G545" s="29" t="n"/>
      <c r="H545" s="28">
        <f>IF(B545="","",IF(B545="קנייה",-(D545*E545+G545),IF(B545="מכירה",D545*E545-G545,IF(B545="דיבידנד",F545-G545,IF(B545="הפקדה",F545-G545,IF(B545="משיכה",-F545-G545,-G545))))))</f>
        <v/>
      </c>
      <c r="I545" s="28">
        <f>IF(B545="קנייה",D545*E545+G545,0)</f>
        <v/>
      </c>
      <c r="J545" s="41">
        <f>IF(B545="מכירה",D545*E545-G545-D545*IFERROR(SUMIFS($I$5:I545,$C$5:C545,C545)/SUMIFS($D$5:D545,$C$5:C545,C545,$B$5:B545,"קנייה"),0),0)</f>
        <v/>
      </c>
      <c r="K545" s="26" t="n"/>
    </row>
    <row r="546">
      <c r="A546" s="39" t="n"/>
      <c r="B546" s="26" t="n"/>
      <c r="C546" s="26" t="n"/>
      <c r="D546" s="40" t="n"/>
      <c r="E546" s="29" t="n"/>
      <c r="F546" s="29" t="n"/>
      <c r="G546" s="29" t="n"/>
      <c r="H546" s="28">
        <f>IF(B546="","",IF(B546="קנייה",-(D546*E546+G546),IF(B546="מכירה",D546*E546-G546,IF(B546="דיבידנד",F546-G546,IF(B546="הפקדה",F546-G546,IF(B546="משיכה",-F546-G546,-G546))))))</f>
        <v/>
      </c>
      <c r="I546" s="28">
        <f>IF(B546="קנייה",D546*E546+G546,0)</f>
        <v/>
      </c>
      <c r="J546" s="41">
        <f>IF(B546="מכירה",D546*E546-G546-D546*IFERROR(SUMIFS($I$5:I546,$C$5:C546,C546)/SUMIFS($D$5:D546,$C$5:C546,C546,$B$5:B546,"קנייה"),0),0)</f>
        <v/>
      </c>
      <c r="K546" s="26" t="n"/>
    </row>
    <row r="547">
      <c r="A547" s="39" t="n"/>
      <c r="B547" s="26" t="n"/>
      <c r="C547" s="26" t="n"/>
      <c r="D547" s="40" t="n"/>
      <c r="E547" s="29" t="n"/>
      <c r="F547" s="29" t="n"/>
      <c r="G547" s="29" t="n"/>
      <c r="H547" s="28">
        <f>IF(B547="","",IF(B547="קנייה",-(D547*E547+G547),IF(B547="מכירה",D547*E547-G547,IF(B547="דיבידנד",F547-G547,IF(B547="הפקדה",F547-G547,IF(B547="משיכה",-F547-G547,-G547))))))</f>
        <v/>
      </c>
      <c r="I547" s="28">
        <f>IF(B547="קנייה",D547*E547+G547,0)</f>
        <v/>
      </c>
      <c r="J547" s="41">
        <f>IF(B547="מכירה",D547*E547-G547-D547*IFERROR(SUMIFS($I$5:I547,$C$5:C547,C547)/SUMIFS($D$5:D547,$C$5:C547,C547,$B$5:B547,"קנייה"),0),0)</f>
        <v/>
      </c>
      <c r="K547" s="26" t="n"/>
    </row>
    <row r="548">
      <c r="A548" s="39" t="n"/>
      <c r="B548" s="26" t="n"/>
      <c r="C548" s="26" t="n"/>
      <c r="D548" s="40" t="n"/>
      <c r="E548" s="29" t="n"/>
      <c r="F548" s="29" t="n"/>
      <c r="G548" s="29" t="n"/>
      <c r="H548" s="28">
        <f>IF(B548="","",IF(B548="קנייה",-(D548*E548+G548),IF(B548="מכירה",D548*E548-G548,IF(B548="דיבידנד",F548-G548,IF(B548="הפקדה",F548-G548,IF(B548="משיכה",-F548-G548,-G548))))))</f>
        <v/>
      </c>
      <c r="I548" s="28">
        <f>IF(B548="קנייה",D548*E548+G548,0)</f>
        <v/>
      </c>
      <c r="J548" s="41">
        <f>IF(B548="מכירה",D548*E548-G548-D548*IFERROR(SUMIFS($I$5:I548,$C$5:C548,C548)/SUMIFS($D$5:D548,$C$5:C548,C548,$B$5:B548,"קנייה"),0),0)</f>
        <v/>
      </c>
      <c r="K548" s="26" t="n"/>
    </row>
    <row r="549">
      <c r="A549" s="39" t="n"/>
      <c r="B549" s="26" t="n"/>
      <c r="C549" s="26" t="n"/>
      <c r="D549" s="40" t="n"/>
      <c r="E549" s="29" t="n"/>
      <c r="F549" s="29" t="n"/>
      <c r="G549" s="29" t="n"/>
      <c r="H549" s="28">
        <f>IF(B549="","",IF(B549="קנייה",-(D549*E549+G549),IF(B549="מכירה",D549*E549-G549,IF(B549="דיבידנד",F549-G549,IF(B549="הפקדה",F549-G549,IF(B549="משיכה",-F549-G549,-G549))))))</f>
        <v/>
      </c>
      <c r="I549" s="28">
        <f>IF(B549="קנייה",D549*E549+G549,0)</f>
        <v/>
      </c>
      <c r="J549" s="41">
        <f>IF(B549="מכירה",D549*E549-G549-D549*IFERROR(SUMIFS($I$5:I549,$C$5:C549,C549)/SUMIFS($D$5:D549,$C$5:C549,C549,$B$5:B549,"קנייה"),0),0)</f>
        <v/>
      </c>
      <c r="K549" s="26" t="n"/>
    </row>
    <row r="550">
      <c r="A550" s="39" t="n"/>
      <c r="B550" s="26" t="n"/>
      <c r="C550" s="26" t="n"/>
      <c r="D550" s="40" t="n"/>
      <c r="E550" s="29" t="n"/>
      <c r="F550" s="29" t="n"/>
      <c r="G550" s="29" t="n"/>
      <c r="H550" s="28">
        <f>IF(B550="","",IF(B550="קנייה",-(D550*E550+G550),IF(B550="מכירה",D550*E550-G550,IF(B550="דיבידנד",F550-G550,IF(B550="הפקדה",F550-G550,IF(B550="משיכה",-F550-G550,-G550))))))</f>
        <v/>
      </c>
      <c r="I550" s="28">
        <f>IF(B550="קנייה",D550*E550+G550,0)</f>
        <v/>
      </c>
      <c r="J550" s="41">
        <f>IF(B550="מכירה",D550*E550-G550-D550*IFERROR(SUMIFS($I$5:I550,$C$5:C550,C550)/SUMIFS($D$5:D550,$C$5:C550,C550,$B$5:B550,"קנייה"),0),0)</f>
        <v/>
      </c>
      <c r="K550" s="26" t="n"/>
    </row>
    <row r="551">
      <c r="A551" s="39" t="n"/>
      <c r="B551" s="26" t="n"/>
      <c r="C551" s="26" t="n"/>
      <c r="D551" s="40" t="n"/>
      <c r="E551" s="29" t="n"/>
      <c r="F551" s="29" t="n"/>
      <c r="G551" s="29" t="n"/>
      <c r="H551" s="28">
        <f>IF(B551="","",IF(B551="קנייה",-(D551*E551+G551),IF(B551="מכירה",D551*E551-G551,IF(B551="דיבידנד",F551-G551,IF(B551="הפקדה",F551-G551,IF(B551="משיכה",-F551-G551,-G551))))))</f>
        <v/>
      </c>
      <c r="I551" s="28">
        <f>IF(B551="קנייה",D551*E551+G551,0)</f>
        <v/>
      </c>
      <c r="J551" s="41">
        <f>IF(B551="מכירה",D551*E551-G551-D551*IFERROR(SUMIFS($I$5:I551,$C$5:C551,C551)/SUMIFS($D$5:D551,$C$5:C551,C551,$B$5:B551,"קנייה"),0),0)</f>
        <v/>
      </c>
      <c r="K551" s="26" t="n"/>
    </row>
    <row r="552">
      <c r="A552" s="39" t="n"/>
      <c r="B552" s="26" t="n"/>
      <c r="C552" s="26" t="n"/>
      <c r="D552" s="40" t="n"/>
      <c r="E552" s="29" t="n"/>
      <c r="F552" s="29" t="n"/>
      <c r="G552" s="29" t="n"/>
      <c r="H552" s="28">
        <f>IF(B552="","",IF(B552="קנייה",-(D552*E552+G552),IF(B552="מכירה",D552*E552-G552,IF(B552="דיבידנד",F552-G552,IF(B552="הפקדה",F552-G552,IF(B552="משיכה",-F552-G552,-G552))))))</f>
        <v/>
      </c>
      <c r="I552" s="28">
        <f>IF(B552="קנייה",D552*E552+G552,0)</f>
        <v/>
      </c>
      <c r="J552" s="41">
        <f>IF(B552="מכירה",D552*E552-G552-D552*IFERROR(SUMIFS($I$5:I552,$C$5:C552,C552)/SUMIFS($D$5:D552,$C$5:C552,C552,$B$5:B552,"קנייה"),0),0)</f>
        <v/>
      </c>
      <c r="K552" s="26" t="n"/>
    </row>
    <row r="553">
      <c r="A553" s="39" t="n"/>
      <c r="B553" s="26" t="n"/>
      <c r="C553" s="26" t="n"/>
      <c r="D553" s="40" t="n"/>
      <c r="E553" s="29" t="n"/>
      <c r="F553" s="29" t="n"/>
      <c r="G553" s="29" t="n"/>
      <c r="H553" s="28">
        <f>IF(B553="","",IF(B553="קנייה",-(D553*E553+G553),IF(B553="מכירה",D553*E553-G553,IF(B553="דיבידנד",F553-G553,IF(B553="הפקדה",F553-G553,IF(B553="משיכה",-F553-G553,-G553))))))</f>
        <v/>
      </c>
      <c r="I553" s="28">
        <f>IF(B553="קנייה",D553*E553+G553,0)</f>
        <v/>
      </c>
      <c r="J553" s="41">
        <f>IF(B553="מכירה",D553*E553-G553-D553*IFERROR(SUMIFS($I$5:I553,$C$5:C553,C553)/SUMIFS($D$5:D553,$C$5:C553,C553,$B$5:B553,"קנייה"),0),0)</f>
        <v/>
      </c>
      <c r="K553" s="26" t="n"/>
    </row>
    <row r="554">
      <c r="A554" s="39" t="n"/>
      <c r="B554" s="26" t="n"/>
      <c r="C554" s="26" t="n"/>
      <c r="D554" s="40" t="n"/>
      <c r="E554" s="29" t="n"/>
      <c r="F554" s="29" t="n"/>
      <c r="G554" s="29" t="n"/>
      <c r="H554" s="28">
        <f>IF(B554="","",IF(B554="קנייה",-(D554*E554+G554),IF(B554="מכירה",D554*E554-G554,IF(B554="דיבידנד",F554-G554,IF(B554="הפקדה",F554-G554,IF(B554="משיכה",-F554-G554,-G554))))))</f>
        <v/>
      </c>
      <c r="I554" s="28">
        <f>IF(B554="קנייה",D554*E554+G554,0)</f>
        <v/>
      </c>
      <c r="J554" s="41">
        <f>IF(B554="מכירה",D554*E554-G554-D554*IFERROR(SUMIFS($I$5:I554,$C$5:C554,C554)/SUMIFS($D$5:D554,$C$5:C554,C554,$B$5:B554,"קנייה"),0),0)</f>
        <v/>
      </c>
      <c r="K554" s="26" t="n"/>
    </row>
    <row r="555">
      <c r="A555" s="39" t="n"/>
      <c r="B555" s="26" t="n"/>
      <c r="C555" s="26" t="n"/>
      <c r="D555" s="40" t="n"/>
      <c r="E555" s="29" t="n"/>
      <c r="F555" s="29" t="n"/>
      <c r="G555" s="29" t="n"/>
      <c r="H555" s="28">
        <f>IF(B555="","",IF(B555="קנייה",-(D555*E555+G555),IF(B555="מכירה",D555*E555-G555,IF(B555="דיבידנד",F555-G555,IF(B555="הפקדה",F555-G555,IF(B555="משיכה",-F555-G555,-G555))))))</f>
        <v/>
      </c>
      <c r="I555" s="28">
        <f>IF(B555="קנייה",D555*E555+G555,0)</f>
        <v/>
      </c>
      <c r="J555" s="41">
        <f>IF(B555="מכירה",D555*E555-G555-D555*IFERROR(SUMIFS($I$5:I555,$C$5:C555,C555)/SUMIFS($D$5:D555,$C$5:C555,C555,$B$5:B555,"קנייה"),0),0)</f>
        <v/>
      </c>
      <c r="K555" s="26" t="n"/>
    </row>
    <row r="556">
      <c r="A556" s="39" t="n"/>
      <c r="B556" s="26" t="n"/>
      <c r="C556" s="26" t="n"/>
      <c r="D556" s="40" t="n"/>
      <c r="E556" s="29" t="n"/>
      <c r="F556" s="29" t="n"/>
      <c r="G556" s="29" t="n"/>
      <c r="H556" s="28">
        <f>IF(B556="","",IF(B556="קנייה",-(D556*E556+G556),IF(B556="מכירה",D556*E556-G556,IF(B556="דיבידנד",F556-G556,IF(B556="הפקדה",F556-G556,IF(B556="משיכה",-F556-G556,-G556))))))</f>
        <v/>
      </c>
      <c r="I556" s="28">
        <f>IF(B556="קנייה",D556*E556+G556,0)</f>
        <v/>
      </c>
      <c r="J556" s="41">
        <f>IF(B556="מכירה",D556*E556-G556-D556*IFERROR(SUMIFS($I$5:I556,$C$5:C556,C556)/SUMIFS($D$5:D556,$C$5:C556,C556,$B$5:B556,"קנייה"),0),0)</f>
        <v/>
      </c>
      <c r="K556" s="26" t="n"/>
    </row>
    <row r="557">
      <c r="A557" s="39" t="n"/>
      <c r="B557" s="26" t="n"/>
      <c r="C557" s="26" t="n"/>
      <c r="D557" s="40" t="n"/>
      <c r="E557" s="29" t="n"/>
      <c r="F557" s="29" t="n"/>
      <c r="G557" s="29" t="n"/>
      <c r="H557" s="28">
        <f>IF(B557="","",IF(B557="קנייה",-(D557*E557+G557),IF(B557="מכירה",D557*E557-G557,IF(B557="דיבידנד",F557-G557,IF(B557="הפקדה",F557-G557,IF(B557="משיכה",-F557-G557,-G557))))))</f>
        <v/>
      </c>
      <c r="I557" s="28">
        <f>IF(B557="קנייה",D557*E557+G557,0)</f>
        <v/>
      </c>
      <c r="J557" s="41">
        <f>IF(B557="מכירה",D557*E557-G557-D557*IFERROR(SUMIFS($I$5:I557,$C$5:C557,C557)/SUMIFS($D$5:D557,$C$5:C557,C557,$B$5:B557,"קנייה"),0),0)</f>
        <v/>
      </c>
      <c r="K557" s="26" t="n"/>
    </row>
    <row r="558">
      <c r="A558" s="39" t="n"/>
      <c r="B558" s="26" t="n"/>
      <c r="C558" s="26" t="n"/>
      <c r="D558" s="40" t="n"/>
      <c r="E558" s="29" t="n"/>
      <c r="F558" s="29" t="n"/>
      <c r="G558" s="29" t="n"/>
      <c r="H558" s="28">
        <f>IF(B558="","",IF(B558="קנייה",-(D558*E558+G558),IF(B558="מכירה",D558*E558-G558,IF(B558="דיבידנד",F558-G558,IF(B558="הפקדה",F558-G558,IF(B558="משיכה",-F558-G558,-G558))))))</f>
        <v/>
      </c>
      <c r="I558" s="28">
        <f>IF(B558="קנייה",D558*E558+G558,0)</f>
        <v/>
      </c>
      <c r="J558" s="41">
        <f>IF(B558="מכירה",D558*E558-G558-D558*IFERROR(SUMIFS($I$5:I558,$C$5:C558,C558)/SUMIFS($D$5:D558,$C$5:C558,C558,$B$5:B558,"קנייה"),0),0)</f>
        <v/>
      </c>
      <c r="K558" s="26" t="n"/>
    </row>
    <row r="559">
      <c r="A559" s="39" t="n"/>
      <c r="B559" s="26" t="n"/>
      <c r="C559" s="26" t="n"/>
      <c r="D559" s="40" t="n"/>
      <c r="E559" s="29" t="n"/>
      <c r="F559" s="29" t="n"/>
      <c r="G559" s="29" t="n"/>
      <c r="H559" s="28">
        <f>IF(B559="","",IF(B559="קנייה",-(D559*E559+G559),IF(B559="מכירה",D559*E559-G559,IF(B559="דיבידנד",F559-G559,IF(B559="הפקדה",F559-G559,IF(B559="משיכה",-F559-G559,-G559))))))</f>
        <v/>
      </c>
      <c r="I559" s="28">
        <f>IF(B559="קנייה",D559*E559+G559,0)</f>
        <v/>
      </c>
      <c r="J559" s="41">
        <f>IF(B559="מכירה",D559*E559-G559-D559*IFERROR(SUMIFS($I$5:I559,$C$5:C559,C559)/SUMIFS($D$5:D559,$C$5:C559,C559,$B$5:B559,"קנייה"),0),0)</f>
        <v/>
      </c>
      <c r="K559" s="26" t="n"/>
    </row>
    <row r="560">
      <c r="A560" s="39" t="n"/>
      <c r="B560" s="26" t="n"/>
      <c r="C560" s="26" t="n"/>
      <c r="D560" s="40" t="n"/>
      <c r="E560" s="29" t="n"/>
      <c r="F560" s="29" t="n"/>
      <c r="G560" s="29" t="n"/>
      <c r="H560" s="28">
        <f>IF(B560="","",IF(B560="קנייה",-(D560*E560+G560),IF(B560="מכירה",D560*E560-G560,IF(B560="דיבידנד",F560-G560,IF(B560="הפקדה",F560-G560,IF(B560="משיכה",-F560-G560,-G560))))))</f>
        <v/>
      </c>
      <c r="I560" s="28">
        <f>IF(B560="קנייה",D560*E560+G560,0)</f>
        <v/>
      </c>
      <c r="J560" s="41">
        <f>IF(B560="מכירה",D560*E560-G560-D560*IFERROR(SUMIFS($I$5:I560,$C$5:C560,C560)/SUMIFS($D$5:D560,$C$5:C560,C560,$B$5:B560,"קנייה"),0),0)</f>
        <v/>
      </c>
      <c r="K560" s="26" t="n"/>
    </row>
    <row r="561">
      <c r="A561" s="39" t="n"/>
      <c r="B561" s="26" t="n"/>
      <c r="C561" s="26" t="n"/>
      <c r="D561" s="40" t="n"/>
      <c r="E561" s="29" t="n"/>
      <c r="F561" s="29" t="n"/>
      <c r="G561" s="29" t="n"/>
      <c r="H561" s="28">
        <f>IF(B561="","",IF(B561="קנייה",-(D561*E561+G561),IF(B561="מכירה",D561*E561-G561,IF(B561="דיבידנד",F561-G561,IF(B561="הפקדה",F561-G561,IF(B561="משיכה",-F561-G561,-G561))))))</f>
        <v/>
      </c>
      <c r="I561" s="28">
        <f>IF(B561="קנייה",D561*E561+G561,0)</f>
        <v/>
      </c>
      <c r="J561" s="41">
        <f>IF(B561="מכירה",D561*E561-G561-D561*IFERROR(SUMIFS($I$5:I561,$C$5:C561,C561)/SUMIFS($D$5:D561,$C$5:C561,C561,$B$5:B561,"קנייה"),0),0)</f>
        <v/>
      </c>
      <c r="K561" s="26" t="n"/>
    </row>
    <row r="562">
      <c r="A562" s="39" t="n"/>
      <c r="B562" s="26" t="n"/>
      <c r="C562" s="26" t="n"/>
      <c r="D562" s="40" t="n"/>
      <c r="E562" s="29" t="n"/>
      <c r="F562" s="29" t="n"/>
      <c r="G562" s="29" t="n"/>
      <c r="H562" s="28">
        <f>IF(B562="","",IF(B562="קנייה",-(D562*E562+G562),IF(B562="מכירה",D562*E562-G562,IF(B562="דיבידנד",F562-G562,IF(B562="הפקדה",F562-G562,IF(B562="משיכה",-F562-G562,-G562))))))</f>
        <v/>
      </c>
      <c r="I562" s="28">
        <f>IF(B562="קנייה",D562*E562+G562,0)</f>
        <v/>
      </c>
      <c r="J562" s="41">
        <f>IF(B562="מכירה",D562*E562-G562-D562*IFERROR(SUMIFS($I$5:I562,$C$5:C562,C562)/SUMIFS($D$5:D562,$C$5:C562,C562,$B$5:B562,"קנייה"),0),0)</f>
        <v/>
      </c>
      <c r="K562" s="26" t="n"/>
    </row>
    <row r="563">
      <c r="A563" s="39" t="n"/>
      <c r="B563" s="26" t="n"/>
      <c r="C563" s="26" t="n"/>
      <c r="D563" s="40" t="n"/>
      <c r="E563" s="29" t="n"/>
      <c r="F563" s="29" t="n"/>
      <c r="G563" s="29" t="n"/>
      <c r="H563" s="28">
        <f>IF(B563="","",IF(B563="קנייה",-(D563*E563+G563),IF(B563="מכירה",D563*E563-G563,IF(B563="דיבידנד",F563-G563,IF(B563="הפקדה",F563-G563,IF(B563="משיכה",-F563-G563,-G563))))))</f>
        <v/>
      </c>
      <c r="I563" s="28">
        <f>IF(B563="קנייה",D563*E563+G563,0)</f>
        <v/>
      </c>
      <c r="J563" s="41">
        <f>IF(B563="מכירה",D563*E563-G563-D563*IFERROR(SUMIFS($I$5:I563,$C$5:C563,C563)/SUMIFS($D$5:D563,$C$5:C563,C563,$B$5:B563,"קנייה"),0),0)</f>
        <v/>
      </c>
      <c r="K563" s="26" t="n"/>
    </row>
    <row r="564">
      <c r="A564" s="39" t="n"/>
      <c r="B564" s="26" t="n"/>
      <c r="C564" s="26" t="n"/>
      <c r="D564" s="40" t="n"/>
      <c r="E564" s="29" t="n"/>
      <c r="F564" s="29" t="n"/>
      <c r="G564" s="29" t="n"/>
      <c r="H564" s="28">
        <f>IF(B564="","",IF(B564="קנייה",-(D564*E564+G564),IF(B564="מכירה",D564*E564-G564,IF(B564="דיבידנד",F564-G564,IF(B564="הפקדה",F564-G564,IF(B564="משיכה",-F564-G564,-G564))))))</f>
        <v/>
      </c>
      <c r="I564" s="28">
        <f>IF(B564="קנייה",D564*E564+G564,0)</f>
        <v/>
      </c>
      <c r="J564" s="41">
        <f>IF(B564="מכירה",D564*E564-G564-D564*IFERROR(SUMIFS($I$5:I564,$C$5:C564,C564)/SUMIFS($D$5:D564,$C$5:C564,C564,$B$5:B564,"קנייה"),0),0)</f>
        <v/>
      </c>
      <c r="K564" s="26" t="n"/>
    </row>
    <row r="565">
      <c r="A565" s="39" t="n"/>
      <c r="B565" s="26" t="n"/>
      <c r="C565" s="26" t="n"/>
      <c r="D565" s="40" t="n"/>
      <c r="E565" s="29" t="n"/>
      <c r="F565" s="29" t="n"/>
      <c r="G565" s="29" t="n"/>
      <c r="H565" s="28">
        <f>IF(B565="","",IF(B565="קנייה",-(D565*E565+G565),IF(B565="מכירה",D565*E565-G565,IF(B565="דיבידנד",F565-G565,IF(B565="הפקדה",F565-G565,IF(B565="משיכה",-F565-G565,-G565))))))</f>
        <v/>
      </c>
      <c r="I565" s="28">
        <f>IF(B565="קנייה",D565*E565+G565,0)</f>
        <v/>
      </c>
      <c r="J565" s="41">
        <f>IF(B565="מכירה",D565*E565-G565-D565*IFERROR(SUMIFS($I$5:I565,$C$5:C565,C565)/SUMIFS($D$5:D565,$C$5:C565,C565,$B$5:B565,"קנייה"),0),0)</f>
        <v/>
      </c>
      <c r="K565" s="26" t="n"/>
    </row>
    <row r="566">
      <c r="A566" s="39" t="n"/>
      <c r="B566" s="26" t="n"/>
      <c r="C566" s="26" t="n"/>
      <c r="D566" s="40" t="n"/>
      <c r="E566" s="29" t="n"/>
      <c r="F566" s="29" t="n"/>
      <c r="G566" s="29" t="n"/>
      <c r="H566" s="28">
        <f>IF(B566="","",IF(B566="קנייה",-(D566*E566+G566),IF(B566="מכירה",D566*E566-G566,IF(B566="דיבידנד",F566-G566,IF(B566="הפקדה",F566-G566,IF(B566="משיכה",-F566-G566,-G566))))))</f>
        <v/>
      </c>
      <c r="I566" s="28">
        <f>IF(B566="קנייה",D566*E566+G566,0)</f>
        <v/>
      </c>
      <c r="J566" s="41">
        <f>IF(B566="מכירה",D566*E566-G566-D566*IFERROR(SUMIFS($I$5:I566,$C$5:C566,C566)/SUMIFS($D$5:D566,$C$5:C566,C566,$B$5:B566,"קנייה"),0),0)</f>
        <v/>
      </c>
      <c r="K566" s="26" t="n"/>
    </row>
    <row r="567">
      <c r="A567" s="39" t="n"/>
      <c r="B567" s="26" t="n"/>
      <c r="C567" s="26" t="n"/>
      <c r="D567" s="40" t="n"/>
      <c r="E567" s="29" t="n"/>
      <c r="F567" s="29" t="n"/>
      <c r="G567" s="29" t="n"/>
      <c r="H567" s="28">
        <f>IF(B567="","",IF(B567="קנייה",-(D567*E567+G567),IF(B567="מכירה",D567*E567-G567,IF(B567="דיבידנד",F567-G567,IF(B567="הפקדה",F567-G567,IF(B567="משיכה",-F567-G567,-G567))))))</f>
        <v/>
      </c>
      <c r="I567" s="28">
        <f>IF(B567="קנייה",D567*E567+G567,0)</f>
        <v/>
      </c>
      <c r="J567" s="41">
        <f>IF(B567="מכירה",D567*E567-G567-D567*IFERROR(SUMIFS($I$5:I567,$C$5:C567,C567)/SUMIFS($D$5:D567,$C$5:C567,C567,$B$5:B567,"קנייה"),0),0)</f>
        <v/>
      </c>
      <c r="K567" s="26" t="n"/>
    </row>
    <row r="568">
      <c r="A568" s="39" t="n"/>
      <c r="B568" s="26" t="n"/>
      <c r="C568" s="26" t="n"/>
      <c r="D568" s="40" t="n"/>
      <c r="E568" s="29" t="n"/>
      <c r="F568" s="29" t="n"/>
      <c r="G568" s="29" t="n"/>
      <c r="H568" s="28">
        <f>IF(B568="","",IF(B568="קנייה",-(D568*E568+G568),IF(B568="מכירה",D568*E568-G568,IF(B568="דיבידנד",F568-G568,IF(B568="הפקדה",F568-G568,IF(B568="משיכה",-F568-G568,-G568))))))</f>
        <v/>
      </c>
      <c r="I568" s="28">
        <f>IF(B568="קנייה",D568*E568+G568,0)</f>
        <v/>
      </c>
      <c r="J568" s="41">
        <f>IF(B568="מכירה",D568*E568-G568-D568*IFERROR(SUMIFS($I$5:I568,$C$5:C568,C568)/SUMIFS($D$5:D568,$C$5:C568,C568,$B$5:B568,"קנייה"),0),0)</f>
        <v/>
      </c>
      <c r="K568" s="26" t="n"/>
    </row>
    <row r="569">
      <c r="A569" s="39" t="n"/>
      <c r="B569" s="26" t="n"/>
      <c r="C569" s="26" t="n"/>
      <c r="D569" s="40" t="n"/>
      <c r="E569" s="29" t="n"/>
      <c r="F569" s="29" t="n"/>
      <c r="G569" s="29" t="n"/>
      <c r="H569" s="28">
        <f>IF(B569="","",IF(B569="קנייה",-(D569*E569+G569),IF(B569="מכירה",D569*E569-G569,IF(B569="דיבידנד",F569-G569,IF(B569="הפקדה",F569-G569,IF(B569="משיכה",-F569-G569,-G569))))))</f>
        <v/>
      </c>
      <c r="I569" s="28">
        <f>IF(B569="קנייה",D569*E569+G569,0)</f>
        <v/>
      </c>
      <c r="J569" s="41">
        <f>IF(B569="מכירה",D569*E569-G569-D569*IFERROR(SUMIFS($I$5:I569,$C$5:C569,C569)/SUMIFS($D$5:D569,$C$5:C569,C569,$B$5:B569,"קנייה"),0),0)</f>
        <v/>
      </c>
      <c r="K569" s="26" t="n"/>
    </row>
    <row r="570">
      <c r="A570" s="39" t="n"/>
      <c r="B570" s="26" t="n"/>
      <c r="C570" s="26" t="n"/>
      <c r="D570" s="40" t="n"/>
      <c r="E570" s="29" t="n"/>
      <c r="F570" s="29" t="n"/>
      <c r="G570" s="29" t="n"/>
      <c r="H570" s="28">
        <f>IF(B570="","",IF(B570="קנייה",-(D570*E570+G570),IF(B570="מכירה",D570*E570-G570,IF(B570="דיבידנד",F570-G570,IF(B570="הפקדה",F570-G570,IF(B570="משיכה",-F570-G570,-G570))))))</f>
        <v/>
      </c>
      <c r="I570" s="28">
        <f>IF(B570="קנייה",D570*E570+G570,0)</f>
        <v/>
      </c>
      <c r="J570" s="41">
        <f>IF(B570="מכירה",D570*E570-G570-D570*IFERROR(SUMIFS($I$5:I570,$C$5:C570,C570)/SUMIFS($D$5:D570,$C$5:C570,C570,$B$5:B570,"קנייה"),0),0)</f>
        <v/>
      </c>
      <c r="K570" s="26" t="n"/>
    </row>
    <row r="571">
      <c r="A571" s="39" t="n"/>
      <c r="B571" s="26" t="n"/>
      <c r="C571" s="26" t="n"/>
      <c r="D571" s="40" t="n"/>
      <c r="E571" s="29" t="n"/>
      <c r="F571" s="29" t="n"/>
      <c r="G571" s="29" t="n"/>
      <c r="H571" s="28">
        <f>IF(B571="","",IF(B571="קנייה",-(D571*E571+G571),IF(B571="מכירה",D571*E571-G571,IF(B571="דיבידנד",F571-G571,IF(B571="הפקדה",F571-G571,IF(B571="משיכה",-F571-G571,-G571))))))</f>
        <v/>
      </c>
      <c r="I571" s="28">
        <f>IF(B571="קנייה",D571*E571+G571,0)</f>
        <v/>
      </c>
      <c r="J571" s="41">
        <f>IF(B571="מכירה",D571*E571-G571-D571*IFERROR(SUMIFS($I$5:I571,$C$5:C571,C571)/SUMIFS($D$5:D571,$C$5:C571,C571,$B$5:B571,"קנייה"),0),0)</f>
        <v/>
      </c>
      <c r="K571" s="26" t="n"/>
    </row>
    <row r="572">
      <c r="A572" s="39" t="n"/>
      <c r="B572" s="26" t="n"/>
      <c r="C572" s="26" t="n"/>
      <c r="D572" s="40" t="n"/>
      <c r="E572" s="29" t="n"/>
      <c r="F572" s="29" t="n"/>
      <c r="G572" s="29" t="n"/>
      <c r="H572" s="28">
        <f>IF(B572="","",IF(B572="קנייה",-(D572*E572+G572),IF(B572="מכירה",D572*E572-G572,IF(B572="דיבידנד",F572-G572,IF(B572="הפקדה",F572-G572,IF(B572="משיכה",-F572-G572,-G572))))))</f>
        <v/>
      </c>
      <c r="I572" s="28">
        <f>IF(B572="קנייה",D572*E572+G572,0)</f>
        <v/>
      </c>
      <c r="J572" s="41">
        <f>IF(B572="מכירה",D572*E572-G572-D572*IFERROR(SUMIFS($I$5:I572,$C$5:C572,C572)/SUMIFS($D$5:D572,$C$5:C572,C572,$B$5:B572,"קנייה"),0),0)</f>
        <v/>
      </c>
      <c r="K572" s="26" t="n"/>
    </row>
    <row r="573">
      <c r="A573" s="39" t="n"/>
      <c r="B573" s="26" t="n"/>
      <c r="C573" s="26" t="n"/>
      <c r="D573" s="40" t="n"/>
      <c r="E573" s="29" t="n"/>
      <c r="F573" s="29" t="n"/>
      <c r="G573" s="29" t="n"/>
      <c r="H573" s="28">
        <f>IF(B573="","",IF(B573="קנייה",-(D573*E573+G573),IF(B573="מכירה",D573*E573-G573,IF(B573="דיבידנד",F573-G573,IF(B573="הפקדה",F573-G573,IF(B573="משיכה",-F573-G573,-G573))))))</f>
        <v/>
      </c>
      <c r="I573" s="28">
        <f>IF(B573="קנייה",D573*E573+G573,0)</f>
        <v/>
      </c>
      <c r="J573" s="41">
        <f>IF(B573="מכירה",D573*E573-G573-D573*IFERROR(SUMIFS($I$5:I573,$C$5:C573,C573)/SUMIFS($D$5:D573,$C$5:C573,C573,$B$5:B573,"קנייה"),0),0)</f>
        <v/>
      </c>
      <c r="K573" s="26" t="n"/>
    </row>
    <row r="574">
      <c r="A574" s="39" t="n"/>
      <c r="B574" s="26" t="n"/>
      <c r="C574" s="26" t="n"/>
      <c r="D574" s="40" t="n"/>
      <c r="E574" s="29" t="n"/>
      <c r="F574" s="29" t="n"/>
      <c r="G574" s="29" t="n"/>
      <c r="H574" s="28">
        <f>IF(B574="","",IF(B574="קנייה",-(D574*E574+G574),IF(B574="מכירה",D574*E574-G574,IF(B574="דיבידנד",F574-G574,IF(B574="הפקדה",F574-G574,IF(B574="משיכה",-F574-G574,-G574))))))</f>
        <v/>
      </c>
      <c r="I574" s="28">
        <f>IF(B574="קנייה",D574*E574+G574,0)</f>
        <v/>
      </c>
      <c r="J574" s="41">
        <f>IF(B574="מכירה",D574*E574-G574-D574*IFERROR(SUMIFS($I$5:I574,$C$5:C574,C574)/SUMIFS($D$5:D574,$C$5:C574,C574,$B$5:B574,"קנייה"),0),0)</f>
        <v/>
      </c>
      <c r="K574" s="26" t="n"/>
    </row>
    <row r="575">
      <c r="A575" s="39" t="n"/>
      <c r="B575" s="26" t="n"/>
      <c r="C575" s="26" t="n"/>
      <c r="D575" s="40" t="n"/>
      <c r="E575" s="29" t="n"/>
      <c r="F575" s="29" t="n"/>
      <c r="G575" s="29" t="n"/>
      <c r="H575" s="28">
        <f>IF(B575="","",IF(B575="קנייה",-(D575*E575+G575),IF(B575="מכירה",D575*E575-G575,IF(B575="דיבידנד",F575-G575,IF(B575="הפקדה",F575-G575,IF(B575="משיכה",-F575-G575,-G575))))))</f>
        <v/>
      </c>
      <c r="I575" s="28">
        <f>IF(B575="קנייה",D575*E575+G575,0)</f>
        <v/>
      </c>
      <c r="J575" s="41">
        <f>IF(B575="מכירה",D575*E575-G575-D575*IFERROR(SUMIFS($I$5:I575,$C$5:C575,C575)/SUMIFS($D$5:D575,$C$5:C575,C575,$B$5:B575,"קנייה"),0),0)</f>
        <v/>
      </c>
      <c r="K575" s="26" t="n"/>
    </row>
    <row r="576">
      <c r="A576" s="39" t="n"/>
      <c r="B576" s="26" t="n"/>
      <c r="C576" s="26" t="n"/>
      <c r="D576" s="40" t="n"/>
      <c r="E576" s="29" t="n"/>
      <c r="F576" s="29" t="n"/>
      <c r="G576" s="29" t="n"/>
      <c r="H576" s="28">
        <f>IF(B576="","",IF(B576="קנייה",-(D576*E576+G576),IF(B576="מכירה",D576*E576-G576,IF(B576="דיבידנד",F576-G576,IF(B576="הפקדה",F576-G576,IF(B576="משיכה",-F576-G576,-G576))))))</f>
        <v/>
      </c>
      <c r="I576" s="28">
        <f>IF(B576="קנייה",D576*E576+G576,0)</f>
        <v/>
      </c>
      <c r="J576" s="41">
        <f>IF(B576="מכירה",D576*E576-G576-D576*IFERROR(SUMIFS($I$5:I576,$C$5:C576,C576)/SUMIFS($D$5:D576,$C$5:C576,C576,$B$5:B576,"קנייה"),0),0)</f>
        <v/>
      </c>
      <c r="K576" s="26" t="n"/>
    </row>
    <row r="577">
      <c r="A577" s="39" t="n"/>
      <c r="B577" s="26" t="n"/>
      <c r="C577" s="26" t="n"/>
      <c r="D577" s="40" t="n"/>
      <c r="E577" s="29" t="n"/>
      <c r="F577" s="29" t="n"/>
      <c r="G577" s="29" t="n"/>
      <c r="H577" s="28">
        <f>IF(B577="","",IF(B577="קנייה",-(D577*E577+G577),IF(B577="מכירה",D577*E577-G577,IF(B577="דיבידנד",F577-G577,IF(B577="הפקדה",F577-G577,IF(B577="משיכה",-F577-G577,-G577))))))</f>
        <v/>
      </c>
      <c r="I577" s="28">
        <f>IF(B577="קנייה",D577*E577+G577,0)</f>
        <v/>
      </c>
      <c r="J577" s="41">
        <f>IF(B577="מכירה",D577*E577-G577-D577*IFERROR(SUMIFS($I$5:I577,$C$5:C577,C577)/SUMIFS($D$5:D577,$C$5:C577,C577,$B$5:B577,"קנייה"),0),0)</f>
        <v/>
      </c>
      <c r="K577" s="26" t="n"/>
    </row>
    <row r="578">
      <c r="A578" s="39" t="n"/>
      <c r="B578" s="26" t="n"/>
      <c r="C578" s="26" t="n"/>
      <c r="D578" s="40" t="n"/>
      <c r="E578" s="29" t="n"/>
      <c r="F578" s="29" t="n"/>
      <c r="G578" s="29" t="n"/>
      <c r="H578" s="28">
        <f>IF(B578="","",IF(B578="קנייה",-(D578*E578+G578),IF(B578="מכירה",D578*E578-G578,IF(B578="דיבידנד",F578-G578,IF(B578="הפקדה",F578-G578,IF(B578="משיכה",-F578-G578,-G578))))))</f>
        <v/>
      </c>
      <c r="I578" s="28">
        <f>IF(B578="קנייה",D578*E578+G578,0)</f>
        <v/>
      </c>
      <c r="J578" s="41">
        <f>IF(B578="מכירה",D578*E578-G578-D578*IFERROR(SUMIFS($I$5:I578,$C$5:C578,C578)/SUMIFS($D$5:D578,$C$5:C578,C578,$B$5:B578,"קנייה"),0),0)</f>
        <v/>
      </c>
      <c r="K578" s="26" t="n"/>
    </row>
    <row r="579">
      <c r="A579" s="39" t="n"/>
      <c r="B579" s="26" t="n"/>
      <c r="C579" s="26" t="n"/>
      <c r="D579" s="40" t="n"/>
      <c r="E579" s="29" t="n"/>
      <c r="F579" s="29" t="n"/>
      <c r="G579" s="29" t="n"/>
      <c r="H579" s="28">
        <f>IF(B579="","",IF(B579="קנייה",-(D579*E579+G579),IF(B579="מכירה",D579*E579-G579,IF(B579="דיבידנד",F579-G579,IF(B579="הפקדה",F579-G579,IF(B579="משיכה",-F579-G579,-G579))))))</f>
        <v/>
      </c>
      <c r="I579" s="28">
        <f>IF(B579="קנייה",D579*E579+G579,0)</f>
        <v/>
      </c>
      <c r="J579" s="41">
        <f>IF(B579="מכירה",D579*E579-G579-D579*IFERROR(SUMIFS($I$5:I579,$C$5:C579,C579)/SUMIFS($D$5:D579,$C$5:C579,C579,$B$5:B579,"קנייה"),0),0)</f>
        <v/>
      </c>
      <c r="K579" s="26" t="n"/>
    </row>
    <row r="580">
      <c r="A580" s="39" t="n"/>
      <c r="B580" s="26" t="n"/>
      <c r="C580" s="26" t="n"/>
      <c r="D580" s="40" t="n"/>
      <c r="E580" s="29" t="n"/>
      <c r="F580" s="29" t="n"/>
      <c r="G580" s="29" t="n"/>
      <c r="H580" s="28">
        <f>IF(B580="","",IF(B580="קנייה",-(D580*E580+G580),IF(B580="מכירה",D580*E580-G580,IF(B580="דיבידנד",F580-G580,IF(B580="הפקדה",F580-G580,IF(B580="משיכה",-F580-G580,-G580))))))</f>
        <v/>
      </c>
      <c r="I580" s="28">
        <f>IF(B580="קנייה",D580*E580+G580,0)</f>
        <v/>
      </c>
      <c r="J580" s="41">
        <f>IF(B580="מכירה",D580*E580-G580-D580*IFERROR(SUMIFS($I$5:I580,$C$5:C580,C580)/SUMIFS($D$5:D580,$C$5:C580,C580,$B$5:B580,"קנייה"),0),0)</f>
        <v/>
      </c>
      <c r="K580" s="26" t="n"/>
    </row>
    <row r="581">
      <c r="A581" s="39" t="n"/>
      <c r="B581" s="26" t="n"/>
      <c r="C581" s="26" t="n"/>
      <c r="D581" s="40" t="n"/>
      <c r="E581" s="29" t="n"/>
      <c r="F581" s="29" t="n"/>
      <c r="G581" s="29" t="n"/>
      <c r="H581" s="28">
        <f>IF(B581="","",IF(B581="קנייה",-(D581*E581+G581),IF(B581="מכירה",D581*E581-G581,IF(B581="דיבידנד",F581-G581,IF(B581="הפקדה",F581-G581,IF(B581="משיכה",-F581-G581,-G581))))))</f>
        <v/>
      </c>
      <c r="I581" s="28">
        <f>IF(B581="קנייה",D581*E581+G581,0)</f>
        <v/>
      </c>
      <c r="J581" s="41">
        <f>IF(B581="מכירה",D581*E581-G581-D581*IFERROR(SUMIFS($I$5:I581,$C$5:C581,C581)/SUMIFS($D$5:D581,$C$5:C581,C581,$B$5:B581,"קנייה"),0),0)</f>
        <v/>
      </c>
      <c r="K581" s="26" t="n"/>
    </row>
    <row r="582">
      <c r="A582" s="39" t="n"/>
      <c r="B582" s="26" t="n"/>
      <c r="C582" s="26" t="n"/>
      <c r="D582" s="40" t="n"/>
      <c r="E582" s="29" t="n"/>
      <c r="F582" s="29" t="n"/>
      <c r="G582" s="29" t="n"/>
      <c r="H582" s="28">
        <f>IF(B582="","",IF(B582="קנייה",-(D582*E582+G582),IF(B582="מכירה",D582*E582-G582,IF(B582="דיבידנד",F582-G582,IF(B582="הפקדה",F582-G582,IF(B582="משיכה",-F582-G582,-G582))))))</f>
        <v/>
      </c>
      <c r="I582" s="28">
        <f>IF(B582="קנייה",D582*E582+G582,0)</f>
        <v/>
      </c>
      <c r="J582" s="41">
        <f>IF(B582="מכירה",D582*E582-G582-D582*IFERROR(SUMIFS($I$5:I582,$C$5:C582,C582)/SUMIFS($D$5:D582,$C$5:C582,C582,$B$5:B582,"קנייה"),0),0)</f>
        <v/>
      </c>
      <c r="K582" s="26" t="n"/>
    </row>
    <row r="583">
      <c r="A583" s="39" t="n"/>
      <c r="B583" s="26" t="n"/>
      <c r="C583" s="26" t="n"/>
      <c r="D583" s="40" t="n"/>
      <c r="E583" s="29" t="n"/>
      <c r="F583" s="29" t="n"/>
      <c r="G583" s="29" t="n"/>
      <c r="H583" s="28">
        <f>IF(B583="","",IF(B583="קנייה",-(D583*E583+G583),IF(B583="מכירה",D583*E583-G583,IF(B583="דיבידנד",F583-G583,IF(B583="הפקדה",F583-G583,IF(B583="משיכה",-F583-G583,-G583))))))</f>
        <v/>
      </c>
      <c r="I583" s="28">
        <f>IF(B583="קנייה",D583*E583+G583,0)</f>
        <v/>
      </c>
      <c r="J583" s="41">
        <f>IF(B583="מכירה",D583*E583-G583-D583*IFERROR(SUMIFS($I$5:I583,$C$5:C583,C583)/SUMIFS($D$5:D583,$C$5:C583,C583,$B$5:B583,"קנייה"),0),0)</f>
        <v/>
      </c>
      <c r="K583" s="26" t="n"/>
    </row>
    <row r="584">
      <c r="A584" s="39" t="n"/>
      <c r="B584" s="26" t="n"/>
      <c r="C584" s="26" t="n"/>
      <c r="D584" s="40" t="n"/>
      <c r="E584" s="29" t="n"/>
      <c r="F584" s="29" t="n"/>
      <c r="G584" s="29" t="n"/>
      <c r="H584" s="28">
        <f>IF(B584="","",IF(B584="קנייה",-(D584*E584+G584),IF(B584="מכירה",D584*E584-G584,IF(B584="דיבידנד",F584-G584,IF(B584="הפקדה",F584-G584,IF(B584="משיכה",-F584-G584,-G584))))))</f>
        <v/>
      </c>
      <c r="I584" s="28">
        <f>IF(B584="קנייה",D584*E584+G584,0)</f>
        <v/>
      </c>
      <c r="J584" s="41">
        <f>IF(B584="מכירה",D584*E584-G584-D584*IFERROR(SUMIFS($I$5:I584,$C$5:C584,C584)/SUMIFS($D$5:D584,$C$5:C584,C584,$B$5:B584,"קנייה"),0),0)</f>
        <v/>
      </c>
      <c r="K584" s="26" t="n"/>
    </row>
    <row r="585">
      <c r="A585" s="39" t="n"/>
      <c r="B585" s="26" t="n"/>
      <c r="C585" s="26" t="n"/>
      <c r="D585" s="40" t="n"/>
      <c r="E585" s="29" t="n"/>
      <c r="F585" s="29" t="n"/>
      <c r="G585" s="29" t="n"/>
      <c r="H585" s="28">
        <f>IF(B585="","",IF(B585="קנייה",-(D585*E585+G585),IF(B585="מכירה",D585*E585-G585,IF(B585="דיבידנד",F585-G585,IF(B585="הפקדה",F585-G585,IF(B585="משיכה",-F585-G585,-G585))))))</f>
        <v/>
      </c>
      <c r="I585" s="28">
        <f>IF(B585="קנייה",D585*E585+G585,0)</f>
        <v/>
      </c>
      <c r="J585" s="41">
        <f>IF(B585="מכירה",D585*E585-G585-D585*IFERROR(SUMIFS($I$5:I585,$C$5:C585,C585)/SUMIFS($D$5:D585,$C$5:C585,C585,$B$5:B585,"קנייה"),0),0)</f>
        <v/>
      </c>
      <c r="K585" s="26" t="n"/>
    </row>
    <row r="586">
      <c r="A586" s="39" t="n"/>
      <c r="B586" s="26" t="n"/>
      <c r="C586" s="26" t="n"/>
      <c r="D586" s="40" t="n"/>
      <c r="E586" s="29" t="n"/>
      <c r="F586" s="29" t="n"/>
      <c r="G586" s="29" t="n"/>
      <c r="H586" s="28">
        <f>IF(B586="","",IF(B586="קנייה",-(D586*E586+G586),IF(B586="מכירה",D586*E586-G586,IF(B586="דיבידנד",F586-G586,IF(B586="הפקדה",F586-G586,IF(B586="משיכה",-F586-G586,-G586))))))</f>
        <v/>
      </c>
      <c r="I586" s="28">
        <f>IF(B586="קנייה",D586*E586+G586,0)</f>
        <v/>
      </c>
      <c r="J586" s="41">
        <f>IF(B586="מכירה",D586*E586-G586-D586*IFERROR(SUMIFS($I$5:I586,$C$5:C586,C586)/SUMIFS($D$5:D586,$C$5:C586,C586,$B$5:B586,"קנייה"),0),0)</f>
        <v/>
      </c>
      <c r="K586" s="26" t="n"/>
    </row>
    <row r="587">
      <c r="A587" s="39" t="n"/>
      <c r="B587" s="26" t="n"/>
      <c r="C587" s="26" t="n"/>
      <c r="D587" s="40" t="n"/>
      <c r="E587" s="29" t="n"/>
      <c r="F587" s="29" t="n"/>
      <c r="G587" s="29" t="n"/>
      <c r="H587" s="28">
        <f>IF(B587="","",IF(B587="קנייה",-(D587*E587+G587),IF(B587="מכירה",D587*E587-G587,IF(B587="דיבידנד",F587-G587,IF(B587="הפקדה",F587-G587,IF(B587="משיכה",-F587-G587,-G587))))))</f>
        <v/>
      </c>
      <c r="I587" s="28">
        <f>IF(B587="קנייה",D587*E587+G587,0)</f>
        <v/>
      </c>
      <c r="J587" s="41">
        <f>IF(B587="מכירה",D587*E587-G587-D587*IFERROR(SUMIFS($I$5:I587,$C$5:C587,C587)/SUMIFS($D$5:D587,$C$5:C587,C587,$B$5:B587,"קנייה"),0),0)</f>
        <v/>
      </c>
      <c r="K587" s="26" t="n"/>
    </row>
    <row r="588">
      <c r="A588" s="39" t="n"/>
      <c r="B588" s="26" t="n"/>
      <c r="C588" s="26" t="n"/>
      <c r="D588" s="40" t="n"/>
      <c r="E588" s="29" t="n"/>
      <c r="F588" s="29" t="n"/>
      <c r="G588" s="29" t="n"/>
      <c r="H588" s="28">
        <f>IF(B588="","",IF(B588="קנייה",-(D588*E588+G588),IF(B588="מכירה",D588*E588-G588,IF(B588="דיבידנד",F588-G588,IF(B588="הפקדה",F588-G588,IF(B588="משיכה",-F588-G588,-G588))))))</f>
        <v/>
      </c>
      <c r="I588" s="28">
        <f>IF(B588="קנייה",D588*E588+G588,0)</f>
        <v/>
      </c>
      <c r="J588" s="41">
        <f>IF(B588="מכירה",D588*E588-G588-D588*IFERROR(SUMIFS($I$5:I588,$C$5:C588,C588)/SUMIFS($D$5:D588,$C$5:C588,C588,$B$5:B588,"קנייה"),0),0)</f>
        <v/>
      </c>
      <c r="K588" s="26" t="n"/>
    </row>
    <row r="589">
      <c r="A589" s="39" t="n"/>
      <c r="B589" s="26" t="n"/>
      <c r="C589" s="26" t="n"/>
      <c r="D589" s="40" t="n"/>
      <c r="E589" s="29" t="n"/>
      <c r="F589" s="29" t="n"/>
      <c r="G589" s="29" t="n"/>
      <c r="H589" s="28">
        <f>IF(B589="","",IF(B589="קנייה",-(D589*E589+G589),IF(B589="מכירה",D589*E589-G589,IF(B589="דיבידנד",F589-G589,IF(B589="הפקדה",F589-G589,IF(B589="משיכה",-F589-G589,-G589))))))</f>
        <v/>
      </c>
      <c r="I589" s="28">
        <f>IF(B589="קנייה",D589*E589+G589,0)</f>
        <v/>
      </c>
      <c r="J589" s="41">
        <f>IF(B589="מכירה",D589*E589-G589-D589*IFERROR(SUMIFS($I$5:I589,$C$5:C589,C589)/SUMIFS($D$5:D589,$C$5:C589,C589,$B$5:B589,"קנייה"),0),0)</f>
        <v/>
      </c>
      <c r="K589" s="26" t="n"/>
    </row>
    <row r="590">
      <c r="A590" s="39" t="n"/>
      <c r="B590" s="26" t="n"/>
      <c r="C590" s="26" t="n"/>
      <c r="D590" s="40" t="n"/>
      <c r="E590" s="29" t="n"/>
      <c r="F590" s="29" t="n"/>
      <c r="G590" s="29" t="n"/>
      <c r="H590" s="28">
        <f>IF(B590="","",IF(B590="קנייה",-(D590*E590+G590),IF(B590="מכירה",D590*E590-G590,IF(B590="דיבידנד",F590-G590,IF(B590="הפקדה",F590-G590,IF(B590="משיכה",-F590-G590,-G590))))))</f>
        <v/>
      </c>
      <c r="I590" s="28">
        <f>IF(B590="קנייה",D590*E590+G590,0)</f>
        <v/>
      </c>
      <c r="J590" s="41">
        <f>IF(B590="מכירה",D590*E590-G590-D590*IFERROR(SUMIFS($I$5:I590,$C$5:C590,C590)/SUMIFS($D$5:D590,$C$5:C590,C590,$B$5:B590,"קנייה"),0),0)</f>
        <v/>
      </c>
      <c r="K590" s="26" t="n"/>
    </row>
    <row r="591">
      <c r="A591" s="39" t="n"/>
      <c r="B591" s="26" t="n"/>
      <c r="C591" s="26" t="n"/>
      <c r="D591" s="40" t="n"/>
      <c r="E591" s="29" t="n"/>
      <c r="F591" s="29" t="n"/>
      <c r="G591" s="29" t="n"/>
      <c r="H591" s="28">
        <f>IF(B591="","",IF(B591="קנייה",-(D591*E591+G591),IF(B591="מכירה",D591*E591-G591,IF(B591="דיבידנד",F591-G591,IF(B591="הפקדה",F591-G591,IF(B591="משיכה",-F591-G591,-G591))))))</f>
        <v/>
      </c>
      <c r="I591" s="28">
        <f>IF(B591="קנייה",D591*E591+G591,0)</f>
        <v/>
      </c>
      <c r="J591" s="41">
        <f>IF(B591="מכירה",D591*E591-G591-D591*IFERROR(SUMIFS($I$5:I591,$C$5:C591,C591)/SUMIFS($D$5:D591,$C$5:C591,C591,$B$5:B591,"קנייה"),0),0)</f>
        <v/>
      </c>
      <c r="K591" s="26" t="n"/>
    </row>
    <row r="592">
      <c r="A592" s="39" t="n"/>
      <c r="B592" s="26" t="n"/>
      <c r="C592" s="26" t="n"/>
      <c r="D592" s="40" t="n"/>
      <c r="E592" s="29" t="n"/>
      <c r="F592" s="29" t="n"/>
      <c r="G592" s="29" t="n"/>
      <c r="H592" s="28">
        <f>IF(B592="","",IF(B592="קנייה",-(D592*E592+G592),IF(B592="מכירה",D592*E592-G592,IF(B592="דיבידנד",F592-G592,IF(B592="הפקדה",F592-G592,IF(B592="משיכה",-F592-G592,-G592))))))</f>
        <v/>
      </c>
      <c r="I592" s="28">
        <f>IF(B592="קנייה",D592*E592+G592,0)</f>
        <v/>
      </c>
      <c r="J592" s="41">
        <f>IF(B592="מכירה",D592*E592-G592-D592*IFERROR(SUMIFS($I$5:I592,$C$5:C592,C592)/SUMIFS($D$5:D592,$C$5:C592,C592,$B$5:B592,"קנייה"),0),0)</f>
        <v/>
      </c>
      <c r="K592" s="26" t="n"/>
    </row>
    <row r="593">
      <c r="A593" s="39" t="n"/>
      <c r="B593" s="26" t="n"/>
      <c r="C593" s="26" t="n"/>
      <c r="D593" s="40" t="n"/>
      <c r="E593" s="29" t="n"/>
      <c r="F593" s="29" t="n"/>
      <c r="G593" s="29" t="n"/>
      <c r="H593" s="28">
        <f>IF(B593="","",IF(B593="קנייה",-(D593*E593+G593),IF(B593="מכירה",D593*E593-G593,IF(B593="דיבידנד",F593-G593,IF(B593="הפקדה",F593-G593,IF(B593="משיכה",-F593-G593,-G593))))))</f>
        <v/>
      </c>
      <c r="I593" s="28">
        <f>IF(B593="קנייה",D593*E593+G593,0)</f>
        <v/>
      </c>
      <c r="J593" s="41">
        <f>IF(B593="מכירה",D593*E593-G593-D593*IFERROR(SUMIFS($I$5:I593,$C$5:C593,C593)/SUMIFS($D$5:D593,$C$5:C593,C593,$B$5:B593,"קנייה"),0),0)</f>
        <v/>
      </c>
      <c r="K593" s="26" t="n"/>
    </row>
    <row r="594">
      <c r="A594" s="39" t="n"/>
      <c r="B594" s="26" t="n"/>
      <c r="C594" s="26" t="n"/>
      <c r="D594" s="40" t="n"/>
      <c r="E594" s="29" t="n"/>
      <c r="F594" s="29" t="n"/>
      <c r="G594" s="29" t="n"/>
      <c r="H594" s="28">
        <f>IF(B594="","",IF(B594="קנייה",-(D594*E594+G594),IF(B594="מכירה",D594*E594-G594,IF(B594="דיבידנד",F594-G594,IF(B594="הפקדה",F594-G594,IF(B594="משיכה",-F594-G594,-G594))))))</f>
        <v/>
      </c>
      <c r="I594" s="28">
        <f>IF(B594="קנייה",D594*E594+G594,0)</f>
        <v/>
      </c>
      <c r="J594" s="41">
        <f>IF(B594="מכירה",D594*E594-G594-D594*IFERROR(SUMIFS($I$5:I594,$C$5:C594,C594)/SUMIFS($D$5:D594,$C$5:C594,C594,$B$5:B594,"קנייה"),0),0)</f>
        <v/>
      </c>
      <c r="K594" s="26" t="n"/>
    </row>
    <row r="595">
      <c r="A595" s="39" t="n"/>
      <c r="B595" s="26" t="n"/>
      <c r="C595" s="26" t="n"/>
      <c r="D595" s="40" t="n"/>
      <c r="E595" s="29" t="n"/>
      <c r="F595" s="29" t="n"/>
      <c r="G595" s="29" t="n"/>
      <c r="H595" s="28">
        <f>IF(B595="","",IF(B595="קנייה",-(D595*E595+G595),IF(B595="מכירה",D595*E595-G595,IF(B595="דיבידנד",F595-G595,IF(B595="הפקדה",F595-G595,IF(B595="משיכה",-F595-G595,-G595))))))</f>
        <v/>
      </c>
      <c r="I595" s="28">
        <f>IF(B595="קנייה",D595*E595+G595,0)</f>
        <v/>
      </c>
      <c r="J595" s="41">
        <f>IF(B595="מכירה",D595*E595-G595-D595*IFERROR(SUMIFS($I$5:I595,$C$5:C595,C595)/SUMIFS($D$5:D595,$C$5:C595,C595,$B$5:B595,"קנייה"),0),0)</f>
        <v/>
      </c>
      <c r="K595" s="26" t="n"/>
    </row>
    <row r="596">
      <c r="A596" s="39" t="n"/>
      <c r="B596" s="26" t="n"/>
      <c r="C596" s="26" t="n"/>
      <c r="D596" s="40" t="n"/>
      <c r="E596" s="29" t="n"/>
      <c r="F596" s="29" t="n"/>
      <c r="G596" s="29" t="n"/>
      <c r="H596" s="28">
        <f>IF(B596="","",IF(B596="קנייה",-(D596*E596+G596),IF(B596="מכירה",D596*E596-G596,IF(B596="דיבידנד",F596-G596,IF(B596="הפקדה",F596-G596,IF(B596="משיכה",-F596-G596,-G596))))))</f>
        <v/>
      </c>
      <c r="I596" s="28">
        <f>IF(B596="קנייה",D596*E596+G596,0)</f>
        <v/>
      </c>
      <c r="J596" s="41">
        <f>IF(B596="מכירה",D596*E596-G596-D596*IFERROR(SUMIFS($I$5:I596,$C$5:C596,C596)/SUMIFS($D$5:D596,$C$5:C596,C596,$B$5:B596,"קנייה"),0),0)</f>
        <v/>
      </c>
      <c r="K596" s="26" t="n"/>
    </row>
    <row r="597">
      <c r="A597" s="39" t="n"/>
      <c r="B597" s="26" t="n"/>
      <c r="C597" s="26" t="n"/>
      <c r="D597" s="40" t="n"/>
      <c r="E597" s="29" t="n"/>
      <c r="F597" s="29" t="n"/>
      <c r="G597" s="29" t="n"/>
      <c r="H597" s="28">
        <f>IF(B597="","",IF(B597="קנייה",-(D597*E597+G597),IF(B597="מכירה",D597*E597-G597,IF(B597="דיבידנד",F597-G597,IF(B597="הפקדה",F597-G597,IF(B597="משיכה",-F597-G597,-G597))))))</f>
        <v/>
      </c>
      <c r="I597" s="28">
        <f>IF(B597="קנייה",D597*E597+G597,0)</f>
        <v/>
      </c>
      <c r="J597" s="41">
        <f>IF(B597="מכירה",D597*E597-G597-D597*IFERROR(SUMIFS($I$5:I597,$C$5:C597,C597)/SUMIFS($D$5:D597,$C$5:C597,C597,$B$5:B597,"קנייה"),0),0)</f>
        <v/>
      </c>
      <c r="K597" s="26" t="n"/>
    </row>
    <row r="598">
      <c r="A598" s="39" t="n"/>
      <c r="B598" s="26" t="n"/>
      <c r="C598" s="26" t="n"/>
      <c r="D598" s="40" t="n"/>
      <c r="E598" s="29" t="n"/>
      <c r="F598" s="29" t="n"/>
      <c r="G598" s="29" t="n"/>
      <c r="H598" s="28">
        <f>IF(B598="","",IF(B598="קנייה",-(D598*E598+G598),IF(B598="מכירה",D598*E598-G598,IF(B598="דיבידנד",F598-G598,IF(B598="הפקדה",F598-G598,IF(B598="משיכה",-F598-G598,-G598))))))</f>
        <v/>
      </c>
      <c r="I598" s="28">
        <f>IF(B598="קנייה",D598*E598+G598,0)</f>
        <v/>
      </c>
      <c r="J598" s="41">
        <f>IF(B598="מכירה",D598*E598-G598-D598*IFERROR(SUMIFS($I$5:I598,$C$5:C598,C598)/SUMIFS($D$5:D598,$C$5:C598,C598,$B$5:B598,"קנייה"),0),0)</f>
        <v/>
      </c>
      <c r="K598" s="26" t="n"/>
    </row>
    <row r="599">
      <c r="A599" s="39" t="n"/>
      <c r="B599" s="26" t="n"/>
      <c r="C599" s="26" t="n"/>
      <c r="D599" s="40" t="n"/>
      <c r="E599" s="29" t="n"/>
      <c r="F599" s="29" t="n"/>
      <c r="G599" s="29" t="n"/>
      <c r="H599" s="28">
        <f>IF(B599="","",IF(B599="קנייה",-(D599*E599+G599),IF(B599="מכירה",D599*E599-G599,IF(B599="דיבידנד",F599-G599,IF(B599="הפקדה",F599-G599,IF(B599="משיכה",-F599-G599,-G599))))))</f>
        <v/>
      </c>
      <c r="I599" s="28">
        <f>IF(B599="קנייה",D599*E599+G599,0)</f>
        <v/>
      </c>
      <c r="J599" s="41">
        <f>IF(B599="מכירה",D599*E599-G599-D599*IFERROR(SUMIFS($I$5:I599,$C$5:C599,C599)/SUMIFS($D$5:D599,$C$5:C599,C599,$B$5:B599,"קנייה"),0),0)</f>
        <v/>
      </c>
      <c r="K599" s="26" t="n"/>
    </row>
    <row r="600">
      <c r="A600" s="39" t="n"/>
      <c r="B600" s="26" t="n"/>
      <c r="C600" s="26" t="n"/>
      <c r="D600" s="40" t="n"/>
      <c r="E600" s="29" t="n"/>
      <c r="F600" s="29" t="n"/>
      <c r="G600" s="29" t="n"/>
      <c r="H600" s="28">
        <f>IF(B600="","",IF(B600="קנייה",-(D600*E600+G600),IF(B600="מכירה",D600*E600-G600,IF(B600="דיבידנד",F600-G600,IF(B600="הפקדה",F600-G600,IF(B600="משיכה",-F600-G600,-G600))))))</f>
        <v/>
      </c>
      <c r="I600" s="28">
        <f>IF(B600="קנייה",D600*E600+G600,0)</f>
        <v/>
      </c>
      <c r="J600" s="41">
        <f>IF(B600="מכירה",D600*E600-G600-D600*IFERROR(SUMIFS($I$5:I600,$C$5:C600,C600)/SUMIFS($D$5:D600,$C$5:C600,C600,$B$5:B600,"קנייה"),0),0)</f>
        <v/>
      </c>
      <c r="K600" s="26" t="n"/>
    </row>
    <row r="601">
      <c r="A601" s="39" t="n"/>
      <c r="B601" s="26" t="n"/>
      <c r="C601" s="26" t="n"/>
      <c r="D601" s="40" t="n"/>
      <c r="E601" s="29" t="n"/>
      <c r="F601" s="29" t="n"/>
      <c r="G601" s="29" t="n"/>
      <c r="H601" s="28">
        <f>IF(B601="","",IF(B601="קנייה",-(D601*E601+G601),IF(B601="מכירה",D601*E601-G601,IF(B601="דיבידנד",F601-G601,IF(B601="הפקדה",F601-G601,IF(B601="משיכה",-F601-G601,-G601))))))</f>
        <v/>
      </c>
      <c r="I601" s="28">
        <f>IF(B601="קנייה",D601*E601+G601,0)</f>
        <v/>
      </c>
      <c r="J601" s="41">
        <f>IF(B601="מכירה",D601*E601-G601-D601*IFERROR(SUMIFS($I$5:I601,$C$5:C601,C601)/SUMIFS($D$5:D601,$C$5:C601,C601,$B$5:B601,"קנייה"),0),0)</f>
        <v/>
      </c>
      <c r="K601" s="26" t="n"/>
    </row>
    <row r="602">
      <c r="A602" s="39" t="n"/>
      <c r="B602" s="26" t="n"/>
      <c r="C602" s="26" t="n"/>
      <c r="D602" s="40" t="n"/>
      <c r="E602" s="29" t="n"/>
      <c r="F602" s="29" t="n"/>
      <c r="G602" s="29" t="n"/>
      <c r="H602" s="28">
        <f>IF(B602="","",IF(B602="קנייה",-(D602*E602+G602),IF(B602="מכירה",D602*E602-G602,IF(B602="דיבידנד",F602-G602,IF(B602="הפקדה",F602-G602,IF(B602="משיכה",-F602-G602,-G602))))))</f>
        <v/>
      </c>
      <c r="I602" s="28">
        <f>IF(B602="קנייה",D602*E602+G602,0)</f>
        <v/>
      </c>
      <c r="J602" s="41">
        <f>IF(B602="מכירה",D602*E602-G602-D602*IFERROR(SUMIFS($I$5:I602,$C$5:C602,C602)/SUMIFS($D$5:D602,$C$5:C602,C602,$B$5:B602,"קנייה"),0),0)</f>
        <v/>
      </c>
      <c r="K602" s="26" t="n"/>
    </row>
    <row r="603">
      <c r="A603" s="39" t="n"/>
      <c r="B603" s="26" t="n"/>
      <c r="C603" s="26" t="n"/>
      <c r="D603" s="40" t="n"/>
      <c r="E603" s="29" t="n"/>
      <c r="F603" s="29" t="n"/>
      <c r="G603" s="29" t="n"/>
      <c r="H603" s="28">
        <f>IF(B603="","",IF(B603="קנייה",-(D603*E603+G603),IF(B603="מכירה",D603*E603-G603,IF(B603="דיבידנד",F603-G603,IF(B603="הפקדה",F603-G603,IF(B603="משיכה",-F603-G603,-G603))))))</f>
        <v/>
      </c>
      <c r="I603" s="28">
        <f>IF(B603="קנייה",D603*E603+G603,0)</f>
        <v/>
      </c>
      <c r="J603" s="41">
        <f>IF(B603="מכירה",D603*E603-G603-D603*IFERROR(SUMIFS($I$5:I603,$C$5:C603,C603)/SUMIFS($D$5:D603,$C$5:C603,C603,$B$5:B603,"קנייה"),0),0)</f>
        <v/>
      </c>
      <c r="K603" s="26" t="n"/>
    </row>
    <row r="604">
      <c r="A604" s="39" t="n"/>
      <c r="B604" s="26" t="n"/>
      <c r="C604" s="26" t="n"/>
      <c r="D604" s="40" t="n"/>
      <c r="E604" s="29" t="n"/>
      <c r="F604" s="29" t="n"/>
      <c r="G604" s="29" t="n"/>
      <c r="H604" s="28">
        <f>IF(B604="","",IF(B604="קנייה",-(D604*E604+G604),IF(B604="מכירה",D604*E604-G604,IF(B604="דיבידנד",F604-G604,IF(B604="הפקדה",F604-G604,IF(B604="משיכה",-F604-G604,-G604))))))</f>
        <v/>
      </c>
      <c r="I604" s="28">
        <f>IF(B604="קנייה",D604*E604+G604,0)</f>
        <v/>
      </c>
      <c r="J604" s="41">
        <f>IF(B604="מכירה",D604*E604-G604-D604*IFERROR(SUMIFS($I$5:I604,$C$5:C604,C604)/SUMIFS($D$5:D604,$C$5:C604,C604,$B$5:B604,"קנייה"),0),0)</f>
        <v/>
      </c>
      <c r="K604" s="26" t="n"/>
    </row>
    <row r="605">
      <c r="A605" s="39" t="n"/>
      <c r="B605" s="26" t="n"/>
      <c r="C605" s="26" t="n"/>
      <c r="D605" s="40" t="n"/>
      <c r="E605" s="29" t="n"/>
      <c r="F605" s="29" t="n"/>
      <c r="G605" s="29" t="n"/>
      <c r="H605" s="28">
        <f>IF(B605="","",IF(B605="קנייה",-(D605*E605+G605),IF(B605="מכירה",D605*E605-G605,IF(B605="דיבידנד",F605-G605,IF(B605="הפקדה",F605-G605,IF(B605="משיכה",-F605-G605,-G605))))))</f>
        <v/>
      </c>
      <c r="I605" s="28">
        <f>IF(B605="קנייה",D605*E605+G605,0)</f>
        <v/>
      </c>
      <c r="J605" s="41">
        <f>IF(B605="מכירה",D605*E605-G605-D605*IFERROR(SUMIFS($I$5:I605,$C$5:C605,C605)/SUMIFS($D$5:D605,$C$5:C605,C605,$B$5:B605,"קנייה"),0),0)</f>
        <v/>
      </c>
      <c r="K605" s="26" t="n"/>
    </row>
    <row r="606">
      <c r="A606" s="39" t="n"/>
      <c r="B606" s="26" t="n"/>
      <c r="C606" s="26" t="n"/>
      <c r="D606" s="40" t="n"/>
      <c r="E606" s="29" t="n"/>
      <c r="F606" s="29" t="n"/>
      <c r="G606" s="29" t="n"/>
      <c r="H606" s="28">
        <f>IF(B606="","",IF(B606="קנייה",-(D606*E606+G606),IF(B606="מכירה",D606*E606-G606,IF(B606="דיבידנד",F606-G606,IF(B606="הפקדה",F606-G606,IF(B606="משיכה",-F606-G606,-G606))))))</f>
        <v/>
      </c>
      <c r="I606" s="28">
        <f>IF(B606="קנייה",D606*E606+G606,0)</f>
        <v/>
      </c>
      <c r="J606" s="41">
        <f>IF(B606="מכירה",D606*E606-G606-D606*IFERROR(SUMIFS($I$5:I606,$C$5:C606,C606)/SUMIFS($D$5:D606,$C$5:C606,C606,$B$5:B606,"קנייה"),0),0)</f>
        <v/>
      </c>
      <c r="K606" s="26" t="n"/>
    </row>
    <row r="607">
      <c r="A607" s="39" t="n"/>
      <c r="B607" s="26" t="n"/>
      <c r="C607" s="26" t="n"/>
      <c r="D607" s="40" t="n"/>
      <c r="E607" s="29" t="n"/>
      <c r="F607" s="29" t="n"/>
      <c r="G607" s="29" t="n"/>
      <c r="H607" s="28">
        <f>IF(B607="","",IF(B607="קנייה",-(D607*E607+G607),IF(B607="מכירה",D607*E607-G607,IF(B607="דיבידנד",F607-G607,IF(B607="הפקדה",F607-G607,IF(B607="משיכה",-F607-G607,-G607))))))</f>
        <v/>
      </c>
      <c r="I607" s="28">
        <f>IF(B607="קנייה",D607*E607+G607,0)</f>
        <v/>
      </c>
      <c r="J607" s="41">
        <f>IF(B607="מכירה",D607*E607-G607-D607*IFERROR(SUMIFS($I$5:I607,$C$5:C607,C607)/SUMIFS($D$5:D607,$C$5:C607,C607,$B$5:B607,"קנייה"),0),0)</f>
        <v/>
      </c>
      <c r="K607" s="26" t="n"/>
    </row>
    <row r="608">
      <c r="A608" s="39" t="n"/>
      <c r="B608" s="26" t="n"/>
      <c r="C608" s="26" t="n"/>
      <c r="D608" s="40" t="n"/>
      <c r="E608" s="29" t="n"/>
      <c r="F608" s="29" t="n"/>
      <c r="G608" s="29" t="n"/>
      <c r="H608" s="28">
        <f>IF(B608="","",IF(B608="קנייה",-(D608*E608+G608),IF(B608="מכירה",D608*E608-G608,IF(B608="דיבידנד",F608-G608,IF(B608="הפקדה",F608-G608,IF(B608="משיכה",-F608-G608,-G608))))))</f>
        <v/>
      </c>
      <c r="I608" s="28">
        <f>IF(B608="קנייה",D608*E608+G608,0)</f>
        <v/>
      </c>
      <c r="J608" s="41">
        <f>IF(B608="מכירה",D608*E608-G608-D608*IFERROR(SUMIFS($I$5:I608,$C$5:C608,C608)/SUMIFS($D$5:D608,$C$5:C608,C608,$B$5:B608,"קנייה"),0),0)</f>
        <v/>
      </c>
      <c r="K608" s="26" t="n"/>
    </row>
    <row r="609">
      <c r="A609" s="39" t="n"/>
      <c r="B609" s="26" t="n"/>
      <c r="C609" s="26" t="n"/>
      <c r="D609" s="40" t="n"/>
      <c r="E609" s="29" t="n"/>
      <c r="F609" s="29" t="n"/>
      <c r="G609" s="29" t="n"/>
      <c r="H609" s="28">
        <f>IF(B609="","",IF(B609="קנייה",-(D609*E609+G609),IF(B609="מכירה",D609*E609-G609,IF(B609="דיבידנד",F609-G609,IF(B609="הפקדה",F609-G609,IF(B609="משיכה",-F609-G609,-G609))))))</f>
        <v/>
      </c>
      <c r="I609" s="28">
        <f>IF(B609="קנייה",D609*E609+G609,0)</f>
        <v/>
      </c>
      <c r="J609" s="41">
        <f>IF(B609="מכירה",D609*E609-G609-D609*IFERROR(SUMIFS($I$5:I609,$C$5:C609,C609)/SUMIFS($D$5:D609,$C$5:C609,C609,$B$5:B609,"קנייה"),0),0)</f>
        <v/>
      </c>
      <c r="K609" s="26" t="n"/>
    </row>
    <row r="610">
      <c r="A610" s="39" t="n"/>
      <c r="B610" s="26" t="n"/>
      <c r="C610" s="26" t="n"/>
      <c r="D610" s="40" t="n"/>
      <c r="E610" s="29" t="n"/>
      <c r="F610" s="29" t="n"/>
      <c r="G610" s="29" t="n"/>
      <c r="H610" s="28">
        <f>IF(B610="","",IF(B610="קנייה",-(D610*E610+G610),IF(B610="מכירה",D610*E610-G610,IF(B610="דיבידנד",F610-G610,IF(B610="הפקדה",F610-G610,IF(B610="משיכה",-F610-G610,-G610))))))</f>
        <v/>
      </c>
      <c r="I610" s="28">
        <f>IF(B610="קנייה",D610*E610+G610,0)</f>
        <v/>
      </c>
      <c r="J610" s="41">
        <f>IF(B610="מכירה",D610*E610-G610-D610*IFERROR(SUMIFS($I$5:I610,$C$5:C610,C610)/SUMIFS($D$5:D610,$C$5:C610,C610,$B$5:B610,"קנייה"),0),0)</f>
        <v/>
      </c>
      <c r="K610" s="26" t="n"/>
    </row>
    <row r="611">
      <c r="A611" s="39" t="n"/>
      <c r="B611" s="26" t="n"/>
      <c r="C611" s="26" t="n"/>
      <c r="D611" s="40" t="n"/>
      <c r="E611" s="29" t="n"/>
      <c r="F611" s="29" t="n"/>
      <c r="G611" s="29" t="n"/>
      <c r="H611" s="28">
        <f>IF(B611="","",IF(B611="קנייה",-(D611*E611+G611),IF(B611="מכירה",D611*E611-G611,IF(B611="דיבידנד",F611-G611,IF(B611="הפקדה",F611-G611,IF(B611="משיכה",-F611-G611,-G611))))))</f>
        <v/>
      </c>
      <c r="I611" s="28">
        <f>IF(B611="קנייה",D611*E611+G611,0)</f>
        <v/>
      </c>
      <c r="J611" s="41">
        <f>IF(B611="מכירה",D611*E611-G611-D611*IFERROR(SUMIFS($I$5:I611,$C$5:C611,C611)/SUMIFS($D$5:D611,$C$5:C611,C611,$B$5:B611,"קנייה"),0),0)</f>
        <v/>
      </c>
      <c r="K611" s="26" t="n"/>
    </row>
    <row r="612">
      <c r="A612" s="39" t="n"/>
      <c r="B612" s="26" t="n"/>
      <c r="C612" s="26" t="n"/>
      <c r="D612" s="40" t="n"/>
      <c r="E612" s="29" t="n"/>
      <c r="F612" s="29" t="n"/>
      <c r="G612" s="29" t="n"/>
      <c r="H612" s="28">
        <f>IF(B612="","",IF(B612="קנייה",-(D612*E612+G612),IF(B612="מכירה",D612*E612-G612,IF(B612="דיבידנד",F612-G612,IF(B612="הפקדה",F612-G612,IF(B612="משיכה",-F612-G612,-G612))))))</f>
        <v/>
      </c>
      <c r="I612" s="28">
        <f>IF(B612="קנייה",D612*E612+G612,0)</f>
        <v/>
      </c>
      <c r="J612" s="41">
        <f>IF(B612="מכירה",D612*E612-G612-D612*IFERROR(SUMIFS($I$5:I612,$C$5:C612,C612)/SUMIFS($D$5:D612,$C$5:C612,C612,$B$5:B612,"קנייה"),0),0)</f>
        <v/>
      </c>
      <c r="K612" s="26" t="n"/>
    </row>
    <row r="613">
      <c r="A613" s="39" t="n"/>
      <c r="B613" s="26" t="n"/>
      <c r="C613" s="26" t="n"/>
      <c r="D613" s="40" t="n"/>
      <c r="E613" s="29" t="n"/>
      <c r="F613" s="29" t="n"/>
      <c r="G613" s="29" t="n"/>
      <c r="H613" s="28">
        <f>IF(B613="","",IF(B613="קנייה",-(D613*E613+G613),IF(B613="מכירה",D613*E613-G613,IF(B613="דיבידנד",F613-G613,IF(B613="הפקדה",F613-G613,IF(B613="משיכה",-F613-G613,-G613))))))</f>
        <v/>
      </c>
      <c r="I613" s="28">
        <f>IF(B613="קנייה",D613*E613+G613,0)</f>
        <v/>
      </c>
      <c r="J613" s="41">
        <f>IF(B613="מכירה",D613*E613-G613-D613*IFERROR(SUMIFS($I$5:I613,$C$5:C613,C613)/SUMIFS($D$5:D613,$C$5:C613,C613,$B$5:B613,"קנייה"),0),0)</f>
        <v/>
      </c>
      <c r="K613" s="26" t="n"/>
    </row>
    <row r="614">
      <c r="A614" s="39" t="n"/>
      <c r="B614" s="26" t="n"/>
      <c r="C614" s="26" t="n"/>
      <c r="D614" s="40" t="n"/>
      <c r="E614" s="29" t="n"/>
      <c r="F614" s="29" t="n"/>
      <c r="G614" s="29" t="n"/>
      <c r="H614" s="28">
        <f>IF(B614="","",IF(B614="קנייה",-(D614*E614+G614),IF(B614="מכירה",D614*E614-G614,IF(B614="דיבידנד",F614-G614,IF(B614="הפקדה",F614-G614,IF(B614="משיכה",-F614-G614,-G614))))))</f>
        <v/>
      </c>
      <c r="I614" s="28">
        <f>IF(B614="קנייה",D614*E614+G614,0)</f>
        <v/>
      </c>
      <c r="J614" s="41">
        <f>IF(B614="מכירה",D614*E614-G614-D614*IFERROR(SUMIFS($I$5:I614,$C$5:C614,C614)/SUMIFS($D$5:D614,$C$5:C614,C614,$B$5:B614,"קנייה"),0),0)</f>
        <v/>
      </c>
      <c r="K614" s="26" t="n"/>
    </row>
    <row r="615">
      <c r="A615" s="39" t="n"/>
      <c r="B615" s="26" t="n"/>
      <c r="C615" s="26" t="n"/>
      <c r="D615" s="40" t="n"/>
      <c r="E615" s="29" t="n"/>
      <c r="F615" s="29" t="n"/>
      <c r="G615" s="29" t="n"/>
      <c r="H615" s="28">
        <f>IF(B615="","",IF(B615="קנייה",-(D615*E615+G615),IF(B615="מכירה",D615*E615-G615,IF(B615="דיבידנד",F615-G615,IF(B615="הפקדה",F615-G615,IF(B615="משיכה",-F615-G615,-G615))))))</f>
        <v/>
      </c>
      <c r="I615" s="28">
        <f>IF(B615="קנייה",D615*E615+G615,0)</f>
        <v/>
      </c>
      <c r="J615" s="41">
        <f>IF(B615="מכירה",D615*E615-G615-D615*IFERROR(SUMIFS($I$5:I615,$C$5:C615,C615)/SUMIFS($D$5:D615,$C$5:C615,C615,$B$5:B615,"קנייה"),0),0)</f>
        <v/>
      </c>
      <c r="K615" s="26" t="n"/>
    </row>
    <row r="616">
      <c r="A616" s="39" t="n"/>
      <c r="B616" s="26" t="n"/>
      <c r="C616" s="26" t="n"/>
      <c r="D616" s="40" t="n"/>
      <c r="E616" s="29" t="n"/>
      <c r="F616" s="29" t="n"/>
      <c r="G616" s="29" t="n"/>
      <c r="H616" s="28">
        <f>IF(B616="","",IF(B616="קנייה",-(D616*E616+G616),IF(B616="מכירה",D616*E616-G616,IF(B616="דיבידנד",F616-G616,IF(B616="הפקדה",F616-G616,IF(B616="משיכה",-F616-G616,-G616))))))</f>
        <v/>
      </c>
      <c r="I616" s="28">
        <f>IF(B616="קנייה",D616*E616+G616,0)</f>
        <v/>
      </c>
      <c r="J616" s="41">
        <f>IF(B616="מכירה",D616*E616-G616-D616*IFERROR(SUMIFS($I$5:I616,$C$5:C616,C616)/SUMIFS($D$5:D616,$C$5:C616,C616,$B$5:B616,"קנייה"),0),0)</f>
        <v/>
      </c>
      <c r="K616" s="26" t="n"/>
    </row>
    <row r="617">
      <c r="A617" s="39" t="n"/>
      <c r="B617" s="26" t="n"/>
      <c r="C617" s="26" t="n"/>
      <c r="D617" s="40" t="n"/>
      <c r="E617" s="29" t="n"/>
      <c r="F617" s="29" t="n"/>
      <c r="G617" s="29" t="n"/>
      <c r="H617" s="28">
        <f>IF(B617="","",IF(B617="קנייה",-(D617*E617+G617),IF(B617="מכירה",D617*E617-G617,IF(B617="דיבידנד",F617-G617,IF(B617="הפקדה",F617-G617,IF(B617="משיכה",-F617-G617,-G617))))))</f>
        <v/>
      </c>
      <c r="I617" s="28">
        <f>IF(B617="קנייה",D617*E617+G617,0)</f>
        <v/>
      </c>
      <c r="J617" s="41">
        <f>IF(B617="מכירה",D617*E617-G617-D617*IFERROR(SUMIFS($I$5:I617,$C$5:C617,C617)/SUMIFS($D$5:D617,$C$5:C617,C617,$B$5:B617,"קנייה"),0),0)</f>
        <v/>
      </c>
      <c r="K617" s="26" t="n"/>
    </row>
    <row r="618">
      <c r="A618" s="39" t="n"/>
      <c r="B618" s="26" t="n"/>
      <c r="C618" s="26" t="n"/>
      <c r="D618" s="40" t="n"/>
      <c r="E618" s="29" t="n"/>
      <c r="F618" s="29" t="n"/>
      <c r="G618" s="29" t="n"/>
      <c r="H618" s="28">
        <f>IF(B618="","",IF(B618="קנייה",-(D618*E618+G618),IF(B618="מכירה",D618*E618-G618,IF(B618="דיבידנד",F618-G618,IF(B618="הפקדה",F618-G618,IF(B618="משיכה",-F618-G618,-G618))))))</f>
        <v/>
      </c>
      <c r="I618" s="28">
        <f>IF(B618="קנייה",D618*E618+G618,0)</f>
        <v/>
      </c>
      <c r="J618" s="41">
        <f>IF(B618="מכירה",D618*E618-G618-D618*IFERROR(SUMIFS($I$5:I618,$C$5:C618,C618)/SUMIFS($D$5:D618,$C$5:C618,C618,$B$5:B618,"קנייה"),0),0)</f>
        <v/>
      </c>
      <c r="K618" s="26" t="n"/>
    </row>
    <row r="619">
      <c r="A619" s="39" t="n"/>
      <c r="B619" s="26" t="n"/>
      <c r="C619" s="26" t="n"/>
      <c r="D619" s="40" t="n"/>
      <c r="E619" s="29" t="n"/>
      <c r="F619" s="29" t="n"/>
      <c r="G619" s="29" t="n"/>
      <c r="H619" s="28">
        <f>IF(B619="","",IF(B619="קנייה",-(D619*E619+G619),IF(B619="מכירה",D619*E619-G619,IF(B619="דיבידנד",F619-G619,IF(B619="הפקדה",F619-G619,IF(B619="משיכה",-F619-G619,-G619))))))</f>
        <v/>
      </c>
      <c r="I619" s="28">
        <f>IF(B619="קנייה",D619*E619+G619,0)</f>
        <v/>
      </c>
      <c r="J619" s="41">
        <f>IF(B619="מכירה",D619*E619-G619-D619*IFERROR(SUMIFS($I$5:I619,$C$5:C619,C619)/SUMIFS($D$5:D619,$C$5:C619,C619,$B$5:B619,"קנייה"),0),0)</f>
        <v/>
      </c>
      <c r="K619" s="26" t="n"/>
    </row>
    <row r="620">
      <c r="A620" s="39" t="n"/>
      <c r="B620" s="26" t="n"/>
      <c r="C620" s="26" t="n"/>
      <c r="D620" s="40" t="n"/>
      <c r="E620" s="29" t="n"/>
      <c r="F620" s="29" t="n"/>
      <c r="G620" s="29" t="n"/>
      <c r="H620" s="28">
        <f>IF(B620="","",IF(B620="קנייה",-(D620*E620+G620),IF(B620="מכירה",D620*E620-G620,IF(B620="דיבידנד",F620-G620,IF(B620="הפקדה",F620-G620,IF(B620="משיכה",-F620-G620,-G620))))))</f>
        <v/>
      </c>
      <c r="I620" s="28">
        <f>IF(B620="קנייה",D620*E620+G620,0)</f>
        <v/>
      </c>
      <c r="J620" s="41">
        <f>IF(B620="מכירה",D620*E620-G620-D620*IFERROR(SUMIFS($I$5:I620,$C$5:C620,C620)/SUMIFS($D$5:D620,$C$5:C620,C620,$B$5:B620,"קנייה"),0),0)</f>
        <v/>
      </c>
      <c r="K620" s="26" t="n"/>
    </row>
    <row r="621">
      <c r="A621" s="39" t="n"/>
      <c r="B621" s="26" t="n"/>
      <c r="C621" s="26" t="n"/>
      <c r="D621" s="40" t="n"/>
      <c r="E621" s="29" t="n"/>
      <c r="F621" s="29" t="n"/>
      <c r="G621" s="29" t="n"/>
      <c r="H621" s="28">
        <f>IF(B621="","",IF(B621="קנייה",-(D621*E621+G621),IF(B621="מכירה",D621*E621-G621,IF(B621="דיבידנד",F621-G621,IF(B621="הפקדה",F621-G621,IF(B621="משיכה",-F621-G621,-G621))))))</f>
        <v/>
      </c>
      <c r="I621" s="28">
        <f>IF(B621="קנייה",D621*E621+G621,0)</f>
        <v/>
      </c>
      <c r="J621" s="41">
        <f>IF(B621="מכירה",D621*E621-G621-D621*IFERROR(SUMIFS($I$5:I621,$C$5:C621,C621)/SUMIFS($D$5:D621,$C$5:C621,C621,$B$5:B621,"קנייה"),0),0)</f>
        <v/>
      </c>
      <c r="K621" s="26" t="n"/>
    </row>
    <row r="622">
      <c r="A622" s="39" t="n"/>
      <c r="B622" s="26" t="n"/>
      <c r="C622" s="26" t="n"/>
      <c r="D622" s="40" t="n"/>
      <c r="E622" s="29" t="n"/>
      <c r="F622" s="29" t="n"/>
      <c r="G622" s="29" t="n"/>
      <c r="H622" s="28">
        <f>IF(B622="","",IF(B622="קנייה",-(D622*E622+G622),IF(B622="מכירה",D622*E622-G622,IF(B622="דיבידנד",F622-G622,IF(B622="הפקדה",F622-G622,IF(B622="משיכה",-F622-G622,-G622))))))</f>
        <v/>
      </c>
      <c r="I622" s="28">
        <f>IF(B622="קנייה",D622*E622+G622,0)</f>
        <v/>
      </c>
      <c r="J622" s="41">
        <f>IF(B622="מכירה",D622*E622-G622-D622*IFERROR(SUMIFS($I$5:I622,$C$5:C622,C622)/SUMIFS($D$5:D622,$C$5:C622,C622,$B$5:B622,"קנייה"),0),0)</f>
        <v/>
      </c>
      <c r="K622" s="26" t="n"/>
    </row>
    <row r="623">
      <c r="A623" s="39" t="n"/>
      <c r="B623" s="26" t="n"/>
      <c r="C623" s="26" t="n"/>
      <c r="D623" s="40" t="n"/>
      <c r="E623" s="29" t="n"/>
      <c r="F623" s="29" t="n"/>
      <c r="G623" s="29" t="n"/>
      <c r="H623" s="28">
        <f>IF(B623="","",IF(B623="קנייה",-(D623*E623+G623),IF(B623="מכירה",D623*E623-G623,IF(B623="דיבידנד",F623-G623,IF(B623="הפקדה",F623-G623,IF(B623="משיכה",-F623-G623,-G623))))))</f>
        <v/>
      </c>
      <c r="I623" s="28">
        <f>IF(B623="קנייה",D623*E623+G623,0)</f>
        <v/>
      </c>
      <c r="J623" s="41">
        <f>IF(B623="מכירה",D623*E623-G623-D623*IFERROR(SUMIFS($I$5:I623,$C$5:C623,C623)/SUMIFS($D$5:D623,$C$5:C623,C623,$B$5:B623,"קנייה"),0),0)</f>
        <v/>
      </c>
      <c r="K623" s="26" t="n"/>
    </row>
    <row r="624">
      <c r="A624" s="39" t="n"/>
      <c r="B624" s="26" t="n"/>
      <c r="C624" s="26" t="n"/>
      <c r="D624" s="40" t="n"/>
      <c r="E624" s="29" t="n"/>
      <c r="F624" s="29" t="n"/>
      <c r="G624" s="29" t="n"/>
      <c r="H624" s="28">
        <f>IF(B624="","",IF(B624="קנייה",-(D624*E624+G624),IF(B624="מכירה",D624*E624-G624,IF(B624="דיבידנד",F624-G624,IF(B624="הפקדה",F624-G624,IF(B624="משיכה",-F624-G624,-G624))))))</f>
        <v/>
      </c>
      <c r="I624" s="28">
        <f>IF(B624="קנייה",D624*E624+G624,0)</f>
        <v/>
      </c>
      <c r="J624" s="41">
        <f>IF(B624="מכירה",D624*E624-G624-D624*IFERROR(SUMIFS($I$5:I624,$C$5:C624,C624)/SUMIFS($D$5:D624,$C$5:C624,C624,$B$5:B624,"קנייה"),0),0)</f>
        <v/>
      </c>
      <c r="K624" s="26" t="n"/>
    </row>
    <row r="625">
      <c r="A625" s="39" t="n"/>
      <c r="B625" s="26" t="n"/>
      <c r="C625" s="26" t="n"/>
      <c r="D625" s="40" t="n"/>
      <c r="E625" s="29" t="n"/>
      <c r="F625" s="29" t="n"/>
      <c r="G625" s="29" t="n"/>
      <c r="H625" s="28">
        <f>IF(B625="","",IF(B625="קנייה",-(D625*E625+G625),IF(B625="מכירה",D625*E625-G625,IF(B625="דיבידנד",F625-G625,IF(B625="הפקדה",F625-G625,IF(B625="משיכה",-F625-G625,-G625))))))</f>
        <v/>
      </c>
      <c r="I625" s="28">
        <f>IF(B625="קנייה",D625*E625+G625,0)</f>
        <v/>
      </c>
      <c r="J625" s="41">
        <f>IF(B625="מכירה",D625*E625-G625-D625*IFERROR(SUMIFS($I$5:I625,$C$5:C625,C625)/SUMIFS($D$5:D625,$C$5:C625,C625,$B$5:B625,"קנייה"),0),0)</f>
        <v/>
      </c>
      <c r="K625" s="26" t="n"/>
    </row>
    <row r="626">
      <c r="A626" s="39" t="n"/>
      <c r="B626" s="26" t="n"/>
      <c r="C626" s="26" t="n"/>
      <c r="D626" s="40" t="n"/>
      <c r="E626" s="29" t="n"/>
      <c r="F626" s="29" t="n"/>
      <c r="G626" s="29" t="n"/>
      <c r="H626" s="28">
        <f>IF(B626="","",IF(B626="קנייה",-(D626*E626+G626),IF(B626="מכירה",D626*E626-G626,IF(B626="דיבידנד",F626-G626,IF(B626="הפקדה",F626-G626,IF(B626="משיכה",-F626-G626,-G626))))))</f>
        <v/>
      </c>
      <c r="I626" s="28">
        <f>IF(B626="קנייה",D626*E626+G626,0)</f>
        <v/>
      </c>
      <c r="J626" s="41">
        <f>IF(B626="מכירה",D626*E626-G626-D626*IFERROR(SUMIFS($I$5:I626,$C$5:C626,C626)/SUMIFS($D$5:D626,$C$5:C626,C626,$B$5:B626,"קנייה"),0),0)</f>
        <v/>
      </c>
      <c r="K626" s="26" t="n"/>
    </row>
    <row r="627">
      <c r="A627" s="39" t="n"/>
      <c r="B627" s="26" t="n"/>
      <c r="C627" s="26" t="n"/>
      <c r="D627" s="40" t="n"/>
      <c r="E627" s="29" t="n"/>
      <c r="F627" s="29" t="n"/>
      <c r="G627" s="29" t="n"/>
      <c r="H627" s="28">
        <f>IF(B627="","",IF(B627="קנייה",-(D627*E627+G627),IF(B627="מכירה",D627*E627-G627,IF(B627="דיבידנד",F627-G627,IF(B627="הפקדה",F627-G627,IF(B627="משיכה",-F627-G627,-G627))))))</f>
        <v/>
      </c>
      <c r="I627" s="28">
        <f>IF(B627="קנייה",D627*E627+G627,0)</f>
        <v/>
      </c>
      <c r="J627" s="41">
        <f>IF(B627="מכירה",D627*E627-G627-D627*IFERROR(SUMIFS($I$5:I627,$C$5:C627,C627)/SUMIFS($D$5:D627,$C$5:C627,C627,$B$5:B627,"קנייה"),0),0)</f>
        <v/>
      </c>
      <c r="K627" s="26" t="n"/>
    </row>
    <row r="628">
      <c r="A628" s="39" t="n"/>
      <c r="B628" s="26" t="n"/>
      <c r="C628" s="26" t="n"/>
      <c r="D628" s="40" t="n"/>
      <c r="E628" s="29" t="n"/>
      <c r="F628" s="29" t="n"/>
      <c r="G628" s="29" t="n"/>
      <c r="H628" s="28">
        <f>IF(B628="","",IF(B628="קנייה",-(D628*E628+G628),IF(B628="מכירה",D628*E628-G628,IF(B628="דיבידנד",F628-G628,IF(B628="הפקדה",F628-G628,IF(B628="משיכה",-F628-G628,-G628))))))</f>
        <v/>
      </c>
      <c r="I628" s="28">
        <f>IF(B628="קנייה",D628*E628+G628,0)</f>
        <v/>
      </c>
      <c r="J628" s="41">
        <f>IF(B628="מכירה",D628*E628-G628-D628*IFERROR(SUMIFS($I$5:I628,$C$5:C628,C628)/SUMIFS($D$5:D628,$C$5:C628,C628,$B$5:B628,"קנייה"),0),0)</f>
        <v/>
      </c>
      <c r="K628" s="26" t="n"/>
    </row>
    <row r="629">
      <c r="A629" s="39" t="n"/>
      <c r="B629" s="26" t="n"/>
      <c r="C629" s="26" t="n"/>
      <c r="D629" s="40" t="n"/>
      <c r="E629" s="29" t="n"/>
      <c r="F629" s="29" t="n"/>
      <c r="G629" s="29" t="n"/>
      <c r="H629" s="28">
        <f>IF(B629="","",IF(B629="קנייה",-(D629*E629+G629),IF(B629="מכירה",D629*E629-G629,IF(B629="דיבידנד",F629-G629,IF(B629="הפקדה",F629-G629,IF(B629="משיכה",-F629-G629,-G629))))))</f>
        <v/>
      </c>
      <c r="I629" s="28">
        <f>IF(B629="קנייה",D629*E629+G629,0)</f>
        <v/>
      </c>
      <c r="J629" s="41">
        <f>IF(B629="מכירה",D629*E629-G629-D629*IFERROR(SUMIFS($I$5:I629,$C$5:C629,C629)/SUMIFS($D$5:D629,$C$5:C629,C629,$B$5:B629,"קנייה"),0),0)</f>
        <v/>
      </c>
      <c r="K629" s="26" t="n"/>
    </row>
    <row r="630">
      <c r="A630" s="39" t="n"/>
      <c r="B630" s="26" t="n"/>
      <c r="C630" s="26" t="n"/>
      <c r="D630" s="40" t="n"/>
      <c r="E630" s="29" t="n"/>
      <c r="F630" s="29" t="n"/>
      <c r="G630" s="29" t="n"/>
      <c r="H630" s="28">
        <f>IF(B630="","",IF(B630="קנייה",-(D630*E630+G630),IF(B630="מכירה",D630*E630-G630,IF(B630="דיבידנד",F630-G630,IF(B630="הפקדה",F630-G630,IF(B630="משיכה",-F630-G630,-G630))))))</f>
        <v/>
      </c>
      <c r="I630" s="28">
        <f>IF(B630="קנייה",D630*E630+G630,0)</f>
        <v/>
      </c>
      <c r="J630" s="41">
        <f>IF(B630="מכירה",D630*E630-G630-D630*IFERROR(SUMIFS($I$5:I630,$C$5:C630,C630)/SUMIFS($D$5:D630,$C$5:C630,C630,$B$5:B630,"קנייה"),0),0)</f>
        <v/>
      </c>
      <c r="K630" s="26" t="n"/>
    </row>
    <row r="631">
      <c r="A631" s="39" t="n"/>
      <c r="B631" s="26" t="n"/>
      <c r="C631" s="26" t="n"/>
      <c r="D631" s="40" t="n"/>
      <c r="E631" s="29" t="n"/>
      <c r="F631" s="29" t="n"/>
      <c r="G631" s="29" t="n"/>
      <c r="H631" s="28">
        <f>IF(B631="","",IF(B631="קנייה",-(D631*E631+G631),IF(B631="מכירה",D631*E631-G631,IF(B631="דיבידנד",F631-G631,IF(B631="הפקדה",F631-G631,IF(B631="משיכה",-F631-G631,-G631))))))</f>
        <v/>
      </c>
      <c r="I631" s="28">
        <f>IF(B631="קנייה",D631*E631+G631,0)</f>
        <v/>
      </c>
      <c r="J631" s="41">
        <f>IF(B631="מכירה",D631*E631-G631-D631*IFERROR(SUMIFS($I$5:I631,$C$5:C631,C631)/SUMIFS($D$5:D631,$C$5:C631,C631,$B$5:B631,"קנייה"),0),0)</f>
        <v/>
      </c>
      <c r="K631" s="26" t="n"/>
    </row>
    <row r="632">
      <c r="A632" s="39" t="n"/>
      <c r="B632" s="26" t="n"/>
      <c r="C632" s="26" t="n"/>
      <c r="D632" s="40" t="n"/>
      <c r="E632" s="29" t="n"/>
      <c r="F632" s="29" t="n"/>
      <c r="G632" s="29" t="n"/>
      <c r="H632" s="28">
        <f>IF(B632="","",IF(B632="קנייה",-(D632*E632+G632),IF(B632="מכירה",D632*E632-G632,IF(B632="דיבידנד",F632-G632,IF(B632="הפקדה",F632-G632,IF(B632="משיכה",-F632-G632,-G632))))))</f>
        <v/>
      </c>
      <c r="I632" s="28">
        <f>IF(B632="קנייה",D632*E632+G632,0)</f>
        <v/>
      </c>
      <c r="J632" s="41">
        <f>IF(B632="מכירה",D632*E632-G632-D632*IFERROR(SUMIFS($I$5:I632,$C$5:C632,C632)/SUMIFS($D$5:D632,$C$5:C632,C632,$B$5:B632,"קנייה"),0),0)</f>
        <v/>
      </c>
      <c r="K632" s="26" t="n"/>
    </row>
    <row r="633">
      <c r="A633" s="39" t="n"/>
      <c r="B633" s="26" t="n"/>
      <c r="C633" s="26" t="n"/>
      <c r="D633" s="40" t="n"/>
      <c r="E633" s="29" t="n"/>
      <c r="F633" s="29" t="n"/>
      <c r="G633" s="29" t="n"/>
      <c r="H633" s="28">
        <f>IF(B633="","",IF(B633="קנייה",-(D633*E633+G633),IF(B633="מכירה",D633*E633-G633,IF(B633="דיבידנד",F633-G633,IF(B633="הפקדה",F633-G633,IF(B633="משיכה",-F633-G633,-G633))))))</f>
        <v/>
      </c>
      <c r="I633" s="28">
        <f>IF(B633="קנייה",D633*E633+G633,0)</f>
        <v/>
      </c>
      <c r="J633" s="41">
        <f>IF(B633="מכירה",D633*E633-G633-D633*IFERROR(SUMIFS($I$5:I633,$C$5:C633,C633)/SUMIFS($D$5:D633,$C$5:C633,C633,$B$5:B633,"קנייה"),0),0)</f>
        <v/>
      </c>
      <c r="K633" s="26" t="n"/>
    </row>
    <row r="634">
      <c r="A634" s="39" t="n"/>
      <c r="B634" s="26" t="n"/>
      <c r="C634" s="26" t="n"/>
      <c r="D634" s="40" t="n"/>
      <c r="E634" s="29" t="n"/>
      <c r="F634" s="29" t="n"/>
      <c r="G634" s="29" t="n"/>
      <c r="H634" s="28">
        <f>IF(B634="","",IF(B634="קנייה",-(D634*E634+G634),IF(B634="מכירה",D634*E634-G634,IF(B634="דיבידנד",F634-G634,IF(B634="הפקדה",F634-G634,IF(B634="משיכה",-F634-G634,-G634))))))</f>
        <v/>
      </c>
      <c r="I634" s="28">
        <f>IF(B634="קנייה",D634*E634+G634,0)</f>
        <v/>
      </c>
      <c r="J634" s="41">
        <f>IF(B634="מכירה",D634*E634-G634-D634*IFERROR(SUMIFS($I$5:I634,$C$5:C634,C634)/SUMIFS($D$5:D634,$C$5:C634,C634,$B$5:B634,"קנייה"),0),0)</f>
        <v/>
      </c>
      <c r="K634" s="26" t="n"/>
    </row>
    <row r="635">
      <c r="A635" s="39" t="n"/>
      <c r="B635" s="26" t="n"/>
      <c r="C635" s="26" t="n"/>
      <c r="D635" s="40" t="n"/>
      <c r="E635" s="29" t="n"/>
      <c r="F635" s="29" t="n"/>
      <c r="G635" s="29" t="n"/>
      <c r="H635" s="28">
        <f>IF(B635="","",IF(B635="קנייה",-(D635*E635+G635),IF(B635="מכירה",D635*E635-G635,IF(B635="דיבידנד",F635-G635,IF(B635="הפקדה",F635-G635,IF(B635="משיכה",-F635-G635,-G635))))))</f>
        <v/>
      </c>
      <c r="I635" s="28">
        <f>IF(B635="קנייה",D635*E635+G635,0)</f>
        <v/>
      </c>
      <c r="J635" s="41">
        <f>IF(B635="מכירה",D635*E635-G635-D635*IFERROR(SUMIFS($I$5:I635,$C$5:C635,C635)/SUMIFS($D$5:D635,$C$5:C635,C635,$B$5:B635,"קנייה"),0),0)</f>
        <v/>
      </c>
      <c r="K635" s="26" t="n"/>
    </row>
    <row r="636">
      <c r="A636" s="39" t="n"/>
      <c r="B636" s="26" t="n"/>
      <c r="C636" s="26" t="n"/>
      <c r="D636" s="40" t="n"/>
      <c r="E636" s="29" t="n"/>
      <c r="F636" s="29" t="n"/>
      <c r="G636" s="29" t="n"/>
      <c r="H636" s="28">
        <f>IF(B636="","",IF(B636="קנייה",-(D636*E636+G636),IF(B636="מכירה",D636*E636-G636,IF(B636="דיבידנד",F636-G636,IF(B636="הפקדה",F636-G636,IF(B636="משיכה",-F636-G636,-G636))))))</f>
        <v/>
      </c>
      <c r="I636" s="28">
        <f>IF(B636="קנייה",D636*E636+G636,0)</f>
        <v/>
      </c>
      <c r="J636" s="41">
        <f>IF(B636="מכירה",D636*E636-G636-D636*IFERROR(SUMIFS($I$5:I636,$C$5:C636,C636)/SUMIFS($D$5:D636,$C$5:C636,C636,$B$5:B636,"קנייה"),0),0)</f>
        <v/>
      </c>
      <c r="K636" s="26" t="n"/>
    </row>
    <row r="637">
      <c r="A637" s="39" t="n"/>
      <c r="B637" s="26" t="n"/>
      <c r="C637" s="26" t="n"/>
      <c r="D637" s="40" t="n"/>
      <c r="E637" s="29" t="n"/>
      <c r="F637" s="29" t="n"/>
      <c r="G637" s="29" t="n"/>
      <c r="H637" s="28">
        <f>IF(B637="","",IF(B637="קנייה",-(D637*E637+G637),IF(B637="מכירה",D637*E637-G637,IF(B637="דיבידנד",F637-G637,IF(B637="הפקדה",F637-G637,IF(B637="משיכה",-F637-G637,-G637))))))</f>
        <v/>
      </c>
      <c r="I637" s="28">
        <f>IF(B637="קנייה",D637*E637+G637,0)</f>
        <v/>
      </c>
      <c r="J637" s="41">
        <f>IF(B637="מכירה",D637*E637-G637-D637*IFERROR(SUMIFS($I$5:I637,$C$5:C637,C637)/SUMIFS($D$5:D637,$C$5:C637,C637,$B$5:B637,"קנייה"),0),0)</f>
        <v/>
      </c>
      <c r="K637" s="26" t="n"/>
    </row>
    <row r="638">
      <c r="A638" s="39" t="n"/>
      <c r="B638" s="26" t="n"/>
      <c r="C638" s="26" t="n"/>
      <c r="D638" s="40" t="n"/>
      <c r="E638" s="29" t="n"/>
      <c r="F638" s="29" t="n"/>
      <c r="G638" s="29" t="n"/>
      <c r="H638" s="28">
        <f>IF(B638="","",IF(B638="קנייה",-(D638*E638+G638),IF(B638="מכירה",D638*E638-G638,IF(B638="דיבידנד",F638-G638,IF(B638="הפקדה",F638-G638,IF(B638="משיכה",-F638-G638,-G638))))))</f>
        <v/>
      </c>
      <c r="I638" s="28">
        <f>IF(B638="קנייה",D638*E638+G638,0)</f>
        <v/>
      </c>
      <c r="J638" s="41">
        <f>IF(B638="מכירה",D638*E638-G638-D638*IFERROR(SUMIFS($I$5:I638,$C$5:C638,C638)/SUMIFS($D$5:D638,$C$5:C638,C638,$B$5:B638,"קנייה"),0),0)</f>
        <v/>
      </c>
      <c r="K638" s="26" t="n"/>
    </row>
    <row r="639">
      <c r="A639" s="39" t="n"/>
      <c r="B639" s="26" t="n"/>
      <c r="C639" s="26" t="n"/>
      <c r="D639" s="40" t="n"/>
      <c r="E639" s="29" t="n"/>
      <c r="F639" s="29" t="n"/>
      <c r="G639" s="29" t="n"/>
      <c r="H639" s="28">
        <f>IF(B639="","",IF(B639="קנייה",-(D639*E639+G639),IF(B639="מכירה",D639*E639-G639,IF(B639="דיבידנד",F639-G639,IF(B639="הפקדה",F639-G639,IF(B639="משיכה",-F639-G639,-G639))))))</f>
        <v/>
      </c>
      <c r="I639" s="28">
        <f>IF(B639="קנייה",D639*E639+G639,0)</f>
        <v/>
      </c>
      <c r="J639" s="41">
        <f>IF(B639="מכירה",D639*E639-G639-D639*IFERROR(SUMIFS($I$5:I639,$C$5:C639,C639)/SUMIFS($D$5:D639,$C$5:C639,C639,$B$5:B639,"קנייה"),0),0)</f>
        <v/>
      </c>
      <c r="K639" s="26" t="n"/>
    </row>
    <row r="640">
      <c r="A640" s="39" t="n"/>
      <c r="B640" s="26" t="n"/>
      <c r="C640" s="26" t="n"/>
      <c r="D640" s="40" t="n"/>
      <c r="E640" s="29" t="n"/>
      <c r="F640" s="29" t="n"/>
      <c r="G640" s="29" t="n"/>
      <c r="H640" s="28">
        <f>IF(B640="","",IF(B640="קנייה",-(D640*E640+G640),IF(B640="מכירה",D640*E640-G640,IF(B640="דיבידנד",F640-G640,IF(B640="הפקדה",F640-G640,IF(B640="משיכה",-F640-G640,-G640))))))</f>
        <v/>
      </c>
      <c r="I640" s="28">
        <f>IF(B640="קנייה",D640*E640+G640,0)</f>
        <v/>
      </c>
      <c r="J640" s="41">
        <f>IF(B640="מכירה",D640*E640-G640-D640*IFERROR(SUMIFS($I$5:I640,$C$5:C640,C640)/SUMIFS($D$5:D640,$C$5:C640,C640,$B$5:B640,"קנייה"),0),0)</f>
        <v/>
      </c>
      <c r="K640" s="26" t="n"/>
    </row>
    <row r="641">
      <c r="A641" s="39" t="n"/>
      <c r="B641" s="26" t="n"/>
      <c r="C641" s="26" t="n"/>
      <c r="D641" s="40" t="n"/>
      <c r="E641" s="29" t="n"/>
      <c r="F641" s="29" t="n"/>
      <c r="G641" s="29" t="n"/>
      <c r="H641" s="28">
        <f>IF(B641="","",IF(B641="קנייה",-(D641*E641+G641),IF(B641="מכירה",D641*E641-G641,IF(B641="דיבידנד",F641-G641,IF(B641="הפקדה",F641-G641,IF(B641="משיכה",-F641-G641,-G641))))))</f>
        <v/>
      </c>
      <c r="I641" s="28">
        <f>IF(B641="קנייה",D641*E641+G641,0)</f>
        <v/>
      </c>
      <c r="J641" s="41">
        <f>IF(B641="מכירה",D641*E641-G641-D641*IFERROR(SUMIFS($I$5:I641,$C$5:C641,C641)/SUMIFS($D$5:D641,$C$5:C641,C641,$B$5:B641,"קנייה"),0),0)</f>
        <v/>
      </c>
      <c r="K641" s="26" t="n"/>
    </row>
    <row r="642">
      <c r="A642" s="39" t="n"/>
      <c r="B642" s="26" t="n"/>
      <c r="C642" s="26" t="n"/>
      <c r="D642" s="40" t="n"/>
      <c r="E642" s="29" t="n"/>
      <c r="F642" s="29" t="n"/>
      <c r="G642" s="29" t="n"/>
      <c r="H642" s="28">
        <f>IF(B642="","",IF(B642="קנייה",-(D642*E642+G642),IF(B642="מכירה",D642*E642-G642,IF(B642="דיבידנד",F642-G642,IF(B642="הפקדה",F642-G642,IF(B642="משיכה",-F642-G642,-G642))))))</f>
        <v/>
      </c>
      <c r="I642" s="28">
        <f>IF(B642="קנייה",D642*E642+G642,0)</f>
        <v/>
      </c>
      <c r="J642" s="41">
        <f>IF(B642="מכירה",D642*E642-G642-D642*IFERROR(SUMIFS($I$5:I642,$C$5:C642,C642)/SUMIFS($D$5:D642,$C$5:C642,C642,$B$5:B642,"קנייה"),0),0)</f>
        <v/>
      </c>
      <c r="K642" s="26" t="n"/>
    </row>
    <row r="643">
      <c r="A643" s="39" t="n"/>
      <c r="B643" s="26" t="n"/>
      <c r="C643" s="26" t="n"/>
      <c r="D643" s="40" t="n"/>
      <c r="E643" s="29" t="n"/>
      <c r="F643" s="29" t="n"/>
      <c r="G643" s="29" t="n"/>
      <c r="H643" s="28">
        <f>IF(B643="","",IF(B643="קנייה",-(D643*E643+G643),IF(B643="מכירה",D643*E643-G643,IF(B643="דיבידנד",F643-G643,IF(B643="הפקדה",F643-G643,IF(B643="משיכה",-F643-G643,-G643))))))</f>
        <v/>
      </c>
      <c r="I643" s="28">
        <f>IF(B643="קנייה",D643*E643+G643,0)</f>
        <v/>
      </c>
      <c r="J643" s="41">
        <f>IF(B643="מכירה",D643*E643-G643-D643*IFERROR(SUMIFS($I$5:I643,$C$5:C643,C643)/SUMIFS($D$5:D643,$C$5:C643,C643,$B$5:B643,"קנייה"),0),0)</f>
        <v/>
      </c>
      <c r="K643" s="26" t="n"/>
    </row>
    <row r="644">
      <c r="A644" s="39" t="n"/>
      <c r="B644" s="26" t="n"/>
      <c r="C644" s="26" t="n"/>
      <c r="D644" s="40" t="n"/>
      <c r="E644" s="29" t="n"/>
      <c r="F644" s="29" t="n"/>
      <c r="G644" s="29" t="n"/>
      <c r="H644" s="28">
        <f>IF(B644="","",IF(B644="קנייה",-(D644*E644+G644),IF(B644="מכירה",D644*E644-G644,IF(B644="דיבידנד",F644-G644,IF(B644="הפקדה",F644-G644,IF(B644="משיכה",-F644-G644,-G644))))))</f>
        <v/>
      </c>
      <c r="I644" s="28">
        <f>IF(B644="קנייה",D644*E644+G644,0)</f>
        <v/>
      </c>
      <c r="J644" s="41">
        <f>IF(B644="מכירה",D644*E644-G644-D644*IFERROR(SUMIFS($I$5:I644,$C$5:C644,C644)/SUMIFS($D$5:D644,$C$5:C644,C644,$B$5:B644,"קנייה"),0),0)</f>
        <v/>
      </c>
      <c r="K644" s="26" t="n"/>
    </row>
    <row r="645">
      <c r="A645" s="39" t="n"/>
      <c r="B645" s="26" t="n"/>
      <c r="C645" s="26" t="n"/>
      <c r="D645" s="40" t="n"/>
      <c r="E645" s="29" t="n"/>
      <c r="F645" s="29" t="n"/>
      <c r="G645" s="29" t="n"/>
      <c r="H645" s="28">
        <f>IF(B645="","",IF(B645="קנייה",-(D645*E645+G645),IF(B645="מכירה",D645*E645-G645,IF(B645="דיבידנד",F645-G645,IF(B645="הפקדה",F645-G645,IF(B645="משיכה",-F645-G645,-G645))))))</f>
        <v/>
      </c>
      <c r="I645" s="28">
        <f>IF(B645="קנייה",D645*E645+G645,0)</f>
        <v/>
      </c>
      <c r="J645" s="41">
        <f>IF(B645="מכירה",D645*E645-G645-D645*IFERROR(SUMIFS($I$5:I645,$C$5:C645,C645)/SUMIFS($D$5:D645,$C$5:C645,C645,$B$5:B645,"קנייה"),0),0)</f>
        <v/>
      </c>
      <c r="K645" s="26" t="n"/>
    </row>
    <row r="646">
      <c r="A646" s="39" t="n"/>
      <c r="B646" s="26" t="n"/>
      <c r="C646" s="26" t="n"/>
      <c r="D646" s="40" t="n"/>
      <c r="E646" s="29" t="n"/>
      <c r="F646" s="29" t="n"/>
      <c r="G646" s="29" t="n"/>
      <c r="H646" s="28">
        <f>IF(B646="","",IF(B646="קנייה",-(D646*E646+G646),IF(B646="מכירה",D646*E646-G646,IF(B646="דיבידנד",F646-G646,IF(B646="הפקדה",F646-G646,IF(B646="משיכה",-F646-G646,-G646))))))</f>
        <v/>
      </c>
      <c r="I646" s="28">
        <f>IF(B646="קנייה",D646*E646+G646,0)</f>
        <v/>
      </c>
      <c r="J646" s="41">
        <f>IF(B646="מכירה",D646*E646-G646-D646*IFERROR(SUMIFS($I$5:I646,$C$5:C646,C646)/SUMIFS($D$5:D646,$C$5:C646,C646,$B$5:B646,"קנייה"),0),0)</f>
        <v/>
      </c>
      <c r="K646" s="26" t="n"/>
    </row>
    <row r="647">
      <c r="A647" s="39" t="n"/>
      <c r="B647" s="26" t="n"/>
      <c r="C647" s="26" t="n"/>
      <c r="D647" s="40" t="n"/>
      <c r="E647" s="29" t="n"/>
      <c r="F647" s="29" t="n"/>
      <c r="G647" s="29" t="n"/>
      <c r="H647" s="28">
        <f>IF(B647="","",IF(B647="קנייה",-(D647*E647+G647),IF(B647="מכירה",D647*E647-G647,IF(B647="דיבידנד",F647-G647,IF(B647="הפקדה",F647-G647,IF(B647="משיכה",-F647-G647,-G647))))))</f>
        <v/>
      </c>
      <c r="I647" s="28">
        <f>IF(B647="קנייה",D647*E647+G647,0)</f>
        <v/>
      </c>
      <c r="J647" s="41">
        <f>IF(B647="מכירה",D647*E647-G647-D647*IFERROR(SUMIFS($I$5:I647,$C$5:C647,C647)/SUMIFS($D$5:D647,$C$5:C647,C647,$B$5:B647,"קנייה"),0),0)</f>
        <v/>
      </c>
      <c r="K647" s="26" t="n"/>
    </row>
    <row r="648">
      <c r="A648" s="39" t="n"/>
      <c r="B648" s="26" t="n"/>
      <c r="C648" s="26" t="n"/>
      <c r="D648" s="40" t="n"/>
      <c r="E648" s="29" t="n"/>
      <c r="F648" s="29" t="n"/>
      <c r="G648" s="29" t="n"/>
      <c r="H648" s="28">
        <f>IF(B648="","",IF(B648="קנייה",-(D648*E648+G648),IF(B648="מכירה",D648*E648-G648,IF(B648="דיבידנד",F648-G648,IF(B648="הפקדה",F648-G648,IF(B648="משיכה",-F648-G648,-G648))))))</f>
        <v/>
      </c>
      <c r="I648" s="28">
        <f>IF(B648="קנייה",D648*E648+G648,0)</f>
        <v/>
      </c>
      <c r="J648" s="41">
        <f>IF(B648="מכירה",D648*E648-G648-D648*IFERROR(SUMIFS($I$5:I648,$C$5:C648,C648)/SUMIFS($D$5:D648,$C$5:C648,C648,$B$5:B648,"קנייה"),0),0)</f>
        <v/>
      </c>
      <c r="K648" s="26" t="n"/>
    </row>
    <row r="649">
      <c r="A649" s="39" t="n"/>
      <c r="B649" s="26" t="n"/>
      <c r="C649" s="26" t="n"/>
      <c r="D649" s="40" t="n"/>
      <c r="E649" s="29" t="n"/>
      <c r="F649" s="29" t="n"/>
      <c r="G649" s="29" t="n"/>
      <c r="H649" s="28">
        <f>IF(B649="","",IF(B649="קנייה",-(D649*E649+G649),IF(B649="מכירה",D649*E649-G649,IF(B649="דיבידנד",F649-G649,IF(B649="הפקדה",F649-G649,IF(B649="משיכה",-F649-G649,-G649))))))</f>
        <v/>
      </c>
      <c r="I649" s="28">
        <f>IF(B649="קנייה",D649*E649+G649,0)</f>
        <v/>
      </c>
      <c r="J649" s="41">
        <f>IF(B649="מכירה",D649*E649-G649-D649*IFERROR(SUMIFS($I$5:I649,$C$5:C649,C649)/SUMIFS($D$5:D649,$C$5:C649,C649,$B$5:B649,"קנייה"),0),0)</f>
        <v/>
      </c>
      <c r="K649" s="26" t="n"/>
    </row>
    <row r="650">
      <c r="A650" s="39" t="n"/>
      <c r="B650" s="26" t="n"/>
      <c r="C650" s="26" t="n"/>
      <c r="D650" s="40" t="n"/>
      <c r="E650" s="29" t="n"/>
      <c r="F650" s="29" t="n"/>
      <c r="G650" s="29" t="n"/>
      <c r="H650" s="28">
        <f>IF(B650="","",IF(B650="קנייה",-(D650*E650+G650),IF(B650="מכירה",D650*E650-G650,IF(B650="דיבידנד",F650-G650,IF(B650="הפקדה",F650-G650,IF(B650="משיכה",-F650-G650,-G650))))))</f>
        <v/>
      </c>
      <c r="I650" s="28">
        <f>IF(B650="קנייה",D650*E650+G650,0)</f>
        <v/>
      </c>
      <c r="J650" s="41">
        <f>IF(B650="מכירה",D650*E650-G650-D650*IFERROR(SUMIFS($I$5:I650,$C$5:C650,C650)/SUMIFS($D$5:D650,$C$5:C650,C650,$B$5:B650,"קנייה"),0),0)</f>
        <v/>
      </c>
      <c r="K650" s="26" t="n"/>
    </row>
    <row r="651">
      <c r="A651" s="39" t="n"/>
      <c r="B651" s="26" t="n"/>
      <c r="C651" s="26" t="n"/>
      <c r="D651" s="40" t="n"/>
      <c r="E651" s="29" t="n"/>
      <c r="F651" s="29" t="n"/>
      <c r="G651" s="29" t="n"/>
      <c r="H651" s="28">
        <f>IF(B651="","",IF(B651="קנייה",-(D651*E651+G651),IF(B651="מכירה",D651*E651-G651,IF(B651="דיבידנד",F651-G651,IF(B651="הפקדה",F651-G651,IF(B651="משיכה",-F651-G651,-G651))))))</f>
        <v/>
      </c>
      <c r="I651" s="28">
        <f>IF(B651="קנייה",D651*E651+G651,0)</f>
        <v/>
      </c>
      <c r="J651" s="41">
        <f>IF(B651="מכירה",D651*E651-G651-D651*IFERROR(SUMIFS($I$5:I651,$C$5:C651,C651)/SUMIFS($D$5:D651,$C$5:C651,C651,$B$5:B651,"קנייה"),0),0)</f>
        <v/>
      </c>
      <c r="K651" s="26" t="n"/>
    </row>
    <row r="652">
      <c r="A652" s="39" t="n"/>
      <c r="B652" s="26" t="n"/>
      <c r="C652" s="26" t="n"/>
      <c r="D652" s="40" t="n"/>
      <c r="E652" s="29" t="n"/>
      <c r="F652" s="29" t="n"/>
      <c r="G652" s="29" t="n"/>
      <c r="H652" s="28">
        <f>IF(B652="","",IF(B652="קנייה",-(D652*E652+G652),IF(B652="מכירה",D652*E652-G652,IF(B652="דיבידנד",F652-G652,IF(B652="הפקדה",F652-G652,IF(B652="משיכה",-F652-G652,-G652))))))</f>
        <v/>
      </c>
      <c r="I652" s="28">
        <f>IF(B652="קנייה",D652*E652+G652,0)</f>
        <v/>
      </c>
      <c r="J652" s="41">
        <f>IF(B652="מכירה",D652*E652-G652-D652*IFERROR(SUMIFS($I$5:I652,$C$5:C652,C652)/SUMIFS($D$5:D652,$C$5:C652,C652,$B$5:B652,"קנייה"),0),0)</f>
        <v/>
      </c>
      <c r="K652" s="26" t="n"/>
    </row>
    <row r="653">
      <c r="A653" s="39" t="n"/>
      <c r="B653" s="26" t="n"/>
      <c r="C653" s="26" t="n"/>
      <c r="D653" s="40" t="n"/>
      <c r="E653" s="29" t="n"/>
      <c r="F653" s="29" t="n"/>
      <c r="G653" s="29" t="n"/>
      <c r="H653" s="28">
        <f>IF(B653="","",IF(B653="קנייה",-(D653*E653+G653),IF(B653="מכירה",D653*E653-G653,IF(B653="דיבידנד",F653-G653,IF(B653="הפקדה",F653-G653,IF(B653="משיכה",-F653-G653,-G653))))))</f>
        <v/>
      </c>
      <c r="I653" s="28">
        <f>IF(B653="קנייה",D653*E653+G653,0)</f>
        <v/>
      </c>
      <c r="J653" s="41">
        <f>IF(B653="מכירה",D653*E653-G653-D653*IFERROR(SUMIFS($I$5:I653,$C$5:C653,C653)/SUMIFS($D$5:D653,$C$5:C653,C653,$B$5:B653,"קנייה"),0),0)</f>
        <v/>
      </c>
      <c r="K653" s="26" t="n"/>
    </row>
    <row r="654">
      <c r="A654" s="39" t="n"/>
      <c r="B654" s="26" t="n"/>
      <c r="C654" s="26" t="n"/>
      <c r="D654" s="40" t="n"/>
      <c r="E654" s="29" t="n"/>
      <c r="F654" s="29" t="n"/>
      <c r="G654" s="29" t="n"/>
      <c r="H654" s="28">
        <f>IF(B654="","",IF(B654="קנייה",-(D654*E654+G654),IF(B654="מכירה",D654*E654-G654,IF(B654="דיבידנד",F654-G654,IF(B654="הפקדה",F654-G654,IF(B654="משיכה",-F654-G654,-G654))))))</f>
        <v/>
      </c>
      <c r="I654" s="28">
        <f>IF(B654="קנייה",D654*E654+G654,0)</f>
        <v/>
      </c>
      <c r="J654" s="41">
        <f>IF(B654="מכירה",D654*E654-G654-D654*IFERROR(SUMIFS($I$5:I654,$C$5:C654,C654)/SUMIFS($D$5:D654,$C$5:C654,C654,$B$5:B654,"קנייה"),0),0)</f>
        <v/>
      </c>
      <c r="K654" s="26" t="n"/>
    </row>
    <row r="655">
      <c r="A655" s="39" t="n"/>
      <c r="B655" s="26" t="n"/>
      <c r="C655" s="26" t="n"/>
      <c r="D655" s="40" t="n"/>
      <c r="E655" s="29" t="n"/>
      <c r="F655" s="29" t="n"/>
      <c r="G655" s="29" t="n"/>
      <c r="H655" s="28">
        <f>IF(B655="","",IF(B655="קנייה",-(D655*E655+G655),IF(B655="מכירה",D655*E655-G655,IF(B655="דיבידנד",F655-G655,IF(B655="הפקדה",F655-G655,IF(B655="משיכה",-F655-G655,-G655))))))</f>
        <v/>
      </c>
      <c r="I655" s="28">
        <f>IF(B655="קנייה",D655*E655+G655,0)</f>
        <v/>
      </c>
      <c r="J655" s="41">
        <f>IF(B655="מכירה",D655*E655-G655-D655*IFERROR(SUMIFS($I$5:I655,$C$5:C655,C655)/SUMIFS($D$5:D655,$C$5:C655,C655,$B$5:B655,"קנייה"),0),0)</f>
        <v/>
      </c>
      <c r="K655" s="26" t="n"/>
    </row>
    <row r="656">
      <c r="A656" s="39" t="n"/>
      <c r="B656" s="26" t="n"/>
      <c r="C656" s="26" t="n"/>
      <c r="D656" s="40" t="n"/>
      <c r="E656" s="29" t="n"/>
      <c r="F656" s="29" t="n"/>
      <c r="G656" s="29" t="n"/>
      <c r="H656" s="28">
        <f>IF(B656="","",IF(B656="קנייה",-(D656*E656+G656),IF(B656="מכירה",D656*E656-G656,IF(B656="דיבידנד",F656-G656,IF(B656="הפקדה",F656-G656,IF(B656="משיכה",-F656-G656,-G656))))))</f>
        <v/>
      </c>
      <c r="I656" s="28">
        <f>IF(B656="קנייה",D656*E656+G656,0)</f>
        <v/>
      </c>
      <c r="J656" s="41">
        <f>IF(B656="מכירה",D656*E656-G656-D656*IFERROR(SUMIFS($I$5:I656,$C$5:C656,C656)/SUMIFS($D$5:D656,$C$5:C656,C656,$B$5:B656,"קנייה"),0),0)</f>
        <v/>
      </c>
      <c r="K656" s="26" t="n"/>
    </row>
    <row r="657">
      <c r="A657" s="39" t="n"/>
      <c r="B657" s="26" t="n"/>
      <c r="C657" s="26" t="n"/>
      <c r="D657" s="40" t="n"/>
      <c r="E657" s="29" t="n"/>
      <c r="F657" s="29" t="n"/>
      <c r="G657" s="29" t="n"/>
      <c r="H657" s="28">
        <f>IF(B657="","",IF(B657="קנייה",-(D657*E657+G657),IF(B657="מכירה",D657*E657-G657,IF(B657="דיבידנד",F657-G657,IF(B657="הפקדה",F657-G657,IF(B657="משיכה",-F657-G657,-G657))))))</f>
        <v/>
      </c>
      <c r="I657" s="28">
        <f>IF(B657="קנייה",D657*E657+G657,0)</f>
        <v/>
      </c>
      <c r="J657" s="41">
        <f>IF(B657="מכירה",D657*E657-G657-D657*IFERROR(SUMIFS($I$5:I657,$C$5:C657,C657)/SUMIFS($D$5:D657,$C$5:C657,C657,$B$5:B657,"קנייה"),0),0)</f>
        <v/>
      </c>
      <c r="K657" s="26" t="n"/>
    </row>
    <row r="658">
      <c r="A658" s="39" t="n"/>
      <c r="B658" s="26" t="n"/>
      <c r="C658" s="26" t="n"/>
      <c r="D658" s="40" t="n"/>
      <c r="E658" s="29" t="n"/>
      <c r="F658" s="29" t="n"/>
      <c r="G658" s="29" t="n"/>
      <c r="H658" s="28">
        <f>IF(B658="","",IF(B658="קנייה",-(D658*E658+G658),IF(B658="מכירה",D658*E658-G658,IF(B658="דיבידנד",F658-G658,IF(B658="הפקדה",F658-G658,IF(B658="משיכה",-F658-G658,-G658))))))</f>
        <v/>
      </c>
      <c r="I658" s="28">
        <f>IF(B658="קנייה",D658*E658+G658,0)</f>
        <v/>
      </c>
      <c r="J658" s="41">
        <f>IF(B658="מכירה",D658*E658-G658-D658*IFERROR(SUMIFS($I$5:I658,$C$5:C658,C658)/SUMIFS($D$5:D658,$C$5:C658,C658,$B$5:B658,"קנייה"),0),0)</f>
        <v/>
      </c>
      <c r="K658" s="26" t="n"/>
    </row>
    <row r="659">
      <c r="A659" s="39" t="n"/>
      <c r="B659" s="26" t="n"/>
      <c r="C659" s="26" t="n"/>
      <c r="D659" s="40" t="n"/>
      <c r="E659" s="29" t="n"/>
      <c r="F659" s="29" t="n"/>
      <c r="G659" s="29" t="n"/>
      <c r="H659" s="28">
        <f>IF(B659="","",IF(B659="קנייה",-(D659*E659+G659),IF(B659="מכירה",D659*E659-G659,IF(B659="דיבידנד",F659-G659,IF(B659="הפקדה",F659-G659,IF(B659="משיכה",-F659-G659,-G659))))))</f>
        <v/>
      </c>
      <c r="I659" s="28">
        <f>IF(B659="קנייה",D659*E659+G659,0)</f>
        <v/>
      </c>
      <c r="J659" s="41">
        <f>IF(B659="מכירה",D659*E659-G659-D659*IFERROR(SUMIFS($I$5:I659,$C$5:C659,C659)/SUMIFS($D$5:D659,$C$5:C659,C659,$B$5:B659,"קנייה"),0),0)</f>
        <v/>
      </c>
      <c r="K659" s="26" t="n"/>
    </row>
    <row r="660">
      <c r="A660" s="39" t="n"/>
      <c r="B660" s="26" t="n"/>
      <c r="C660" s="26" t="n"/>
      <c r="D660" s="40" t="n"/>
      <c r="E660" s="29" t="n"/>
      <c r="F660" s="29" t="n"/>
      <c r="G660" s="29" t="n"/>
      <c r="H660" s="28">
        <f>IF(B660="","",IF(B660="קנייה",-(D660*E660+G660),IF(B660="מכירה",D660*E660-G660,IF(B660="דיבידנד",F660-G660,IF(B660="הפקדה",F660-G660,IF(B660="משיכה",-F660-G660,-G660))))))</f>
        <v/>
      </c>
      <c r="I660" s="28">
        <f>IF(B660="קנייה",D660*E660+G660,0)</f>
        <v/>
      </c>
      <c r="J660" s="41">
        <f>IF(B660="מכירה",D660*E660-G660-D660*IFERROR(SUMIFS($I$5:I660,$C$5:C660,C660)/SUMIFS($D$5:D660,$C$5:C660,C660,$B$5:B660,"קנייה"),0),0)</f>
        <v/>
      </c>
      <c r="K660" s="26" t="n"/>
    </row>
    <row r="661">
      <c r="A661" s="39" t="n"/>
      <c r="B661" s="26" t="n"/>
      <c r="C661" s="26" t="n"/>
      <c r="D661" s="40" t="n"/>
      <c r="E661" s="29" t="n"/>
      <c r="F661" s="29" t="n"/>
      <c r="G661" s="29" t="n"/>
      <c r="H661" s="28">
        <f>IF(B661="","",IF(B661="קנייה",-(D661*E661+G661),IF(B661="מכירה",D661*E661-G661,IF(B661="דיבידנד",F661-G661,IF(B661="הפקדה",F661-G661,IF(B661="משיכה",-F661-G661,-G661))))))</f>
        <v/>
      </c>
      <c r="I661" s="28">
        <f>IF(B661="קנייה",D661*E661+G661,0)</f>
        <v/>
      </c>
      <c r="J661" s="41">
        <f>IF(B661="מכירה",D661*E661-G661-D661*IFERROR(SUMIFS($I$5:I661,$C$5:C661,C661)/SUMIFS($D$5:D661,$C$5:C661,C661,$B$5:B661,"קנייה"),0),0)</f>
        <v/>
      </c>
      <c r="K661" s="26" t="n"/>
    </row>
    <row r="662">
      <c r="A662" s="39" t="n"/>
      <c r="B662" s="26" t="n"/>
      <c r="C662" s="26" t="n"/>
      <c r="D662" s="40" t="n"/>
      <c r="E662" s="29" t="n"/>
      <c r="F662" s="29" t="n"/>
      <c r="G662" s="29" t="n"/>
      <c r="H662" s="28">
        <f>IF(B662="","",IF(B662="קנייה",-(D662*E662+G662),IF(B662="מכירה",D662*E662-G662,IF(B662="דיבידנד",F662-G662,IF(B662="הפקדה",F662-G662,IF(B662="משיכה",-F662-G662,-G662))))))</f>
        <v/>
      </c>
      <c r="I662" s="28">
        <f>IF(B662="קנייה",D662*E662+G662,0)</f>
        <v/>
      </c>
      <c r="J662" s="41">
        <f>IF(B662="מכירה",D662*E662-G662-D662*IFERROR(SUMIFS($I$5:I662,$C$5:C662,C662)/SUMIFS($D$5:D662,$C$5:C662,C662,$B$5:B662,"קנייה"),0),0)</f>
        <v/>
      </c>
      <c r="K662" s="26" t="n"/>
    </row>
    <row r="663">
      <c r="A663" s="39" t="n"/>
      <c r="B663" s="26" t="n"/>
      <c r="C663" s="26" t="n"/>
      <c r="D663" s="40" t="n"/>
      <c r="E663" s="29" t="n"/>
      <c r="F663" s="29" t="n"/>
      <c r="G663" s="29" t="n"/>
      <c r="H663" s="28">
        <f>IF(B663="","",IF(B663="קנייה",-(D663*E663+G663),IF(B663="מכירה",D663*E663-G663,IF(B663="דיבידנד",F663-G663,IF(B663="הפקדה",F663-G663,IF(B663="משיכה",-F663-G663,-G663))))))</f>
        <v/>
      </c>
      <c r="I663" s="28">
        <f>IF(B663="קנייה",D663*E663+G663,0)</f>
        <v/>
      </c>
      <c r="J663" s="41">
        <f>IF(B663="מכירה",D663*E663-G663-D663*IFERROR(SUMIFS($I$5:I663,$C$5:C663,C663)/SUMIFS($D$5:D663,$C$5:C663,C663,$B$5:B663,"קנייה"),0),0)</f>
        <v/>
      </c>
      <c r="K663" s="26" t="n"/>
    </row>
    <row r="664">
      <c r="A664" s="39" t="n"/>
      <c r="B664" s="26" t="n"/>
      <c r="C664" s="26" t="n"/>
      <c r="D664" s="40" t="n"/>
      <c r="E664" s="29" t="n"/>
      <c r="F664" s="29" t="n"/>
      <c r="G664" s="29" t="n"/>
      <c r="H664" s="28">
        <f>IF(B664="","",IF(B664="קנייה",-(D664*E664+G664),IF(B664="מכירה",D664*E664-G664,IF(B664="דיבידנד",F664-G664,IF(B664="הפקדה",F664-G664,IF(B664="משיכה",-F664-G664,-G664))))))</f>
        <v/>
      </c>
      <c r="I664" s="28">
        <f>IF(B664="קנייה",D664*E664+G664,0)</f>
        <v/>
      </c>
      <c r="J664" s="41">
        <f>IF(B664="מכירה",D664*E664-G664-D664*IFERROR(SUMIFS($I$5:I664,$C$5:C664,C664)/SUMIFS($D$5:D664,$C$5:C664,C664,$B$5:B664,"קנייה"),0),0)</f>
        <v/>
      </c>
      <c r="K664" s="26" t="n"/>
    </row>
    <row r="665">
      <c r="A665" s="39" t="n"/>
      <c r="B665" s="26" t="n"/>
      <c r="C665" s="26" t="n"/>
      <c r="D665" s="40" t="n"/>
      <c r="E665" s="29" t="n"/>
      <c r="F665" s="29" t="n"/>
      <c r="G665" s="29" t="n"/>
      <c r="H665" s="28">
        <f>IF(B665="","",IF(B665="קנייה",-(D665*E665+G665),IF(B665="מכירה",D665*E665-G665,IF(B665="דיבידנד",F665-G665,IF(B665="הפקדה",F665-G665,IF(B665="משיכה",-F665-G665,-G665))))))</f>
        <v/>
      </c>
      <c r="I665" s="28">
        <f>IF(B665="קנייה",D665*E665+G665,0)</f>
        <v/>
      </c>
      <c r="J665" s="41">
        <f>IF(B665="מכירה",D665*E665-G665-D665*IFERROR(SUMIFS($I$5:I665,$C$5:C665,C665)/SUMIFS($D$5:D665,$C$5:C665,C665,$B$5:B665,"קנייה"),0),0)</f>
        <v/>
      </c>
      <c r="K665" s="26" t="n"/>
    </row>
    <row r="666">
      <c r="A666" s="39" t="n"/>
      <c r="B666" s="26" t="n"/>
      <c r="C666" s="26" t="n"/>
      <c r="D666" s="40" t="n"/>
      <c r="E666" s="29" t="n"/>
      <c r="F666" s="29" t="n"/>
      <c r="G666" s="29" t="n"/>
      <c r="H666" s="28">
        <f>IF(B666="","",IF(B666="קנייה",-(D666*E666+G666),IF(B666="מכירה",D666*E666-G666,IF(B666="דיבידנד",F666-G666,IF(B666="הפקדה",F666-G666,IF(B666="משיכה",-F666-G666,-G666))))))</f>
        <v/>
      </c>
      <c r="I666" s="28">
        <f>IF(B666="קנייה",D666*E666+G666,0)</f>
        <v/>
      </c>
      <c r="J666" s="41">
        <f>IF(B666="מכירה",D666*E666-G666-D666*IFERROR(SUMIFS($I$5:I666,$C$5:C666,C666)/SUMIFS($D$5:D666,$C$5:C666,C666,$B$5:B666,"קנייה"),0),0)</f>
        <v/>
      </c>
      <c r="K666" s="26" t="n"/>
    </row>
    <row r="667">
      <c r="A667" s="39" t="n"/>
      <c r="B667" s="26" t="n"/>
      <c r="C667" s="26" t="n"/>
      <c r="D667" s="40" t="n"/>
      <c r="E667" s="29" t="n"/>
      <c r="F667" s="29" t="n"/>
      <c r="G667" s="29" t="n"/>
      <c r="H667" s="28">
        <f>IF(B667="","",IF(B667="קנייה",-(D667*E667+G667),IF(B667="מכירה",D667*E667-G667,IF(B667="דיבידנד",F667-G667,IF(B667="הפקדה",F667-G667,IF(B667="משיכה",-F667-G667,-G667))))))</f>
        <v/>
      </c>
      <c r="I667" s="28">
        <f>IF(B667="קנייה",D667*E667+G667,0)</f>
        <v/>
      </c>
      <c r="J667" s="41">
        <f>IF(B667="מכירה",D667*E667-G667-D667*IFERROR(SUMIFS($I$5:I667,$C$5:C667,C667)/SUMIFS($D$5:D667,$C$5:C667,C667,$B$5:B667,"קנייה"),0),0)</f>
        <v/>
      </c>
      <c r="K667" s="26" t="n"/>
    </row>
    <row r="668">
      <c r="A668" s="39" t="n"/>
      <c r="B668" s="26" t="n"/>
      <c r="C668" s="26" t="n"/>
      <c r="D668" s="40" t="n"/>
      <c r="E668" s="29" t="n"/>
      <c r="F668" s="29" t="n"/>
      <c r="G668" s="29" t="n"/>
      <c r="H668" s="28">
        <f>IF(B668="","",IF(B668="קנייה",-(D668*E668+G668),IF(B668="מכירה",D668*E668-G668,IF(B668="דיבידנד",F668-G668,IF(B668="הפקדה",F668-G668,IF(B668="משיכה",-F668-G668,-G668))))))</f>
        <v/>
      </c>
      <c r="I668" s="28">
        <f>IF(B668="קנייה",D668*E668+G668,0)</f>
        <v/>
      </c>
      <c r="J668" s="41">
        <f>IF(B668="מכירה",D668*E668-G668-D668*IFERROR(SUMIFS($I$5:I668,$C$5:C668,C668)/SUMIFS($D$5:D668,$C$5:C668,C668,$B$5:B668,"קנייה"),0),0)</f>
        <v/>
      </c>
      <c r="K668" s="26" t="n"/>
    </row>
    <row r="669">
      <c r="A669" s="39" t="n"/>
      <c r="B669" s="26" t="n"/>
      <c r="C669" s="26" t="n"/>
      <c r="D669" s="40" t="n"/>
      <c r="E669" s="29" t="n"/>
      <c r="F669" s="29" t="n"/>
      <c r="G669" s="29" t="n"/>
      <c r="H669" s="28">
        <f>IF(B669="","",IF(B669="קנייה",-(D669*E669+G669),IF(B669="מכירה",D669*E669-G669,IF(B669="דיבידנד",F669-G669,IF(B669="הפקדה",F669-G669,IF(B669="משיכה",-F669-G669,-G669))))))</f>
        <v/>
      </c>
      <c r="I669" s="28">
        <f>IF(B669="קנייה",D669*E669+G669,0)</f>
        <v/>
      </c>
      <c r="J669" s="41">
        <f>IF(B669="מכירה",D669*E669-G669-D669*IFERROR(SUMIFS($I$5:I669,$C$5:C669,C669)/SUMIFS($D$5:D669,$C$5:C669,C669,$B$5:B669,"קנייה"),0),0)</f>
        <v/>
      </c>
      <c r="K669" s="26" t="n"/>
    </row>
    <row r="670">
      <c r="A670" s="39" t="n"/>
      <c r="B670" s="26" t="n"/>
      <c r="C670" s="26" t="n"/>
      <c r="D670" s="40" t="n"/>
      <c r="E670" s="29" t="n"/>
      <c r="F670" s="29" t="n"/>
      <c r="G670" s="29" t="n"/>
      <c r="H670" s="28">
        <f>IF(B670="","",IF(B670="קנייה",-(D670*E670+G670),IF(B670="מכירה",D670*E670-G670,IF(B670="דיבידנד",F670-G670,IF(B670="הפקדה",F670-G670,IF(B670="משיכה",-F670-G670,-G670))))))</f>
        <v/>
      </c>
      <c r="I670" s="28">
        <f>IF(B670="קנייה",D670*E670+G670,0)</f>
        <v/>
      </c>
      <c r="J670" s="41">
        <f>IF(B670="מכירה",D670*E670-G670-D670*IFERROR(SUMIFS($I$5:I670,$C$5:C670,C670)/SUMIFS($D$5:D670,$C$5:C670,C670,$B$5:B670,"קנייה"),0),0)</f>
        <v/>
      </c>
      <c r="K670" s="26" t="n"/>
    </row>
    <row r="671">
      <c r="A671" s="39" t="n"/>
      <c r="B671" s="26" t="n"/>
      <c r="C671" s="26" t="n"/>
      <c r="D671" s="40" t="n"/>
      <c r="E671" s="29" t="n"/>
      <c r="F671" s="29" t="n"/>
      <c r="G671" s="29" t="n"/>
      <c r="H671" s="28">
        <f>IF(B671="","",IF(B671="קנייה",-(D671*E671+G671),IF(B671="מכירה",D671*E671-G671,IF(B671="דיבידנד",F671-G671,IF(B671="הפקדה",F671-G671,IF(B671="משיכה",-F671-G671,-G671))))))</f>
        <v/>
      </c>
      <c r="I671" s="28">
        <f>IF(B671="קנייה",D671*E671+G671,0)</f>
        <v/>
      </c>
      <c r="J671" s="41">
        <f>IF(B671="מכירה",D671*E671-G671-D671*IFERROR(SUMIFS($I$5:I671,$C$5:C671,C671)/SUMIFS($D$5:D671,$C$5:C671,C671,$B$5:B671,"קנייה"),0),0)</f>
        <v/>
      </c>
      <c r="K671" s="26" t="n"/>
    </row>
    <row r="672">
      <c r="A672" s="39" t="n"/>
      <c r="B672" s="26" t="n"/>
      <c r="C672" s="26" t="n"/>
      <c r="D672" s="40" t="n"/>
      <c r="E672" s="29" t="n"/>
      <c r="F672" s="29" t="n"/>
      <c r="G672" s="29" t="n"/>
      <c r="H672" s="28">
        <f>IF(B672="","",IF(B672="קנייה",-(D672*E672+G672),IF(B672="מכירה",D672*E672-G672,IF(B672="דיבידנד",F672-G672,IF(B672="הפקדה",F672-G672,IF(B672="משיכה",-F672-G672,-G672))))))</f>
        <v/>
      </c>
      <c r="I672" s="28">
        <f>IF(B672="קנייה",D672*E672+G672,0)</f>
        <v/>
      </c>
      <c r="J672" s="41">
        <f>IF(B672="מכירה",D672*E672-G672-D672*IFERROR(SUMIFS($I$5:I672,$C$5:C672,C672)/SUMIFS($D$5:D672,$C$5:C672,C672,$B$5:B672,"קנייה"),0),0)</f>
        <v/>
      </c>
      <c r="K672" s="26" t="n"/>
    </row>
    <row r="673">
      <c r="A673" s="39" t="n"/>
      <c r="B673" s="26" t="n"/>
      <c r="C673" s="26" t="n"/>
      <c r="D673" s="40" t="n"/>
      <c r="E673" s="29" t="n"/>
      <c r="F673" s="29" t="n"/>
      <c r="G673" s="29" t="n"/>
      <c r="H673" s="28">
        <f>IF(B673="","",IF(B673="קנייה",-(D673*E673+G673),IF(B673="מכירה",D673*E673-G673,IF(B673="דיבידנד",F673-G673,IF(B673="הפקדה",F673-G673,IF(B673="משיכה",-F673-G673,-G673))))))</f>
        <v/>
      </c>
      <c r="I673" s="28">
        <f>IF(B673="קנייה",D673*E673+G673,0)</f>
        <v/>
      </c>
      <c r="J673" s="41">
        <f>IF(B673="מכירה",D673*E673-G673-D673*IFERROR(SUMIFS($I$5:I673,$C$5:C673,C673)/SUMIFS($D$5:D673,$C$5:C673,C673,$B$5:B673,"קנייה"),0),0)</f>
        <v/>
      </c>
      <c r="K673" s="26" t="n"/>
    </row>
    <row r="674">
      <c r="A674" s="39" t="n"/>
      <c r="B674" s="26" t="n"/>
      <c r="C674" s="26" t="n"/>
      <c r="D674" s="40" t="n"/>
      <c r="E674" s="29" t="n"/>
      <c r="F674" s="29" t="n"/>
      <c r="G674" s="29" t="n"/>
      <c r="H674" s="28">
        <f>IF(B674="","",IF(B674="קנייה",-(D674*E674+G674),IF(B674="מכירה",D674*E674-G674,IF(B674="דיבידנד",F674-G674,IF(B674="הפקדה",F674-G674,IF(B674="משיכה",-F674-G674,-G674))))))</f>
        <v/>
      </c>
      <c r="I674" s="28">
        <f>IF(B674="קנייה",D674*E674+G674,0)</f>
        <v/>
      </c>
      <c r="J674" s="41">
        <f>IF(B674="מכירה",D674*E674-G674-D674*IFERROR(SUMIFS($I$5:I674,$C$5:C674,C674)/SUMIFS($D$5:D674,$C$5:C674,C674,$B$5:B674,"קנייה"),0),0)</f>
        <v/>
      </c>
      <c r="K674" s="26" t="n"/>
    </row>
    <row r="675">
      <c r="A675" s="39" t="n"/>
      <c r="B675" s="26" t="n"/>
      <c r="C675" s="26" t="n"/>
      <c r="D675" s="40" t="n"/>
      <c r="E675" s="29" t="n"/>
      <c r="F675" s="29" t="n"/>
      <c r="G675" s="29" t="n"/>
      <c r="H675" s="28">
        <f>IF(B675="","",IF(B675="קנייה",-(D675*E675+G675),IF(B675="מכירה",D675*E675-G675,IF(B675="דיבידנד",F675-G675,IF(B675="הפקדה",F675-G675,IF(B675="משיכה",-F675-G675,-G675))))))</f>
        <v/>
      </c>
      <c r="I675" s="28">
        <f>IF(B675="קנייה",D675*E675+G675,0)</f>
        <v/>
      </c>
      <c r="J675" s="41">
        <f>IF(B675="מכירה",D675*E675-G675-D675*IFERROR(SUMIFS($I$5:I675,$C$5:C675,C675)/SUMIFS($D$5:D675,$C$5:C675,C675,$B$5:B675,"קנייה"),0),0)</f>
        <v/>
      </c>
      <c r="K675" s="26" t="n"/>
    </row>
    <row r="676">
      <c r="A676" s="39" t="n"/>
      <c r="B676" s="26" t="n"/>
      <c r="C676" s="26" t="n"/>
      <c r="D676" s="40" t="n"/>
      <c r="E676" s="29" t="n"/>
      <c r="F676" s="29" t="n"/>
      <c r="G676" s="29" t="n"/>
      <c r="H676" s="28">
        <f>IF(B676="","",IF(B676="קנייה",-(D676*E676+G676),IF(B676="מכירה",D676*E676-G676,IF(B676="דיבידנד",F676-G676,IF(B676="הפקדה",F676-G676,IF(B676="משיכה",-F676-G676,-G676))))))</f>
        <v/>
      </c>
      <c r="I676" s="28">
        <f>IF(B676="קנייה",D676*E676+G676,0)</f>
        <v/>
      </c>
      <c r="J676" s="41">
        <f>IF(B676="מכירה",D676*E676-G676-D676*IFERROR(SUMIFS($I$5:I676,$C$5:C676,C676)/SUMIFS($D$5:D676,$C$5:C676,C676,$B$5:B676,"קנייה"),0),0)</f>
        <v/>
      </c>
      <c r="K676" s="26" t="n"/>
    </row>
    <row r="677">
      <c r="A677" s="39" t="n"/>
      <c r="B677" s="26" t="n"/>
      <c r="C677" s="26" t="n"/>
      <c r="D677" s="40" t="n"/>
      <c r="E677" s="29" t="n"/>
      <c r="F677" s="29" t="n"/>
      <c r="G677" s="29" t="n"/>
      <c r="H677" s="28">
        <f>IF(B677="","",IF(B677="קנייה",-(D677*E677+G677),IF(B677="מכירה",D677*E677-G677,IF(B677="דיבידנד",F677-G677,IF(B677="הפקדה",F677-G677,IF(B677="משיכה",-F677-G677,-G677))))))</f>
        <v/>
      </c>
      <c r="I677" s="28">
        <f>IF(B677="קנייה",D677*E677+G677,0)</f>
        <v/>
      </c>
      <c r="J677" s="41">
        <f>IF(B677="מכירה",D677*E677-G677-D677*IFERROR(SUMIFS($I$5:I677,$C$5:C677,C677)/SUMIFS($D$5:D677,$C$5:C677,C677,$B$5:B677,"קנייה"),0),0)</f>
        <v/>
      </c>
      <c r="K677" s="26" t="n"/>
    </row>
    <row r="678">
      <c r="A678" s="39" t="n"/>
      <c r="B678" s="26" t="n"/>
      <c r="C678" s="26" t="n"/>
      <c r="D678" s="40" t="n"/>
      <c r="E678" s="29" t="n"/>
      <c r="F678" s="29" t="n"/>
      <c r="G678" s="29" t="n"/>
      <c r="H678" s="28">
        <f>IF(B678="","",IF(B678="קנייה",-(D678*E678+G678),IF(B678="מכירה",D678*E678-G678,IF(B678="דיבידנד",F678-G678,IF(B678="הפקדה",F678-G678,IF(B678="משיכה",-F678-G678,-G678))))))</f>
        <v/>
      </c>
      <c r="I678" s="28">
        <f>IF(B678="קנייה",D678*E678+G678,0)</f>
        <v/>
      </c>
      <c r="J678" s="41">
        <f>IF(B678="מכירה",D678*E678-G678-D678*IFERROR(SUMIFS($I$5:I678,$C$5:C678,C678)/SUMIFS($D$5:D678,$C$5:C678,C678,$B$5:B678,"קנייה"),0),0)</f>
        <v/>
      </c>
      <c r="K678" s="26" t="n"/>
    </row>
    <row r="679">
      <c r="A679" s="39" t="n"/>
      <c r="B679" s="26" t="n"/>
      <c r="C679" s="26" t="n"/>
      <c r="D679" s="40" t="n"/>
      <c r="E679" s="29" t="n"/>
      <c r="F679" s="29" t="n"/>
      <c r="G679" s="29" t="n"/>
      <c r="H679" s="28">
        <f>IF(B679="","",IF(B679="קנייה",-(D679*E679+G679),IF(B679="מכירה",D679*E679-G679,IF(B679="דיבידנד",F679-G679,IF(B679="הפקדה",F679-G679,IF(B679="משיכה",-F679-G679,-G679))))))</f>
        <v/>
      </c>
      <c r="I679" s="28">
        <f>IF(B679="קנייה",D679*E679+G679,0)</f>
        <v/>
      </c>
      <c r="J679" s="41">
        <f>IF(B679="מכירה",D679*E679-G679-D679*IFERROR(SUMIFS($I$5:I679,$C$5:C679,C679)/SUMIFS($D$5:D679,$C$5:C679,C679,$B$5:B679,"קנייה"),0),0)</f>
        <v/>
      </c>
      <c r="K679" s="26" t="n"/>
    </row>
    <row r="680">
      <c r="A680" s="39" t="n"/>
      <c r="B680" s="26" t="n"/>
      <c r="C680" s="26" t="n"/>
      <c r="D680" s="40" t="n"/>
      <c r="E680" s="29" t="n"/>
      <c r="F680" s="29" t="n"/>
      <c r="G680" s="29" t="n"/>
      <c r="H680" s="28">
        <f>IF(B680="","",IF(B680="קנייה",-(D680*E680+G680),IF(B680="מכירה",D680*E680-G680,IF(B680="דיבידנד",F680-G680,IF(B680="הפקדה",F680-G680,IF(B680="משיכה",-F680-G680,-G680))))))</f>
        <v/>
      </c>
      <c r="I680" s="28">
        <f>IF(B680="קנייה",D680*E680+G680,0)</f>
        <v/>
      </c>
      <c r="J680" s="41">
        <f>IF(B680="מכירה",D680*E680-G680-D680*IFERROR(SUMIFS($I$5:I680,$C$5:C680,C680)/SUMIFS($D$5:D680,$C$5:C680,C680,$B$5:B680,"קנייה"),0),0)</f>
        <v/>
      </c>
      <c r="K680" s="26" t="n"/>
    </row>
    <row r="681">
      <c r="A681" s="39" t="n"/>
      <c r="B681" s="26" t="n"/>
      <c r="C681" s="26" t="n"/>
      <c r="D681" s="40" t="n"/>
      <c r="E681" s="29" t="n"/>
      <c r="F681" s="29" t="n"/>
      <c r="G681" s="29" t="n"/>
      <c r="H681" s="28">
        <f>IF(B681="","",IF(B681="קנייה",-(D681*E681+G681),IF(B681="מכירה",D681*E681-G681,IF(B681="דיבידנד",F681-G681,IF(B681="הפקדה",F681-G681,IF(B681="משיכה",-F681-G681,-G681))))))</f>
        <v/>
      </c>
      <c r="I681" s="28">
        <f>IF(B681="קנייה",D681*E681+G681,0)</f>
        <v/>
      </c>
      <c r="J681" s="41">
        <f>IF(B681="מכירה",D681*E681-G681-D681*IFERROR(SUMIFS($I$5:I681,$C$5:C681,C681)/SUMIFS($D$5:D681,$C$5:C681,C681,$B$5:B681,"קנייה"),0),0)</f>
        <v/>
      </c>
      <c r="K681" s="26" t="n"/>
    </row>
    <row r="682">
      <c r="A682" s="39" t="n"/>
      <c r="B682" s="26" t="n"/>
      <c r="C682" s="26" t="n"/>
      <c r="D682" s="40" t="n"/>
      <c r="E682" s="29" t="n"/>
      <c r="F682" s="29" t="n"/>
      <c r="G682" s="29" t="n"/>
      <c r="H682" s="28">
        <f>IF(B682="","",IF(B682="קנייה",-(D682*E682+G682),IF(B682="מכירה",D682*E682-G682,IF(B682="דיבידנד",F682-G682,IF(B682="הפקדה",F682-G682,IF(B682="משיכה",-F682-G682,-G682))))))</f>
        <v/>
      </c>
      <c r="I682" s="28">
        <f>IF(B682="קנייה",D682*E682+G682,0)</f>
        <v/>
      </c>
      <c r="J682" s="41">
        <f>IF(B682="מכירה",D682*E682-G682-D682*IFERROR(SUMIFS($I$5:I682,$C$5:C682,C682)/SUMIFS($D$5:D682,$C$5:C682,C682,$B$5:B682,"קנייה"),0),0)</f>
        <v/>
      </c>
      <c r="K682" s="26" t="n"/>
    </row>
    <row r="683">
      <c r="A683" s="39" t="n"/>
      <c r="B683" s="26" t="n"/>
      <c r="C683" s="26" t="n"/>
      <c r="D683" s="40" t="n"/>
      <c r="E683" s="29" t="n"/>
      <c r="F683" s="29" t="n"/>
      <c r="G683" s="29" t="n"/>
      <c r="H683" s="28">
        <f>IF(B683="","",IF(B683="קנייה",-(D683*E683+G683),IF(B683="מכירה",D683*E683-G683,IF(B683="דיבידנד",F683-G683,IF(B683="הפקדה",F683-G683,IF(B683="משיכה",-F683-G683,-G683))))))</f>
        <v/>
      </c>
      <c r="I683" s="28">
        <f>IF(B683="קנייה",D683*E683+G683,0)</f>
        <v/>
      </c>
      <c r="J683" s="41">
        <f>IF(B683="מכירה",D683*E683-G683-D683*IFERROR(SUMIFS($I$5:I683,$C$5:C683,C683)/SUMIFS($D$5:D683,$C$5:C683,C683,$B$5:B683,"קנייה"),0),0)</f>
        <v/>
      </c>
      <c r="K683" s="26" t="n"/>
    </row>
    <row r="684">
      <c r="A684" s="39" t="n"/>
      <c r="B684" s="26" t="n"/>
      <c r="C684" s="26" t="n"/>
      <c r="D684" s="40" t="n"/>
      <c r="E684" s="29" t="n"/>
      <c r="F684" s="29" t="n"/>
      <c r="G684" s="29" t="n"/>
      <c r="H684" s="28">
        <f>IF(B684="","",IF(B684="קנייה",-(D684*E684+G684),IF(B684="מכירה",D684*E684-G684,IF(B684="דיבידנד",F684-G684,IF(B684="הפקדה",F684-G684,IF(B684="משיכה",-F684-G684,-G684))))))</f>
        <v/>
      </c>
      <c r="I684" s="28">
        <f>IF(B684="קנייה",D684*E684+G684,0)</f>
        <v/>
      </c>
      <c r="J684" s="41">
        <f>IF(B684="מכירה",D684*E684-G684-D684*IFERROR(SUMIFS($I$5:I684,$C$5:C684,C684)/SUMIFS($D$5:D684,$C$5:C684,C684,$B$5:B684,"קנייה"),0),0)</f>
        <v/>
      </c>
      <c r="K684" s="26" t="n"/>
    </row>
    <row r="685">
      <c r="A685" s="39" t="n"/>
      <c r="B685" s="26" t="n"/>
      <c r="C685" s="26" t="n"/>
      <c r="D685" s="40" t="n"/>
      <c r="E685" s="29" t="n"/>
      <c r="F685" s="29" t="n"/>
      <c r="G685" s="29" t="n"/>
      <c r="H685" s="28">
        <f>IF(B685="","",IF(B685="קנייה",-(D685*E685+G685),IF(B685="מכירה",D685*E685-G685,IF(B685="דיבידנד",F685-G685,IF(B685="הפקדה",F685-G685,IF(B685="משיכה",-F685-G685,-G685))))))</f>
        <v/>
      </c>
      <c r="I685" s="28">
        <f>IF(B685="קנייה",D685*E685+G685,0)</f>
        <v/>
      </c>
      <c r="J685" s="41">
        <f>IF(B685="מכירה",D685*E685-G685-D685*IFERROR(SUMIFS($I$5:I685,$C$5:C685,C685)/SUMIFS($D$5:D685,$C$5:C685,C685,$B$5:B685,"קנייה"),0),0)</f>
        <v/>
      </c>
      <c r="K685" s="26" t="n"/>
    </row>
    <row r="686">
      <c r="A686" s="39" t="n"/>
      <c r="B686" s="26" t="n"/>
      <c r="C686" s="26" t="n"/>
      <c r="D686" s="40" t="n"/>
      <c r="E686" s="29" t="n"/>
      <c r="F686" s="29" t="n"/>
      <c r="G686" s="29" t="n"/>
      <c r="H686" s="28">
        <f>IF(B686="","",IF(B686="קנייה",-(D686*E686+G686),IF(B686="מכירה",D686*E686-G686,IF(B686="דיבידנד",F686-G686,IF(B686="הפקדה",F686-G686,IF(B686="משיכה",-F686-G686,-G686))))))</f>
        <v/>
      </c>
      <c r="I686" s="28">
        <f>IF(B686="קנייה",D686*E686+G686,0)</f>
        <v/>
      </c>
      <c r="J686" s="41">
        <f>IF(B686="מכירה",D686*E686-G686-D686*IFERROR(SUMIFS($I$5:I686,$C$5:C686,C686)/SUMIFS($D$5:D686,$C$5:C686,C686,$B$5:B686,"קנייה"),0),0)</f>
        <v/>
      </c>
      <c r="K686" s="26" t="n"/>
    </row>
    <row r="687">
      <c r="A687" s="39" t="n"/>
      <c r="B687" s="26" t="n"/>
      <c r="C687" s="26" t="n"/>
      <c r="D687" s="40" t="n"/>
      <c r="E687" s="29" t="n"/>
      <c r="F687" s="29" t="n"/>
      <c r="G687" s="29" t="n"/>
      <c r="H687" s="28">
        <f>IF(B687="","",IF(B687="קנייה",-(D687*E687+G687),IF(B687="מכירה",D687*E687-G687,IF(B687="דיבידנד",F687-G687,IF(B687="הפקדה",F687-G687,IF(B687="משיכה",-F687-G687,-G687))))))</f>
        <v/>
      </c>
      <c r="I687" s="28">
        <f>IF(B687="קנייה",D687*E687+G687,0)</f>
        <v/>
      </c>
      <c r="J687" s="41">
        <f>IF(B687="מכירה",D687*E687-G687-D687*IFERROR(SUMIFS($I$5:I687,$C$5:C687,C687)/SUMIFS($D$5:D687,$C$5:C687,C687,$B$5:B687,"קנייה"),0),0)</f>
        <v/>
      </c>
      <c r="K687" s="26" t="n"/>
    </row>
    <row r="688">
      <c r="A688" s="39" t="n"/>
      <c r="B688" s="26" t="n"/>
      <c r="C688" s="26" t="n"/>
      <c r="D688" s="40" t="n"/>
      <c r="E688" s="29" t="n"/>
      <c r="F688" s="29" t="n"/>
      <c r="G688" s="29" t="n"/>
      <c r="H688" s="28">
        <f>IF(B688="","",IF(B688="קנייה",-(D688*E688+G688),IF(B688="מכירה",D688*E688-G688,IF(B688="דיבידנד",F688-G688,IF(B688="הפקדה",F688-G688,IF(B688="משיכה",-F688-G688,-G688))))))</f>
        <v/>
      </c>
      <c r="I688" s="28">
        <f>IF(B688="קנייה",D688*E688+G688,0)</f>
        <v/>
      </c>
      <c r="J688" s="41">
        <f>IF(B688="מכירה",D688*E688-G688-D688*IFERROR(SUMIFS($I$5:I688,$C$5:C688,C688)/SUMIFS($D$5:D688,$C$5:C688,C688,$B$5:B688,"קנייה"),0),0)</f>
        <v/>
      </c>
      <c r="K688" s="26" t="n"/>
    </row>
    <row r="689">
      <c r="A689" s="39" t="n"/>
      <c r="B689" s="26" t="n"/>
      <c r="C689" s="26" t="n"/>
      <c r="D689" s="40" t="n"/>
      <c r="E689" s="29" t="n"/>
      <c r="F689" s="29" t="n"/>
      <c r="G689" s="29" t="n"/>
      <c r="H689" s="28">
        <f>IF(B689="","",IF(B689="קנייה",-(D689*E689+G689),IF(B689="מכירה",D689*E689-G689,IF(B689="דיבידנד",F689-G689,IF(B689="הפקדה",F689-G689,IF(B689="משיכה",-F689-G689,-G689))))))</f>
        <v/>
      </c>
      <c r="I689" s="28">
        <f>IF(B689="קנייה",D689*E689+G689,0)</f>
        <v/>
      </c>
      <c r="J689" s="41">
        <f>IF(B689="מכירה",D689*E689-G689-D689*IFERROR(SUMIFS($I$5:I689,$C$5:C689,C689)/SUMIFS($D$5:D689,$C$5:C689,C689,$B$5:B689,"קנייה"),0),0)</f>
        <v/>
      </c>
      <c r="K689" s="26" t="n"/>
    </row>
    <row r="690">
      <c r="A690" s="39" t="n"/>
      <c r="B690" s="26" t="n"/>
      <c r="C690" s="26" t="n"/>
      <c r="D690" s="40" t="n"/>
      <c r="E690" s="29" t="n"/>
      <c r="F690" s="29" t="n"/>
      <c r="G690" s="29" t="n"/>
      <c r="H690" s="28">
        <f>IF(B690="","",IF(B690="קנייה",-(D690*E690+G690),IF(B690="מכירה",D690*E690-G690,IF(B690="דיבידנד",F690-G690,IF(B690="הפקדה",F690-G690,IF(B690="משיכה",-F690-G690,-G690))))))</f>
        <v/>
      </c>
      <c r="I690" s="28">
        <f>IF(B690="קנייה",D690*E690+G690,0)</f>
        <v/>
      </c>
      <c r="J690" s="41">
        <f>IF(B690="מכירה",D690*E690-G690-D690*IFERROR(SUMIFS($I$5:I690,$C$5:C690,C690)/SUMIFS($D$5:D690,$C$5:C690,C690,$B$5:B690,"קנייה"),0),0)</f>
        <v/>
      </c>
      <c r="K690" s="26" t="n"/>
    </row>
    <row r="691">
      <c r="A691" s="39" t="n"/>
      <c r="B691" s="26" t="n"/>
      <c r="C691" s="26" t="n"/>
      <c r="D691" s="40" t="n"/>
      <c r="E691" s="29" t="n"/>
      <c r="F691" s="29" t="n"/>
      <c r="G691" s="29" t="n"/>
      <c r="H691" s="28">
        <f>IF(B691="","",IF(B691="קנייה",-(D691*E691+G691),IF(B691="מכירה",D691*E691-G691,IF(B691="דיבידנד",F691-G691,IF(B691="הפקדה",F691-G691,IF(B691="משיכה",-F691-G691,-G691))))))</f>
        <v/>
      </c>
      <c r="I691" s="28">
        <f>IF(B691="קנייה",D691*E691+G691,0)</f>
        <v/>
      </c>
      <c r="J691" s="41">
        <f>IF(B691="מכירה",D691*E691-G691-D691*IFERROR(SUMIFS($I$5:I691,$C$5:C691,C691)/SUMIFS($D$5:D691,$C$5:C691,C691,$B$5:B691,"קנייה"),0),0)</f>
        <v/>
      </c>
      <c r="K691" s="26" t="n"/>
    </row>
    <row r="692">
      <c r="A692" s="39" t="n"/>
      <c r="B692" s="26" t="n"/>
      <c r="C692" s="26" t="n"/>
      <c r="D692" s="40" t="n"/>
      <c r="E692" s="29" t="n"/>
      <c r="F692" s="29" t="n"/>
      <c r="G692" s="29" t="n"/>
      <c r="H692" s="28">
        <f>IF(B692="","",IF(B692="קנייה",-(D692*E692+G692),IF(B692="מכירה",D692*E692-G692,IF(B692="דיבידנד",F692-G692,IF(B692="הפקדה",F692-G692,IF(B692="משיכה",-F692-G692,-G692))))))</f>
        <v/>
      </c>
      <c r="I692" s="28">
        <f>IF(B692="קנייה",D692*E692+G692,0)</f>
        <v/>
      </c>
      <c r="J692" s="41">
        <f>IF(B692="מכירה",D692*E692-G692-D692*IFERROR(SUMIFS($I$5:I692,$C$5:C692,C692)/SUMIFS($D$5:D692,$C$5:C692,C692,$B$5:B692,"קנייה"),0),0)</f>
        <v/>
      </c>
      <c r="K692" s="26" t="n"/>
    </row>
    <row r="693">
      <c r="A693" s="39" t="n"/>
      <c r="B693" s="26" t="n"/>
      <c r="C693" s="26" t="n"/>
      <c r="D693" s="40" t="n"/>
      <c r="E693" s="29" t="n"/>
      <c r="F693" s="29" t="n"/>
      <c r="G693" s="29" t="n"/>
      <c r="H693" s="28">
        <f>IF(B693="","",IF(B693="קנייה",-(D693*E693+G693),IF(B693="מכירה",D693*E693-G693,IF(B693="דיבידנד",F693-G693,IF(B693="הפקדה",F693-G693,IF(B693="משיכה",-F693-G693,-G693))))))</f>
        <v/>
      </c>
      <c r="I693" s="28">
        <f>IF(B693="קנייה",D693*E693+G693,0)</f>
        <v/>
      </c>
      <c r="J693" s="41">
        <f>IF(B693="מכירה",D693*E693-G693-D693*IFERROR(SUMIFS($I$5:I693,$C$5:C693,C693)/SUMIFS($D$5:D693,$C$5:C693,C693,$B$5:B693,"קנייה"),0),0)</f>
        <v/>
      </c>
      <c r="K693" s="26" t="n"/>
    </row>
    <row r="694">
      <c r="A694" s="39" t="n"/>
      <c r="B694" s="26" t="n"/>
      <c r="C694" s="26" t="n"/>
      <c r="D694" s="40" t="n"/>
      <c r="E694" s="29" t="n"/>
      <c r="F694" s="29" t="n"/>
      <c r="G694" s="29" t="n"/>
      <c r="H694" s="28">
        <f>IF(B694="","",IF(B694="קנייה",-(D694*E694+G694),IF(B694="מכירה",D694*E694-G694,IF(B694="דיבידנד",F694-G694,IF(B694="הפקדה",F694-G694,IF(B694="משיכה",-F694-G694,-G694))))))</f>
        <v/>
      </c>
      <c r="I694" s="28">
        <f>IF(B694="קנייה",D694*E694+G694,0)</f>
        <v/>
      </c>
      <c r="J694" s="41">
        <f>IF(B694="מכירה",D694*E694-G694-D694*IFERROR(SUMIFS($I$5:I694,$C$5:C694,C694)/SUMIFS($D$5:D694,$C$5:C694,C694,$B$5:B694,"קנייה"),0),0)</f>
        <v/>
      </c>
      <c r="K694" s="26" t="n"/>
    </row>
    <row r="695">
      <c r="A695" s="39" t="n"/>
      <c r="B695" s="26" t="n"/>
      <c r="C695" s="26" t="n"/>
      <c r="D695" s="40" t="n"/>
      <c r="E695" s="29" t="n"/>
      <c r="F695" s="29" t="n"/>
      <c r="G695" s="29" t="n"/>
      <c r="H695" s="28">
        <f>IF(B695="","",IF(B695="קנייה",-(D695*E695+G695),IF(B695="מכירה",D695*E695-G695,IF(B695="דיבידנד",F695-G695,IF(B695="הפקדה",F695-G695,IF(B695="משיכה",-F695-G695,-G695))))))</f>
        <v/>
      </c>
      <c r="I695" s="28">
        <f>IF(B695="קנייה",D695*E695+G695,0)</f>
        <v/>
      </c>
      <c r="J695" s="41">
        <f>IF(B695="מכירה",D695*E695-G695-D695*IFERROR(SUMIFS($I$5:I695,$C$5:C695,C695)/SUMIFS($D$5:D695,$C$5:C695,C695,$B$5:B695,"קנייה"),0),0)</f>
        <v/>
      </c>
      <c r="K695" s="26" t="n"/>
    </row>
    <row r="696">
      <c r="A696" s="39" t="n"/>
      <c r="B696" s="26" t="n"/>
      <c r="C696" s="26" t="n"/>
      <c r="D696" s="40" t="n"/>
      <c r="E696" s="29" t="n"/>
      <c r="F696" s="29" t="n"/>
      <c r="G696" s="29" t="n"/>
      <c r="H696" s="28">
        <f>IF(B696="","",IF(B696="קנייה",-(D696*E696+G696),IF(B696="מכירה",D696*E696-G696,IF(B696="דיבידנד",F696-G696,IF(B696="הפקדה",F696-G696,IF(B696="משיכה",-F696-G696,-G696))))))</f>
        <v/>
      </c>
      <c r="I696" s="28">
        <f>IF(B696="קנייה",D696*E696+G696,0)</f>
        <v/>
      </c>
      <c r="J696" s="41">
        <f>IF(B696="מכירה",D696*E696-G696-D696*IFERROR(SUMIFS($I$5:I696,$C$5:C696,C696)/SUMIFS($D$5:D696,$C$5:C696,C696,$B$5:B696,"קנייה"),0),0)</f>
        <v/>
      </c>
      <c r="K696" s="26" t="n"/>
    </row>
    <row r="697">
      <c r="A697" s="39" t="n"/>
      <c r="B697" s="26" t="n"/>
      <c r="C697" s="26" t="n"/>
      <c r="D697" s="40" t="n"/>
      <c r="E697" s="29" t="n"/>
      <c r="F697" s="29" t="n"/>
      <c r="G697" s="29" t="n"/>
      <c r="H697" s="28">
        <f>IF(B697="","",IF(B697="קנייה",-(D697*E697+G697),IF(B697="מכירה",D697*E697-G697,IF(B697="דיבידנד",F697-G697,IF(B697="הפקדה",F697-G697,IF(B697="משיכה",-F697-G697,-G697))))))</f>
        <v/>
      </c>
      <c r="I697" s="28">
        <f>IF(B697="קנייה",D697*E697+G697,0)</f>
        <v/>
      </c>
      <c r="J697" s="41">
        <f>IF(B697="מכירה",D697*E697-G697-D697*IFERROR(SUMIFS($I$5:I697,$C$5:C697,C697)/SUMIFS($D$5:D697,$C$5:C697,C697,$B$5:B697,"קנייה"),0),0)</f>
        <v/>
      </c>
      <c r="K697" s="26" t="n"/>
    </row>
    <row r="698">
      <c r="A698" s="39" t="n"/>
      <c r="B698" s="26" t="n"/>
      <c r="C698" s="26" t="n"/>
      <c r="D698" s="40" t="n"/>
      <c r="E698" s="29" t="n"/>
      <c r="F698" s="29" t="n"/>
      <c r="G698" s="29" t="n"/>
      <c r="H698" s="28">
        <f>IF(B698="","",IF(B698="קנייה",-(D698*E698+G698),IF(B698="מכירה",D698*E698-G698,IF(B698="דיבידנד",F698-G698,IF(B698="הפקדה",F698-G698,IF(B698="משיכה",-F698-G698,-G698))))))</f>
        <v/>
      </c>
      <c r="I698" s="28">
        <f>IF(B698="קנייה",D698*E698+G698,0)</f>
        <v/>
      </c>
      <c r="J698" s="41">
        <f>IF(B698="מכירה",D698*E698-G698-D698*IFERROR(SUMIFS($I$5:I698,$C$5:C698,C698)/SUMIFS($D$5:D698,$C$5:C698,C698,$B$5:B698,"קנייה"),0),0)</f>
        <v/>
      </c>
      <c r="K698" s="26" t="n"/>
    </row>
    <row r="699">
      <c r="A699" s="39" t="n"/>
      <c r="B699" s="26" t="n"/>
      <c r="C699" s="26" t="n"/>
      <c r="D699" s="40" t="n"/>
      <c r="E699" s="29" t="n"/>
      <c r="F699" s="29" t="n"/>
      <c r="G699" s="29" t="n"/>
      <c r="H699" s="28">
        <f>IF(B699="","",IF(B699="קנייה",-(D699*E699+G699),IF(B699="מכירה",D699*E699-G699,IF(B699="דיבידנד",F699-G699,IF(B699="הפקדה",F699-G699,IF(B699="משיכה",-F699-G699,-G699))))))</f>
        <v/>
      </c>
      <c r="I699" s="28">
        <f>IF(B699="קנייה",D699*E699+G699,0)</f>
        <v/>
      </c>
      <c r="J699" s="41">
        <f>IF(B699="מכירה",D699*E699-G699-D699*IFERROR(SUMIFS($I$5:I699,$C$5:C699,C699)/SUMIFS($D$5:D699,$C$5:C699,C699,$B$5:B699,"קנייה"),0),0)</f>
        <v/>
      </c>
      <c r="K699" s="26" t="n"/>
    </row>
    <row r="700">
      <c r="A700" s="39" t="n"/>
      <c r="B700" s="26" t="n"/>
      <c r="C700" s="26" t="n"/>
      <c r="D700" s="40" t="n"/>
      <c r="E700" s="29" t="n"/>
      <c r="F700" s="29" t="n"/>
      <c r="G700" s="29" t="n"/>
      <c r="H700" s="28">
        <f>IF(B700="","",IF(B700="קנייה",-(D700*E700+G700),IF(B700="מכירה",D700*E700-G700,IF(B700="דיבידנד",F700-G700,IF(B700="הפקדה",F700-G700,IF(B700="משיכה",-F700-G700,-G700))))))</f>
        <v/>
      </c>
      <c r="I700" s="28">
        <f>IF(B700="קנייה",D700*E700+G700,0)</f>
        <v/>
      </c>
      <c r="J700" s="41">
        <f>IF(B700="מכירה",D700*E700-G700-D700*IFERROR(SUMIFS($I$5:I700,$C$5:C700,C700)/SUMIFS($D$5:D700,$C$5:C700,C700,$B$5:B700,"קנייה"),0),0)</f>
        <v/>
      </c>
      <c r="K700" s="26" t="n"/>
    </row>
    <row r="701">
      <c r="A701" s="39" t="n"/>
      <c r="B701" s="26" t="n"/>
      <c r="C701" s="26" t="n"/>
      <c r="D701" s="40" t="n"/>
      <c r="E701" s="29" t="n"/>
      <c r="F701" s="29" t="n"/>
      <c r="G701" s="29" t="n"/>
      <c r="H701" s="28">
        <f>IF(B701="","",IF(B701="קנייה",-(D701*E701+G701),IF(B701="מכירה",D701*E701-G701,IF(B701="דיבידנד",F701-G701,IF(B701="הפקדה",F701-G701,IF(B701="משיכה",-F701-G701,-G701))))))</f>
        <v/>
      </c>
      <c r="I701" s="28">
        <f>IF(B701="קנייה",D701*E701+G701,0)</f>
        <v/>
      </c>
      <c r="J701" s="41">
        <f>IF(B701="מכירה",D701*E701-G701-D701*IFERROR(SUMIFS($I$5:I701,$C$5:C701,C701)/SUMIFS($D$5:D701,$C$5:C701,C701,$B$5:B701,"קנייה"),0),0)</f>
        <v/>
      </c>
      <c r="K701" s="26" t="n"/>
    </row>
    <row r="702">
      <c r="A702" s="39" t="n"/>
      <c r="B702" s="26" t="n"/>
      <c r="C702" s="26" t="n"/>
      <c r="D702" s="40" t="n"/>
      <c r="E702" s="29" t="n"/>
      <c r="F702" s="29" t="n"/>
      <c r="G702" s="29" t="n"/>
      <c r="H702" s="28">
        <f>IF(B702="","",IF(B702="קנייה",-(D702*E702+G702),IF(B702="מכירה",D702*E702-G702,IF(B702="דיבידנד",F702-G702,IF(B702="הפקדה",F702-G702,IF(B702="משיכה",-F702-G702,-G702))))))</f>
        <v/>
      </c>
      <c r="I702" s="28">
        <f>IF(B702="קנייה",D702*E702+G702,0)</f>
        <v/>
      </c>
      <c r="J702" s="41">
        <f>IF(B702="מכירה",D702*E702-G702-D702*IFERROR(SUMIFS($I$5:I702,$C$5:C702,C702)/SUMIFS($D$5:D702,$C$5:C702,C702,$B$5:B702,"קנייה"),0),0)</f>
        <v/>
      </c>
      <c r="K702" s="26" t="n"/>
    </row>
    <row r="703">
      <c r="A703" s="39" t="n"/>
      <c r="B703" s="26" t="n"/>
      <c r="C703" s="26" t="n"/>
      <c r="D703" s="40" t="n"/>
      <c r="E703" s="29" t="n"/>
      <c r="F703" s="29" t="n"/>
      <c r="G703" s="29" t="n"/>
      <c r="H703" s="28">
        <f>IF(B703="","",IF(B703="קנייה",-(D703*E703+G703),IF(B703="מכירה",D703*E703-G703,IF(B703="דיבידנד",F703-G703,IF(B703="הפקדה",F703-G703,IF(B703="משיכה",-F703-G703,-G703))))))</f>
        <v/>
      </c>
      <c r="I703" s="28">
        <f>IF(B703="קנייה",D703*E703+G703,0)</f>
        <v/>
      </c>
      <c r="J703" s="41">
        <f>IF(B703="מכירה",D703*E703-G703-D703*IFERROR(SUMIFS($I$5:I703,$C$5:C703,C703)/SUMIFS($D$5:D703,$C$5:C703,C703,$B$5:B703,"קנייה"),0),0)</f>
        <v/>
      </c>
      <c r="K703" s="26" t="n"/>
    </row>
    <row r="704">
      <c r="A704" s="39" t="n"/>
      <c r="B704" s="26" t="n"/>
      <c r="C704" s="26" t="n"/>
      <c r="D704" s="40" t="n"/>
      <c r="E704" s="29" t="n"/>
      <c r="F704" s="29" t="n"/>
      <c r="G704" s="29" t="n"/>
      <c r="H704" s="28">
        <f>IF(B704="","",IF(B704="קנייה",-(D704*E704+G704),IF(B704="מכירה",D704*E704-G704,IF(B704="דיבידנד",F704-G704,IF(B704="הפקדה",F704-G704,IF(B704="משיכה",-F704-G704,-G704))))))</f>
        <v/>
      </c>
      <c r="I704" s="28">
        <f>IF(B704="קנייה",D704*E704+G704,0)</f>
        <v/>
      </c>
      <c r="J704" s="41">
        <f>IF(B704="מכירה",D704*E704-G704-D704*IFERROR(SUMIFS($I$5:I704,$C$5:C704,C704)/SUMIFS($D$5:D704,$C$5:C704,C704,$B$5:B704,"קנייה"),0),0)</f>
        <v/>
      </c>
      <c r="K704" s="26" t="n"/>
    </row>
    <row r="705">
      <c r="A705" s="39" t="n"/>
      <c r="B705" s="26" t="n"/>
      <c r="C705" s="26" t="n"/>
      <c r="D705" s="40" t="n"/>
      <c r="E705" s="29" t="n"/>
      <c r="F705" s="29" t="n"/>
      <c r="G705" s="29" t="n"/>
      <c r="H705" s="28">
        <f>IF(B705="","",IF(B705="קנייה",-(D705*E705+G705),IF(B705="מכירה",D705*E705-G705,IF(B705="דיבידנד",F705-G705,IF(B705="הפקדה",F705-G705,IF(B705="משיכה",-F705-G705,-G705))))))</f>
        <v/>
      </c>
      <c r="I705" s="28">
        <f>IF(B705="קנייה",D705*E705+G705,0)</f>
        <v/>
      </c>
      <c r="J705" s="41">
        <f>IF(B705="מכירה",D705*E705-G705-D705*IFERROR(SUMIFS($I$5:I705,$C$5:C705,C705)/SUMIFS($D$5:D705,$C$5:C705,C705,$B$5:B705,"קנייה"),0),0)</f>
        <v/>
      </c>
      <c r="K705" s="26" t="n"/>
    </row>
    <row r="706">
      <c r="A706" s="39" t="n"/>
      <c r="B706" s="26" t="n"/>
      <c r="C706" s="26" t="n"/>
      <c r="D706" s="40" t="n"/>
      <c r="E706" s="29" t="n"/>
      <c r="F706" s="29" t="n"/>
      <c r="G706" s="29" t="n"/>
      <c r="H706" s="28">
        <f>IF(B706="","",IF(B706="קנייה",-(D706*E706+G706),IF(B706="מכירה",D706*E706-G706,IF(B706="דיבידנד",F706-G706,IF(B706="הפקדה",F706-G706,IF(B706="משיכה",-F706-G706,-G706))))))</f>
        <v/>
      </c>
      <c r="I706" s="28">
        <f>IF(B706="קנייה",D706*E706+G706,0)</f>
        <v/>
      </c>
      <c r="J706" s="41">
        <f>IF(B706="מכירה",D706*E706-G706-D706*IFERROR(SUMIFS($I$5:I706,$C$5:C706,C706)/SUMIFS($D$5:D706,$C$5:C706,C706,$B$5:B706,"קנייה"),0),0)</f>
        <v/>
      </c>
      <c r="K706" s="26" t="n"/>
    </row>
    <row r="707">
      <c r="A707" s="39" t="n"/>
      <c r="B707" s="26" t="n"/>
      <c r="C707" s="26" t="n"/>
      <c r="D707" s="40" t="n"/>
      <c r="E707" s="29" t="n"/>
      <c r="F707" s="29" t="n"/>
      <c r="G707" s="29" t="n"/>
      <c r="H707" s="28">
        <f>IF(B707="","",IF(B707="קנייה",-(D707*E707+G707),IF(B707="מכירה",D707*E707-G707,IF(B707="דיבידנד",F707-G707,IF(B707="הפקדה",F707-G707,IF(B707="משיכה",-F707-G707,-G707))))))</f>
        <v/>
      </c>
      <c r="I707" s="28">
        <f>IF(B707="קנייה",D707*E707+G707,0)</f>
        <v/>
      </c>
      <c r="J707" s="41">
        <f>IF(B707="מכירה",D707*E707-G707-D707*IFERROR(SUMIFS($I$5:I707,$C$5:C707,C707)/SUMIFS($D$5:D707,$C$5:C707,C707,$B$5:B707,"קנייה"),0),0)</f>
        <v/>
      </c>
      <c r="K707" s="26" t="n"/>
    </row>
    <row r="708">
      <c r="A708" s="39" t="n"/>
      <c r="B708" s="26" t="n"/>
      <c r="C708" s="26" t="n"/>
      <c r="D708" s="40" t="n"/>
      <c r="E708" s="29" t="n"/>
      <c r="F708" s="29" t="n"/>
      <c r="G708" s="29" t="n"/>
      <c r="H708" s="28">
        <f>IF(B708="","",IF(B708="קנייה",-(D708*E708+G708),IF(B708="מכירה",D708*E708-G708,IF(B708="דיבידנד",F708-G708,IF(B708="הפקדה",F708-G708,IF(B708="משיכה",-F708-G708,-G708))))))</f>
        <v/>
      </c>
      <c r="I708" s="28">
        <f>IF(B708="קנייה",D708*E708+G708,0)</f>
        <v/>
      </c>
      <c r="J708" s="41">
        <f>IF(B708="מכירה",D708*E708-G708-D708*IFERROR(SUMIFS($I$5:I708,$C$5:C708,C708)/SUMIFS($D$5:D708,$C$5:C708,C708,$B$5:B708,"קנייה"),0),0)</f>
        <v/>
      </c>
      <c r="K708" s="26" t="n"/>
    </row>
    <row r="709">
      <c r="A709" s="39" t="n"/>
      <c r="B709" s="26" t="n"/>
      <c r="C709" s="26" t="n"/>
      <c r="D709" s="40" t="n"/>
      <c r="E709" s="29" t="n"/>
      <c r="F709" s="29" t="n"/>
      <c r="G709" s="29" t="n"/>
      <c r="H709" s="28">
        <f>IF(B709="","",IF(B709="קנייה",-(D709*E709+G709),IF(B709="מכירה",D709*E709-G709,IF(B709="דיבידנד",F709-G709,IF(B709="הפקדה",F709-G709,IF(B709="משיכה",-F709-G709,-G709))))))</f>
        <v/>
      </c>
      <c r="I709" s="28">
        <f>IF(B709="קנייה",D709*E709+G709,0)</f>
        <v/>
      </c>
      <c r="J709" s="41">
        <f>IF(B709="מכירה",D709*E709-G709-D709*IFERROR(SUMIFS($I$5:I709,$C$5:C709,C709)/SUMIFS($D$5:D709,$C$5:C709,C709,$B$5:B709,"קנייה"),0),0)</f>
        <v/>
      </c>
      <c r="K709" s="26" t="n"/>
    </row>
    <row r="710">
      <c r="A710" s="39" t="n"/>
      <c r="B710" s="26" t="n"/>
      <c r="C710" s="26" t="n"/>
      <c r="D710" s="40" t="n"/>
      <c r="E710" s="29" t="n"/>
      <c r="F710" s="29" t="n"/>
      <c r="G710" s="29" t="n"/>
      <c r="H710" s="28">
        <f>IF(B710="","",IF(B710="קנייה",-(D710*E710+G710),IF(B710="מכירה",D710*E710-G710,IF(B710="דיבידנד",F710-G710,IF(B710="הפקדה",F710-G710,IF(B710="משיכה",-F710-G710,-G710))))))</f>
        <v/>
      </c>
      <c r="I710" s="28">
        <f>IF(B710="קנייה",D710*E710+G710,0)</f>
        <v/>
      </c>
      <c r="J710" s="41">
        <f>IF(B710="מכירה",D710*E710-G710-D710*IFERROR(SUMIFS($I$5:I710,$C$5:C710,C710)/SUMIFS($D$5:D710,$C$5:C710,C710,$B$5:B710,"קנייה"),0),0)</f>
        <v/>
      </c>
      <c r="K710" s="26" t="n"/>
    </row>
    <row r="711">
      <c r="A711" s="39" t="n"/>
      <c r="B711" s="26" t="n"/>
      <c r="C711" s="26" t="n"/>
      <c r="D711" s="40" t="n"/>
      <c r="E711" s="29" t="n"/>
      <c r="F711" s="29" t="n"/>
      <c r="G711" s="29" t="n"/>
      <c r="H711" s="28">
        <f>IF(B711="","",IF(B711="קנייה",-(D711*E711+G711),IF(B711="מכירה",D711*E711-G711,IF(B711="דיבידנד",F711-G711,IF(B711="הפקדה",F711-G711,IF(B711="משיכה",-F711-G711,-G711))))))</f>
        <v/>
      </c>
      <c r="I711" s="28">
        <f>IF(B711="קנייה",D711*E711+G711,0)</f>
        <v/>
      </c>
      <c r="J711" s="41">
        <f>IF(B711="מכירה",D711*E711-G711-D711*IFERROR(SUMIFS($I$5:I711,$C$5:C711,C711)/SUMIFS($D$5:D711,$C$5:C711,C711,$B$5:B711,"קנייה"),0),0)</f>
        <v/>
      </c>
      <c r="K711" s="26" t="n"/>
    </row>
    <row r="712">
      <c r="A712" s="39" t="n"/>
      <c r="B712" s="26" t="n"/>
      <c r="C712" s="26" t="n"/>
      <c r="D712" s="40" t="n"/>
      <c r="E712" s="29" t="n"/>
      <c r="F712" s="29" t="n"/>
      <c r="G712" s="29" t="n"/>
      <c r="H712" s="28">
        <f>IF(B712="","",IF(B712="קנייה",-(D712*E712+G712),IF(B712="מכירה",D712*E712-G712,IF(B712="דיבידנד",F712-G712,IF(B712="הפקדה",F712-G712,IF(B712="משיכה",-F712-G712,-G712))))))</f>
        <v/>
      </c>
      <c r="I712" s="28">
        <f>IF(B712="קנייה",D712*E712+G712,0)</f>
        <v/>
      </c>
      <c r="J712" s="41">
        <f>IF(B712="מכירה",D712*E712-G712-D712*IFERROR(SUMIFS($I$5:I712,$C$5:C712,C712)/SUMIFS($D$5:D712,$C$5:C712,C712,$B$5:B712,"קנייה"),0),0)</f>
        <v/>
      </c>
      <c r="K712" s="26" t="n"/>
    </row>
    <row r="713">
      <c r="A713" s="39" t="n"/>
      <c r="B713" s="26" t="n"/>
      <c r="C713" s="26" t="n"/>
      <c r="D713" s="40" t="n"/>
      <c r="E713" s="29" t="n"/>
      <c r="F713" s="29" t="n"/>
      <c r="G713" s="29" t="n"/>
      <c r="H713" s="28">
        <f>IF(B713="","",IF(B713="קנייה",-(D713*E713+G713),IF(B713="מכירה",D713*E713-G713,IF(B713="דיבידנד",F713-G713,IF(B713="הפקדה",F713-G713,IF(B713="משיכה",-F713-G713,-G713))))))</f>
        <v/>
      </c>
      <c r="I713" s="28">
        <f>IF(B713="קנייה",D713*E713+G713,0)</f>
        <v/>
      </c>
      <c r="J713" s="41">
        <f>IF(B713="מכירה",D713*E713-G713-D713*IFERROR(SUMIFS($I$5:I713,$C$5:C713,C713)/SUMIFS($D$5:D713,$C$5:C713,C713,$B$5:B713,"קנייה"),0),0)</f>
        <v/>
      </c>
      <c r="K713" s="26" t="n"/>
    </row>
    <row r="714">
      <c r="A714" s="39" t="n"/>
      <c r="B714" s="26" t="n"/>
      <c r="C714" s="26" t="n"/>
      <c r="D714" s="40" t="n"/>
      <c r="E714" s="29" t="n"/>
      <c r="F714" s="29" t="n"/>
      <c r="G714" s="29" t="n"/>
      <c r="H714" s="28">
        <f>IF(B714="","",IF(B714="קנייה",-(D714*E714+G714),IF(B714="מכירה",D714*E714-G714,IF(B714="דיבידנד",F714-G714,IF(B714="הפקדה",F714-G714,IF(B714="משיכה",-F714-G714,-G714))))))</f>
        <v/>
      </c>
      <c r="I714" s="28">
        <f>IF(B714="קנייה",D714*E714+G714,0)</f>
        <v/>
      </c>
      <c r="J714" s="41">
        <f>IF(B714="מכירה",D714*E714-G714-D714*IFERROR(SUMIFS($I$5:I714,$C$5:C714,C714)/SUMIFS($D$5:D714,$C$5:C714,C714,$B$5:B714,"קנייה"),0),0)</f>
        <v/>
      </c>
      <c r="K714" s="26" t="n"/>
    </row>
    <row r="715">
      <c r="A715" s="39" t="n"/>
      <c r="B715" s="26" t="n"/>
      <c r="C715" s="26" t="n"/>
      <c r="D715" s="40" t="n"/>
      <c r="E715" s="29" t="n"/>
      <c r="F715" s="29" t="n"/>
      <c r="G715" s="29" t="n"/>
      <c r="H715" s="28">
        <f>IF(B715="","",IF(B715="קנייה",-(D715*E715+G715),IF(B715="מכירה",D715*E715-G715,IF(B715="דיבידנד",F715-G715,IF(B715="הפקדה",F715-G715,IF(B715="משיכה",-F715-G715,-G715))))))</f>
        <v/>
      </c>
      <c r="I715" s="28">
        <f>IF(B715="קנייה",D715*E715+G715,0)</f>
        <v/>
      </c>
      <c r="J715" s="41">
        <f>IF(B715="מכירה",D715*E715-G715-D715*IFERROR(SUMIFS($I$5:I715,$C$5:C715,C715)/SUMIFS($D$5:D715,$C$5:C715,C715,$B$5:B715,"קנייה"),0),0)</f>
        <v/>
      </c>
      <c r="K715" s="26" t="n"/>
    </row>
    <row r="716">
      <c r="A716" s="39" t="n"/>
      <c r="B716" s="26" t="n"/>
      <c r="C716" s="26" t="n"/>
      <c r="D716" s="40" t="n"/>
      <c r="E716" s="29" t="n"/>
      <c r="F716" s="29" t="n"/>
      <c r="G716" s="29" t="n"/>
      <c r="H716" s="28">
        <f>IF(B716="","",IF(B716="קנייה",-(D716*E716+G716),IF(B716="מכירה",D716*E716-G716,IF(B716="דיבידנד",F716-G716,IF(B716="הפקדה",F716-G716,IF(B716="משיכה",-F716-G716,-G716))))))</f>
        <v/>
      </c>
      <c r="I716" s="28">
        <f>IF(B716="קנייה",D716*E716+G716,0)</f>
        <v/>
      </c>
      <c r="J716" s="41">
        <f>IF(B716="מכירה",D716*E716-G716-D716*IFERROR(SUMIFS($I$5:I716,$C$5:C716,C716)/SUMIFS($D$5:D716,$C$5:C716,C716,$B$5:B716,"קנייה"),0),0)</f>
        <v/>
      </c>
      <c r="K716" s="26" t="n"/>
    </row>
    <row r="717">
      <c r="A717" s="39" t="n"/>
      <c r="B717" s="26" t="n"/>
      <c r="C717" s="26" t="n"/>
      <c r="D717" s="40" t="n"/>
      <c r="E717" s="29" t="n"/>
      <c r="F717" s="29" t="n"/>
      <c r="G717" s="29" t="n"/>
      <c r="H717" s="28">
        <f>IF(B717="","",IF(B717="קנייה",-(D717*E717+G717),IF(B717="מכירה",D717*E717-G717,IF(B717="דיבידנד",F717-G717,IF(B717="הפקדה",F717-G717,IF(B717="משיכה",-F717-G717,-G717))))))</f>
        <v/>
      </c>
      <c r="I717" s="28">
        <f>IF(B717="קנייה",D717*E717+G717,0)</f>
        <v/>
      </c>
      <c r="J717" s="41">
        <f>IF(B717="מכירה",D717*E717-G717-D717*IFERROR(SUMIFS($I$5:I717,$C$5:C717,C717)/SUMIFS($D$5:D717,$C$5:C717,C717,$B$5:B717,"קנייה"),0),0)</f>
        <v/>
      </c>
      <c r="K717" s="26" t="n"/>
    </row>
    <row r="718">
      <c r="A718" s="39" t="n"/>
      <c r="B718" s="26" t="n"/>
      <c r="C718" s="26" t="n"/>
      <c r="D718" s="40" t="n"/>
      <c r="E718" s="29" t="n"/>
      <c r="F718" s="29" t="n"/>
      <c r="G718" s="29" t="n"/>
      <c r="H718" s="28">
        <f>IF(B718="","",IF(B718="קנייה",-(D718*E718+G718),IF(B718="מכירה",D718*E718-G718,IF(B718="דיבידנד",F718-G718,IF(B718="הפקדה",F718-G718,IF(B718="משיכה",-F718-G718,-G718))))))</f>
        <v/>
      </c>
      <c r="I718" s="28">
        <f>IF(B718="קנייה",D718*E718+G718,0)</f>
        <v/>
      </c>
      <c r="J718" s="41">
        <f>IF(B718="מכירה",D718*E718-G718-D718*IFERROR(SUMIFS($I$5:I718,$C$5:C718,C718)/SUMIFS($D$5:D718,$C$5:C718,C718,$B$5:B718,"קנייה"),0),0)</f>
        <v/>
      </c>
      <c r="K718" s="26" t="n"/>
    </row>
    <row r="719">
      <c r="A719" s="39" t="n"/>
      <c r="B719" s="26" t="n"/>
      <c r="C719" s="26" t="n"/>
      <c r="D719" s="40" t="n"/>
      <c r="E719" s="29" t="n"/>
      <c r="F719" s="29" t="n"/>
      <c r="G719" s="29" t="n"/>
      <c r="H719" s="28">
        <f>IF(B719="","",IF(B719="קנייה",-(D719*E719+G719),IF(B719="מכירה",D719*E719-G719,IF(B719="דיבידנד",F719-G719,IF(B719="הפקדה",F719-G719,IF(B719="משיכה",-F719-G719,-G719))))))</f>
        <v/>
      </c>
      <c r="I719" s="28">
        <f>IF(B719="קנייה",D719*E719+G719,0)</f>
        <v/>
      </c>
      <c r="J719" s="41">
        <f>IF(B719="מכירה",D719*E719-G719-D719*IFERROR(SUMIFS($I$5:I719,$C$5:C719,C719)/SUMIFS($D$5:D719,$C$5:C719,C719,$B$5:B719,"קנייה"),0),0)</f>
        <v/>
      </c>
      <c r="K719" s="26" t="n"/>
    </row>
    <row r="720">
      <c r="A720" s="39" t="n"/>
      <c r="B720" s="26" t="n"/>
      <c r="C720" s="26" t="n"/>
      <c r="D720" s="40" t="n"/>
      <c r="E720" s="29" t="n"/>
      <c r="F720" s="29" t="n"/>
      <c r="G720" s="29" t="n"/>
      <c r="H720" s="28">
        <f>IF(B720="","",IF(B720="קנייה",-(D720*E720+G720),IF(B720="מכירה",D720*E720-G720,IF(B720="דיבידנד",F720-G720,IF(B720="הפקדה",F720-G720,IF(B720="משיכה",-F720-G720,-G720))))))</f>
        <v/>
      </c>
      <c r="I720" s="28">
        <f>IF(B720="קנייה",D720*E720+G720,0)</f>
        <v/>
      </c>
      <c r="J720" s="41">
        <f>IF(B720="מכירה",D720*E720-G720-D720*IFERROR(SUMIFS($I$5:I720,$C$5:C720,C720)/SUMIFS($D$5:D720,$C$5:C720,C720,$B$5:B720,"קנייה"),0),0)</f>
        <v/>
      </c>
      <c r="K720" s="26" t="n"/>
    </row>
    <row r="721">
      <c r="A721" s="39" t="n"/>
      <c r="B721" s="26" t="n"/>
      <c r="C721" s="26" t="n"/>
      <c r="D721" s="40" t="n"/>
      <c r="E721" s="29" t="n"/>
      <c r="F721" s="29" t="n"/>
      <c r="G721" s="29" t="n"/>
      <c r="H721" s="28">
        <f>IF(B721="","",IF(B721="קנייה",-(D721*E721+G721),IF(B721="מכירה",D721*E721-G721,IF(B721="דיבידנד",F721-G721,IF(B721="הפקדה",F721-G721,IF(B721="משיכה",-F721-G721,-G721))))))</f>
        <v/>
      </c>
      <c r="I721" s="28">
        <f>IF(B721="קנייה",D721*E721+G721,0)</f>
        <v/>
      </c>
      <c r="J721" s="41">
        <f>IF(B721="מכירה",D721*E721-G721-D721*IFERROR(SUMIFS($I$5:I721,$C$5:C721,C721)/SUMIFS($D$5:D721,$C$5:C721,C721,$B$5:B721,"קנייה"),0),0)</f>
        <v/>
      </c>
      <c r="K721" s="26" t="n"/>
    </row>
    <row r="722">
      <c r="A722" s="39" t="n"/>
      <c r="B722" s="26" t="n"/>
      <c r="C722" s="26" t="n"/>
      <c r="D722" s="40" t="n"/>
      <c r="E722" s="29" t="n"/>
      <c r="F722" s="29" t="n"/>
      <c r="G722" s="29" t="n"/>
      <c r="H722" s="28">
        <f>IF(B722="","",IF(B722="קנייה",-(D722*E722+G722),IF(B722="מכירה",D722*E722-G722,IF(B722="דיבידנד",F722-G722,IF(B722="הפקדה",F722-G722,IF(B722="משיכה",-F722-G722,-G722))))))</f>
        <v/>
      </c>
      <c r="I722" s="28">
        <f>IF(B722="קנייה",D722*E722+G722,0)</f>
        <v/>
      </c>
      <c r="J722" s="41">
        <f>IF(B722="מכירה",D722*E722-G722-D722*IFERROR(SUMIFS($I$5:I722,$C$5:C722,C722)/SUMIFS($D$5:D722,$C$5:C722,C722,$B$5:B722,"קנייה"),0),0)</f>
        <v/>
      </c>
      <c r="K722" s="26" t="n"/>
    </row>
    <row r="723">
      <c r="A723" s="39" t="n"/>
      <c r="B723" s="26" t="n"/>
      <c r="C723" s="26" t="n"/>
      <c r="D723" s="40" t="n"/>
      <c r="E723" s="29" t="n"/>
      <c r="F723" s="29" t="n"/>
      <c r="G723" s="29" t="n"/>
      <c r="H723" s="28">
        <f>IF(B723="","",IF(B723="קנייה",-(D723*E723+G723),IF(B723="מכירה",D723*E723-G723,IF(B723="דיבידנד",F723-G723,IF(B723="הפקדה",F723-G723,IF(B723="משיכה",-F723-G723,-G723))))))</f>
        <v/>
      </c>
      <c r="I723" s="28">
        <f>IF(B723="קנייה",D723*E723+G723,0)</f>
        <v/>
      </c>
      <c r="J723" s="41">
        <f>IF(B723="מכירה",D723*E723-G723-D723*IFERROR(SUMIFS($I$5:I723,$C$5:C723,C723)/SUMIFS($D$5:D723,$C$5:C723,C723,$B$5:B723,"קנייה"),0),0)</f>
        <v/>
      </c>
      <c r="K723" s="26" t="n"/>
    </row>
    <row r="724">
      <c r="A724" s="39" t="n"/>
      <c r="B724" s="26" t="n"/>
      <c r="C724" s="26" t="n"/>
      <c r="D724" s="40" t="n"/>
      <c r="E724" s="29" t="n"/>
      <c r="F724" s="29" t="n"/>
      <c r="G724" s="29" t="n"/>
      <c r="H724" s="28">
        <f>IF(B724="","",IF(B724="קנייה",-(D724*E724+G724),IF(B724="מכירה",D724*E724-G724,IF(B724="דיבידנד",F724-G724,IF(B724="הפקדה",F724-G724,IF(B724="משיכה",-F724-G724,-G724))))))</f>
        <v/>
      </c>
      <c r="I724" s="28">
        <f>IF(B724="קנייה",D724*E724+G724,0)</f>
        <v/>
      </c>
      <c r="J724" s="41">
        <f>IF(B724="מכירה",D724*E724-G724-D724*IFERROR(SUMIFS($I$5:I724,$C$5:C724,C724)/SUMIFS($D$5:D724,$C$5:C724,C724,$B$5:B724,"קנייה"),0),0)</f>
        <v/>
      </c>
      <c r="K724" s="26" t="n"/>
    </row>
    <row r="725">
      <c r="A725" s="39" t="n"/>
      <c r="B725" s="26" t="n"/>
      <c r="C725" s="26" t="n"/>
      <c r="D725" s="40" t="n"/>
      <c r="E725" s="29" t="n"/>
      <c r="F725" s="29" t="n"/>
      <c r="G725" s="29" t="n"/>
      <c r="H725" s="28">
        <f>IF(B725="","",IF(B725="קנייה",-(D725*E725+G725),IF(B725="מכירה",D725*E725-G725,IF(B725="דיבידנד",F725-G725,IF(B725="הפקדה",F725-G725,IF(B725="משיכה",-F725-G725,-G725))))))</f>
        <v/>
      </c>
      <c r="I725" s="28">
        <f>IF(B725="קנייה",D725*E725+G725,0)</f>
        <v/>
      </c>
      <c r="J725" s="41">
        <f>IF(B725="מכירה",D725*E725-G725-D725*IFERROR(SUMIFS($I$5:I725,$C$5:C725,C725)/SUMIFS($D$5:D725,$C$5:C725,C725,$B$5:B725,"קנייה"),0),0)</f>
        <v/>
      </c>
      <c r="K725" s="26" t="n"/>
    </row>
    <row r="726">
      <c r="A726" s="39" t="n"/>
      <c r="B726" s="26" t="n"/>
      <c r="C726" s="26" t="n"/>
      <c r="D726" s="40" t="n"/>
      <c r="E726" s="29" t="n"/>
      <c r="F726" s="29" t="n"/>
      <c r="G726" s="29" t="n"/>
      <c r="H726" s="28">
        <f>IF(B726="","",IF(B726="קנייה",-(D726*E726+G726),IF(B726="מכירה",D726*E726-G726,IF(B726="דיבידנד",F726-G726,IF(B726="הפקדה",F726-G726,IF(B726="משיכה",-F726-G726,-G726))))))</f>
        <v/>
      </c>
      <c r="I726" s="28">
        <f>IF(B726="קנייה",D726*E726+G726,0)</f>
        <v/>
      </c>
      <c r="J726" s="41">
        <f>IF(B726="מכירה",D726*E726-G726-D726*IFERROR(SUMIFS($I$5:I726,$C$5:C726,C726)/SUMIFS($D$5:D726,$C$5:C726,C726,$B$5:B726,"קנייה"),0),0)</f>
        <v/>
      </c>
      <c r="K726" s="26" t="n"/>
    </row>
    <row r="727">
      <c r="A727" s="39" t="n"/>
      <c r="B727" s="26" t="n"/>
      <c r="C727" s="26" t="n"/>
      <c r="D727" s="40" t="n"/>
      <c r="E727" s="29" t="n"/>
      <c r="F727" s="29" t="n"/>
      <c r="G727" s="29" t="n"/>
      <c r="H727" s="28">
        <f>IF(B727="","",IF(B727="קנייה",-(D727*E727+G727),IF(B727="מכירה",D727*E727-G727,IF(B727="דיבידנד",F727-G727,IF(B727="הפקדה",F727-G727,IF(B727="משיכה",-F727-G727,-G727))))))</f>
        <v/>
      </c>
      <c r="I727" s="28">
        <f>IF(B727="קנייה",D727*E727+G727,0)</f>
        <v/>
      </c>
      <c r="J727" s="41">
        <f>IF(B727="מכירה",D727*E727-G727-D727*IFERROR(SUMIFS($I$5:I727,$C$5:C727,C727)/SUMIFS($D$5:D727,$C$5:C727,C727,$B$5:B727,"קנייה"),0),0)</f>
        <v/>
      </c>
      <c r="K727" s="26" t="n"/>
    </row>
    <row r="728">
      <c r="A728" s="39" t="n"/>
      <c r="B728" s="26" t="n"/>
      <c r="C728" s="26" t="n"/>
      <c r="D728" s="40" t="n"/>
      <c r="E728" s="29" t="n"/>
      <c r="F728" s="29" t="n"/>
      <c r="G728" s="29" t="n"/>
      <c r="H728" s="28">
        <f>IF(B728="","",IF(B728="קנייה",-(D728*E728+G728),IF(B728="מכירה",D728*E728-G728,IF(B728="דיבידנד",F728-G728,IF(B728="הפקדה",F728-G728,IF(B728="משיכה",-F728-G728,-G728))))))</f>
        <v/>
      </c>
      <c r="I728" s="28">
        <f>IF(B728="קנייה",D728*E728+G728,0)</f>
        <v/>
      </c>
      <c r="J728" s="41">
        <f>IF(B728="מכירה",D728*E728-G728-D728*IFERROR(SUMIFS($I$5:I728,$C$5:C728,C728)/SUMIFS($D$5:D728,$C$5:C728,C728,$B$5:B728,"קנייה"),0),0)</f>
        <v/>
      </c>
      <c r="K728" s="26" t="n"/>
    </row>
    <row r="729">
      <c r="A729" s="39" t="n"/>
      <c r="B729" s="26" t="n"/>
      <c r="C729" s="26" t="n"/>
      <c r="D729" s="40" t="n"/>
      <c r="E729" s="29" t="n"/>
      <c r="F729" s="29" t="n"/>
      <c r="G729" s="29" t="n"/>
      <c r="H729" s="28">
        <f>IF(B729="","",IF(B729="קנייה",-(D729*E729+G729),IF(B729="מכירה",D729*E729-G729,IF(B729="דיבידנד",F729-G729,IF(B729="הפקדה",F729-G729,IF(B729="משיכה",-F729-G729,-G729))))))</f>
        <v/>
      </c>
      <c r="I729" s="28">
        <f>IF(B729="קנייה",D729*E729+G729,0)</f>
        <v/>
      </c>
      <c r="J729" s="41">
        <f>IF(B729="מכירה",D729*E729-G729-D729*IFERROR(SUMIFS($I$5:I729,$C$5:C729,C729)/SUMIFS($D$5:D729,$C$5:C729,C729,$B$5:B729,"קנייה"),0),0)</f>
        <v/>
      </c>
      <c r="K729" s="26" t="n"/>
    </row>
    <row r="730">
      <c r="A730" s="39" t="n"/>
      <c r="B730" s="26" t="n"/>
      <c r="C730" s="26" t="n"/>
      <c r="D730" s="40" t="n"/>
      <c r="E730" s="29" t="n"/>
      <c r="F730" s="29" t="n"/>
      <c r="G730" s="29" t="n"/>
      <c r="H730" s="28">
        <f>IF(B730="","",IF(B730="קנייה",-(D730*E730+G730),IF(B730="מכירה",D730*E730-G730,IF(B730="דיבידנד",F730-G730,IF(B730="הפקדה",F730-G730,IF(B730="משיכה",-F730-G730,-G730))))))</f>
        <v/>
      </c>
      <c r="I730" s="28">
        <f>IF(B730="קנייה",D730*E730+G730,0)</f>
        <v/>
      </c>
      <c r="J730" s="41">
        <f>IF(B730="מכירה",D730*E730-G730-D730*IFERROR(SUMIFS($I$5:I730,$C$5:C730,C730)/SUMIFS($D$5:D730,$C$5:C730,C730,$B$5:B730,"קנייה"),0),0)</f>
        <v/>
      </c>
      <c r="K730" s="26" t="n"/>
    </row>
    <row r="731">
      <c r="A731" s="39" t="n"/>
      <c r="B731" s="26" t="n"/>
      <c r="C731" s="26" t="n"/>
      <c r="D731" s="40" t="n"/>
      <c r="E731" s="29" t="n"/>
      <c r="F731" s="29" t="n"/>
      <c r="G731" s="29" t="n"/>
      <c r="H731" s="28">
        <f>IF(B731="","",IF(B731="קנייה",-(D731*E731+G731),IF(B731="מכירה",D731*E731-G731,IF(B731="דיבידנד",F731-G731,IF(B731="הפקדה",F731-G731,IF(B731="משיכה",-F731-G731,-G731))))))</f>
        <v/>
      </c>
      <c r="I731" s="28">
        <f>IF(B731="קנייה",D731*E731+G731,0)</f>
        <v/>
      </c>
      <c r="J731" s="41">
        <f>IF(B731="מכירה",D731*E731-G731-D731*IFERROR(SUMIFS($I$5:I731,$C$5:C731,C731)/SUMIFS($D$5:D731,$C$5:C731,C731,$B$5:B731,"קנייה"),0),0)</f>
        <v/>
      </c>
      <c r="K731" s="26" t="n"/>
    </row>
    <row r="732">
      <c r="A732" s="39" t="n"/>
      <c r="B732" s="26" t="n"/>
      <c r="C732" s="26" t="n"/>
      <c r="D732" s="40" t="n"/>
      <c r="E732" s="29" t="n"/>
      <c r="F732" s="29" t="n"/>
      <c r="G732" s="29" t="n"/>
      <c r="H732" s="28">
        <f>IF(B732="","",IF(B732="קנייה",-(D732*E732+G732),IF(B732="מכירה",D732*E732-G732,IF(B732="דיבידנד",F732-G732,IF(B732="הפקדה",F732-G732,IF(B732="משיכה",-F732-G732,-G732))))))</f>
        <v/>
      </c>
      <c r="I732" s="28">
        <f>IF(B732="קנייה",D732*E732+G732,0)</f>
        <v/>
      </c>
      <c r="J732" s="41">
        <f>IF(B732="מכירה",D732*E732-G732-D732*IFERROR(SUMIFS($I$5:I732,$C$5:C732,C732)/SUMIFS($D$5:D732,$C$5:C732,C732,$B$5:B732,"קנייה"),0),0)</f>
        <v/>
      </c>
      <c r="K732" s="26" t="n"/>
    </row>
    <row r="733">
      <c r="A733" s="39" t="n"/>
      <c r="B733" s="26" t="n"/>
      <c r="C733" s="26" t="n"/>
      <c r="D733" s="40" t="n"/>
      <c r="E733" s="29" t="n"/>
      <c r="F733" s="29" t="n"/>
      <c r="G733" s="29" t="n"/>
      <c r="H733" s="28">
        <f>IF(B733="","",IF(B733="קנייה",-(D733*E733+G733),IF(B733="מכירה",D733*E733-G733,IF(B733="דיבידנד",F733-G733,IF(B733="הפקדה",F733-G733,IF(B733="משיכה",-F733-G733,-G733))))))</f>
        <v/>
      </c>
      <c r="I733" s="28">
        <f>IF(B733="קנייה",D733*E733+G733,0)</f>
        <v/>
      </c>
      <c r="J733" s="41">
        <f>IF(B733="מכירה",D733*E733-G733-D733*IFERROR(SUMIFS($I$5:I733,$C$5:C733,C733)/SUMIFS($D$5:D733,$C$5:C733,C733,$B$5:B733,"קנייה"),0),0)</f>
        <v/>
      </c>
      <c r="K733" s="26" t="n"/>
    </row>
    <row r="734">
      <c r="A734" s="39" t="n"/>
      <c r="B734" s="26" t="n"/>
      <c r="C734" s="26" t="n"/>
      <c r="D734" s="40" t="n"/>
      <c r="E734" s="29" t="n"/>
      <c r="F734" s="29" t="n"/>
      <c r="G734" s="29" t="n"/>
      <c r="H734" s="28">
        <f>IF(B734="","",IF(B734="קנייה",-(D734*E734+G734),IF(B734="מכירה",D734*E734-G734,IF(B734="דיבידנד",F734-G734,IF(B734="הפקדה",F734-G734,IF(B734="משיכה",-F734-G734,-G734))))))</f>
        <v/>
      </c>
      <c r="I734" s="28">
        <f>IF(B734="קנייה",D734*E734+G734,0)</f>
        <v/>
      </c>
      <c r="J734" s="41">
        <f>IF(B734="מכירה",D734*E734-G734-D734*IFERROR(SUMIFS($I$5:I734,$C$5:C734,C734)/SUMIFS($D$5:D734,$C$5:C734,C734,$B$5:B734,"קנייה"),0),0)</f>
        <v/>
      </c>
      <c r="K734" s="26" t="n"/>
    </row>
    <row r="735">
      <c r="A735" s="39" t="n"/>
      <c r="B735" s="26" t="n"/>
      <c r="C735" s="26" t="n"/>
      <c r="D735" s="40" t="n"/>
      <c r="E735" s="29" t="n"/>
      <c r="F735" s="29" t="n"/>
      <c r="G735" s="29" t="n"/>
      <c r="H735" s="28">
        <f>IF(B735="","",IF(B735="קנייה",-(D735*E735+G735),IF(B735="מכירה",D735*E735-G735,IF(B735="דיבידנד",F735-G735,IF(B735="הפקדה",F735-G735,IF(B735="משיכה",-F735-G735,-G735))))))</f>
        <v/>
      </c>
      <c r="I735" s="28">
        <f>IF(B735="קנייה",D735*E735+G735,0)</f>
        <v/>
      </c>
      <c r="J735" s="41">
        <f>IF(B735="מכירה",D735*E735-G735-D735*IFERROR(SUMIFS($I$5:I735,$C$5:C735,C735)/SUMIFS($D$5:D735,$C$5:C735,C735,$B$5:B735,"קנייה"),0),0)</f>
        <v/>
      </c>
      <c r="K735" s="26" t="n"/>
    </row>
    <row r="736">
      <c r="A736" s="39" t="n"/>
      <c r="B736" s="26" t="n"/>
      <c r="C736" s="26" t="n"/>
      <c r="D736" s="40" t="n"/>
      <c r="E736" s="29" t="n"/>
      <c r="F736" s="29" t="n"/>
      <c r="G736" s="29" t="n"/>
      <c r="H736" s="28">
        <f>IF(B736="","",IF(B736="קנייה",-(D736*E736+G736),IF(B736="מכירה",D736*E736-G736,IF(B736="דיבידנד",F736-G736,IF(B736="הפקדה",F736-G736,IF(B736="משיכה",-F736-G736,-G736))))))</f>
        <v/>
      </c>
      <c r="I736" s="28">
        <f>IF(B736="קנייה",D736*E736+G736,0)</f>
        <v/>
      </c>
      <c r="J736" s="41">
        <f>IF(B736="מכירה",D736*E736-G736-D736*IFERROR(SUMIFS($I$5:I736,$C$5:C736,C736)/SUMIFS($D$5:D736,$C$5:C736,C736,$B$5:B736,"קנייה"),0),0)</f>
        <v/>
      </c>
      <c r="K736" s="26" t="n"/>
    </row>
    <row r="737">
      <c r="A737" s="39" t="n"/>
      <c r="B737" s="26" t="n"/>
      <c r="C737" s="26" t="n"/>
      <c r="D737" s="40" t="n"/>
      <c r="E737" s="29" t="n"/>
      <c r="F737" s="29" t="n"/>
      <c r="G737" s="29" t="n"/>
      <c r="H737" s="28">
        <f>IF(B737="","",IF(B737="קנייה",-(D737*E737+G737),IF(B737="מכירה",D737*E737-G737,IF(B737="דיבידנד",F737-G737,IF(B737="הפקדה",F737-G737,IF(B737="משיכה",-F737-G737,-G737))))))</f>
        <v/>
      </c>
      <c r="I737" s="28">
        <f>IF(B737="קנייה",D737*E737+G737,0)</f>
        <v/>
      </c>
      <c r="J737" s="41">
        <f>IF(B737="מכירה",D737*E737-G737-D737*IFERROR(SUMIFS($I$5:I737,$C$5:C737,C737)/SUMIFS($D$5:D737,$C$5:C737,C737,$B$5:B737,"קנייה"),0),0)</f>
        <v/>
      </c>
      <c r="K737" s="26" t="n"/>
    </row>
    <row r="738">
      <c r="A738" s="39" t="n"/>
      <c r="B738" s="26" t="n"/>
      <c r="C738" s="26" t="n"/>
      <c r="D738" s="40" t="n"/>
      <c r="E738" s="29" t="n"/>
      <c r="F738" s="29" t="n"/>
      <c r="G738" s="29" t="n"/>
      <c r="H738" s="28">
        <f>IF(B738="","",IF(B738="קנייה",-(D738*E738+G738),IF(B738="מכירה",D738*E738-G738,IF(B738="דיבידנד",F738-G738,IF(B738="הפקדה",F738-G738,IF(B738="משיכה",-F738-G738,-G738))))))</f>
        <v/>
      </c>
      <c r="I738" s="28">
        <f>IF(B738="קנייה",D738*E738+G738,0)</f>
        <v/>
      </c>
      <c r="J738" s="41">
        <f>IF(B738="מכירה",D738*E738-G738-D738*IFERROR(SUMIFS($I$5:I738,$C$5:C738,C738)/SUMIFS($D$5:D738,$C$5:C738,C738,$B$5:B738,"קנייה"),0),0)</f>
        <v/>
      </c>
      <c r="K738" s="26" t="n"/>
    </row>
    <row r="739">
      <c r="A739" s="39" t="n"/>
      <c r="B739" s="26" t="n"/>
      <c r="C739" s="26" t="n"/>
      <c r="D739" s="40" t="n"/>
      <c r="E739" s="29" t="n"/>
      <c r="F739" s="29" t="n"/>
      <c r="G739" s="29" t="n"/>
      <c r="H739" s="28">
        <f>IF(B739="","",IF(B739="קנייה",-(D739*E739+G739),IF(B739="מכירה",D739*E739-G739,IF(B739="דיבידנד",F739-G739,IF(B739="הפקדה",F739-G739,IF(B739="משיכה",-F739-G739,-G739))))))</f>
        <v/>
      </c>
      <c r="I739" s="28">
        <f>IF(B739="קנייה",D739*E739+G739,0)</f>
        <v/>
      </c>
      <c r="J739" s="41">
        <f>IF(B739="מכירה",D739*E739-G739-D739*IFERROR(SUMIFS($I$5:I739,$C$5:C739,C739)/SUMIFS($D$5:D739,$C$5:C739,C739,$B$5:B739,"קנייה"),0),0)</f>
        <v/>
      </c>
      <c r="K739" s="26" t="n"/>
    </row>
    <row r="740">
      <c r="A740" s="39" t="n"/>
      <c r="B740" s="26" t="n"/>
      <c r="C740" s="26" t="n"/>
      <c r="D740" s="40" t="n"/>
      <c r="E740" s="29" t="n"/>
      <c r="F740" s="29" t="n"/>
      <c r="G740" s="29" t="n"/>
      <c r="H740" s="28">
        <f>IF(B740="","",IF(B740="קנייה",-(D740*E740+G740),IF(B740="מכירה",D740*E740-G740,IF(B740="דיבידנד",F740-G740,IF(B740="הפקדה",F740-G740,IF(B740="משיכה",-F740-G740,-G740))))))</f>
        <v/>
      </c>
      <c r="I740" s="28">
        <f>IF(B740="קנייה",D740*E740+G740,0)</f>
        <v/>
      </c>
      <c r="J740" s="41">
        <f>IF(B740="מכירה",D740*E740-G740-D740*IFERROR(SUMIFS($I$5:I740,$C$5:C740,C740)/SUMIFS($D$5:D740,$C$5:C740,C740,$B$5:B740,"קנייה"),0),0)</f>
        <v/>
      </c>
      <c r="K740" s="26" t="n"/>
    </row>
    <row r="741">
      <c r="A741" s="39" t="n"/>
      <c r="B741" s="26" t="n"/>
      <c r="C741" s="26" t="n"/>
      <c r="D741" s="40" t="n"/>
      <c r="E741" s="29" t="n"/>
      <c r="F741" s="29" t="n"/>
      <c r="G741" s="29" t="n"/>
      <c r="H741" s="28">
        <f>IF(B741="","",IF(B741="קנייה",-(D741*E741+G741),IF(B741="מכירה",D741*E741-G741,IF(B741="דיבידנד",F741-G741,IF(B741="הפקדה",F741-G741,IF(B741="משיכה",-F741-G741,-G741))))))</f>
        <v/>
      </c>
      <c r="I741" s="28">
        <f>IF(B741="קנייה",D741*E741+G741,0)</f>
        <v/>
      </c>
      <c r="J741" s="41">
        <f>IF(B741="מכירה",D741*E741-G741-D741*IFERROR(SUMIFS($I$5:I741,$C$5:C741,C741)/SUMIFS($D$5:D741,$C$5:C741,C741,$B$5:B741,"קנייה"),0),0)</f>
        <v/>
      </c>
      <c r="K741" s="26" t="n"/>
    </row>
    <row r="742">
      <c r="A742" s="39" t="n"/>
      <c r="B742" s="26" t="n"/>
      <c r="C742" s="26" t="n"/>
      <c r="D742" s="40" t="n"/>
      <c r="E742" s="29" t="n"/>
      <c r="F742" s="29" t="n"/>
      <c r="G742" s="29" t="n"/>
      <c r="H742" s="28">
        <f>IF(B742="","",IF(B742="קנייה",-(D742*E742+G742),IF(B742="מכירה",D742*E742-G742,IF(B742="דיבידנד",F742-G742,IF(B742="הפקדה",F742-G742,IF(B742="משיכה",-F742-G742,-G742))))))</f>
        <v/>
      </c>
      <c r="I742" s="28">
        <f>IF(B742="קנייה",D742*E742+G742,0)</f>
        <v/>
      </c>
      <c r="J742" s="41">
        <f>IF(B742="מכירה",D742*E742-G742-D742*IFERROR(SUMIFS($I$5:I742,$C$5:C742,C742)/SUMIFS($D$5:D742,$C$5:C742,C742,$B$5:B742,"קנייה"),0),0)</f>
        <v/>
      </c>
      <c r="K742" s="26" t="n"/>
    </row>
    <row r="743">
      <c r="A743" s="39" t="n"/>
      <c r="B743" s="26" t="n"/>
      <c r="C743" s="26" t="n"/>
      <c r="D743" s="40" t="n"/>
      <c r="E743" s="29" t="n"/>
      <c r="F743" s="29" t="n"/>
      <c r="G743" s="29" t="n"/>
      <c r="H743" s="28">
        <f>IF(B743="","",IF(B743="קנייה",-(D743*E743+G743),IF(B743="מכירה",D743*E743-G743,IF(B743="דיבידנד",F743-G743,IF(B743="הפקדה",F743-G743,IF(B743="משיכה",-F743-G743,-G743))))))</f>
        <v/>
      </c>
      <c r="I743" s="28">
        <f>IF(B743="קנייה",D743*E743+G743,0)</f>
        <v/>
      </c>
      <c r="J743" s="41">
        <f>IF(B743="מכירה",D743*E743-G743-D743*IFERROR(SUMIFS($I$5:I743,$C$5:C743,C743)/SUMIFS($D$5:D743,$C$5:C743,C743,$B$5:B743,"קנייה"),0),0)</f>
        <v/>
      </c>
      <c r="K743" s="26" t="n"/>
    </row>
    <row r="744">
      <c r="A744" s="39" t="n"/>
      <c r="B744" s="26" t="n"/>
      <c r="C744" s="26" t="n"/>
      <c r="D744" s="40" t="n"/>
      <c r="E744" s="29" t="n"/>
      <c r="F744" s="29" t="n"/>
      <c r="G744" s="29" t="n"/>
      <c r="H744" s="28">
        <f>IF(B744="","",IF(B744="קנייה",-(D744*E744+G744),IF(B744="מכירה",D744*E744-G744,IF(B744="דיבידנד",F744-G744,IF(B744="הפקדה",F744-G744,IF(B744="משיכה",-F744-G744,-G744))))))</f>
        <v/>
      </c>
      <c r="I744" s="28">
        <f>IF(B744="קנייה",D744*E744+G744,0)</f>
        <v/>
      </c>
      <c r="J744" s="41">
        <f>IF(B744="מכירה",D744*E744-G744-D744*IFERROR(SUMIFS($I$5:I744,$C$5:C744,C744)/SUMIFS($D$5:D744,$C$5:C744,C744,$B$5:B744,"קנייה"),0),0)</f>
        <v/>
      </c>
      <c r="K744" s="26" t="n"/>
    </row>
    <row r="745">
      <c r="A745" s="39" t="n"/>
      <c r="B745" s="26" t="n"/>
      <c r="C745" s="26" t="n"/>
      <c r="D745" s="40" t="n"/>
      <c r="E745" s="29" t="n"/>
      <c r="F745" s="29" t="n"/>
      <c r="G745" s="29" t="n"/>
      <c r="H745" s="28">
        <f>IF(B745="","",IF(B745="קנייה",-(D745*E745+G745),IF(B745="מכירה",D745*E745-G745,IF(B745="דיבידנד",F745-G745,IF(B745="הפקדה",F745-G745,IF(B745="משיכה",-F745-G745,-G745))))))</f>
        <v/>
      </c>
      <c r="I745" s="28">
        <f>IF(B745="קנייה",D745*E745+G745,0)</f>
        <v/>
      </c>
      <c r="J745" s="41">
        <f>IF(B745="מכירה",D745*E745-G745-D745*IFERROR(SUMIFS($I$5:I745,$C$5:C745,C745)/SUMIFS($D$5:D745,$C$5:C745,C745,$B$5:B745,"קנייה"),0),0)</f>
        <v/>
      </c>
      <c r="K745" s="26" t="n"/>
    </row>
    <row r="746">
      <c r="A746" s="39" t="n"/>
      <c r="B746" s="26" t="n"/>
      <c r="C746" s="26" t="n"/>
      <c r="D746" s="40" t="n"/>
      <c r="E746" s="29" t="n"/>
      <c r="F746" s="29" t="n"/>
      <c r="G746" s="29" t="n"/>
      <c r="H746" s="28">
        <f>IF(B746="","",IF(B746="קנייה",-(D746*E746+G746),IF(B746="מכירה",D746*E746-G746,IF(B746="דיבידנד",F746-G746,IF(B746="הפקדה",F746-G746,IF(B746="משיכה",-F746-G746,-G746))))))</f>
        <v/>
      </c>
      <c r="I746" s="28">
        <f>IF(B746="קנייה",D746*E746+G746,0)</f>
        <v/>
      </c>
      <c r="J746" s="41">
        <f>IF(B746="מכירה",D746*E746-G746-D746*IFERROR(SUMIFS($I$5:I746,$C$5:C746,C746)/SUMIFS($D$5:D746,$C$5:C746,C746,$B$5:B746,"קנייה"),0),0)</f>
        <v/>
      </c>
      <c r="K746" s="26" t="n"/>
    </row>
    <row r="747">
      <c r="A747" s="39" t="n"/>
      <c r="B747" s="26" t="n"/>
      <c r="C747" s="26" t="n"/>
      <c r="D747" s="40" t="n"/>
      <c r="E747" s="29" t="n"/>
      <c r="F747" s="29" t="n"/>
      <c r="G747" s="29" t="n"/>
      <c r="H747" s="28">
        <f>IF(B747="","",IF(B747="קנייה",-(D747*E747+G747),IF(B747="מכירה",D747*E747-G747,IF(B747="דיבידנד",F747-G747,IF(B747="הפקדה",F747-G747,IF(B747="משיכה",-F747-G747,-G747))))))</f>
        <v/>
      </c>
      <c r="I747" s="28">
        <f>IF(B747="קנייה",D747*E747+G747,0)</f>
        <v/>
      </c>
      <c r="J747" s="41">
        <f>IF(B747="מכירה",D747*E747-G747-D747*IFERROR(SUMIFS($I$5:I747,$C$5:C747,C747)/SUMIFS($D$5:D747,$C$5:C747,C747,$B$5:B747,"קנייה"),0),0)</f>
        <v/>
      </c>
      <c r="K747" s="26" t="n"/>
    </row>
    <row r="748">
      <c r="A748" s="39" t="n"/>
      <c r="B748" s="26" t="n"/>
      <c r="C748" s="26" t="n"/>
      <c r="D748" s="40" t="n"/>
      <c r="E748" s="29" t="n"/>
      <c r="F748" s="29" t="n"/>
      <c r="G748" s="29" t="n"/>
      <c r="H748" s="28">
        <f>IF(B748="","",IF(B748="קנייה",-(D748*E748+G748),IF(B748="מכירה",D748*E748-G748,IF(B748="דיבידנד",F748-G748,IF(B748="הפקדה",F748-G748,IF(B748="משיכה",-F748-G748,-G748))))))</f>
        <v/>
      </c>
      <c r="I748" s="28">
        <f>IF(B748="קנייה",D748*E748+G748,0)</f>
        <v/>
      </c>
      <c r="J748" s="41">
        <f>IF(B748="מכירה",D748*E748-G748-D748*IFERROR(SUMIFS($I$5:I748,$C$5:C748,C748)/SUMIFS($D$5:D748,$C$5:C748,C748,$B$5:B748,"קנייה"),0),0)</f>
        <v/>
      </c>
      <c r="K748" s="26" t="n"/>
    </row>
    <row r="749">
      <c r="A749" s="39" t="n"/>
      <c r="B749" s="26" t="n"/>
      <c r="C749" s="26" t="n"/>
      <c r="D749" s="40" t="n"/>
      <c r="E749" s="29" t="n"/>
      <c r="F749" s="29" t="n"/>
      <c r="G749" s="29" t="n"/>
      <c r="H749" s="28">
        <f>IF(B749="","",IF(B749="קנייה",-(D749*E749+G749),IF(B749="מכירה",D749*E749-G749,IF(B749="דיבידנד",F749-G749,IF(B749="הפקדה",F749-G749,IF(B749="משיכה",-F749-G749,-G749))))))</f>
        <v/>
      </c>
      <c r="I749" s="28">
        <f>IF(B749="קנייה",D749*E749+G749,0)</f>
        <v/>
      </c>
      <c r="J749" s="41">
        <f>IF(B749="מכירה",D749*E749-G749-D749*IFERROR(SUMIFS($I$5:I749,$C$5:C749,C749)/SUMIFS($D$5:D749,$C$5:C749,C749,$B$5:B749,"קנייה"),0),0)</f>
        <v/>
      </c>
      <c r="K749" s="26" t="n"/>
    </row>
    <row r="750">
      <c r="A750" s="39" t="n"/>
      <c r="B750" s="26" t="n"/>
      <c r="C750" s="26" t="n"/>
      <c r="D750" s="40" t="n"/>
      <c r="E750" s="29" t="n"/>
      <c r="F750" s="29" t="n"/>
      <c r="G750" s="29" t="n"/>
      <c r="H750" s="28">
        <f>IF(B750="","",IF(B750="קנייה",-(D750*E750+G750),IF(B750="מכירה",D750*E750-G750,IF(B750="דיבידנד",F750-G750,IF(B750="הפקדה",F750-G750,IF(B750="משיכה",-F750-G750,-G750))))))</f>
        <v/>
      </c>
      <c r="I750" s="28">
        <f>IF(B750="קנייה",D750*E750+G750,0)</f>
        <v/>
      </c>
      <c r="J750" s="41">
        <f>IF(B750="מכירה",D750*E750-G750-D750*IFERROR(SUMIFS($I$5:I750,$C$5:C750,C750)/SUMIFS($D$5:D750,$C$5:C750,C750,$B$5:B750,"קנייה"),0),0)</f>
        <v/>
      </c>
      <c r="K750" s="26" t="n"/>
    </row>
    <row r="751">
      <c r="A751" s="39" t="n"/>
      <c r="B751" s="26" t="n"/>
      <c r="C751" s="26" t="n"/>
      <c r="D751" s="40" t="n"/>
      <c r="E751" s="29" t="n"/>
      <c r="F751" s="29" t="n"/>
      <c r="G751" s="29" t="n"/>
      <c r="H751" s="28">
        <f>IF(B751="","",IF(B751="קנייה",-(D751*E751+G751),IF(B751="מכירה",D751*E751-G751,IF(B751="דיבידנד",F751-G751,IF(B751="הפקדה",F751-G751,IF(B751="משיכה",-F751-G751,-G751))))))</f>
        <v/>
      </c>
      <c r="I751" s="28">
        <f>IF(B751="קנייה",D751*E751+G751,0)</f>
        <v/>
      </c>
      <c r="J751" s="41">
        <f>IF(B751="מכירה",D751*E751-G751-D751*IFERROR(SUMIFS($I$5:I751,$C$5:C751,C751)/SUMIFS($D$5:D751,$C$5:C751,C751,$B$5:B751,"קנייה"),0),0)</f>
        <v/>
      </c>
      <c r="K751" s="26" t="n"/>
    </row>
    <row r="752">
      <c r="A752" s="39" t="n"/>
      <c r="B752" s="26" t="n"/>
      <c r="C752" s="26" t="n"/>
      <c r="D752" s="40" t="n"/>
      <c r="E752" s="29" t="n"/>
      <c r="F752" s="29" t="n"/>
      <c r="G752" s="29" t="n"/>
      <c r="H752" s="28">
        <f>IF(B752="","",IF(B752="קנייה",-(D752*E752+G752),IF(B752="מכירה",D752*E752-G752,IF(B752="דיבידנד",F752-G752,IF(B752="הפקדה",F752-G752,IF(B752="משיכה",-F752-G752,-G752))))))</f>
        <v/>
      </c>
      <c r="I752" s="28">
        <f>IF(B752="קנייה",D752*E752+G752,0)</f>
        <v/>
      </c>
      <c r="J752" s="41">
        <f>IF(B752="מכירה",D752*E752-G752-D752*IFERROR(SUMIFS($I$5:I752,$C$5:C752,C752)/SUMIFS($D$5:D752,$C$5:C752,C752,$B$5:B752,"קנייה"),0),0)</f>
        <v/>
      </c>
      <c r="K752" s="26" t="n"/>
    </row>
    <row r="753">
      <c r="A753" s="39" t="n"/>
      <c r="B753" s="26" t="n"/>
      <c r="C753" s="26" t="n"/>
      <c r="D753" s="40" t="n"/>
      <c r="E753" s="29" t="n"/>
      <c r="F753" s="29" t="n"/>
      <c r="G753" s="29" t="n"/>
      <c r="H753" s="28">
        <f>IF(B753="","",IF(B753="קנייה",-(D753*E753+G753),IF(B753="מכירה",D753*E753-G753,IF(B753="דיבידנד",F753-G753,IF(B753="הפקדה",F753-G753,IF(B753="משיכה",-F753-G753,-G753))))))</f>
        <v/>
      </c>
      <c r="I753" s="28">
        <f>IF(B753="קנייה",D753*E753+G753,0)</f>
        <v/>
      </c>
      <c r="J753" s="41">
        <f>IF(B753="מכירה",D753*E753-G753-D753*IFERROR(SUMIFS($I$5:I753,$C$5:C753,C753)/SUMIFS($D$5:D753,$C$5:C753,C753,$B$5:B753,"קנייה"),0),0)</f>
        <v/>
      </c>
      <c r="K753" s="26" t="n"/>
    </row>
    <row r="754">
      <c r="A754" s="39" t="n"/>
      <c r="B754" s="26" t="n"/>
      <c r="C754" s="26" t="n"/>
      <c r="D754" s="40" t="n"/>
      <c r="E754" s="29" t="n"/>
      <c r="F754" s="29" t="n"/>
      <c r="G754" s="29" t="n"/>
      <c r="H754" s="28">
        <f>IF(B754="","",IF(B754="קנייה",-(D754*E754+G754),IF(B754="מכירה",D754*E754-G754,IF(B754="דיבידנד",F754-G754,IF(B754="הפקדה",F754-G754,IF(B754="משיכה",-F754-G754,-G754))))))</f>
        <v/>
      </c>
      <c r="I754" s="28">
        <f>IF(B754="קנייה",D754*E754+G754,0)</f>
        <v/>
      </c>
      <c r="J754" s="41">
        <f>IF(B754="מכירה",D754*E754-G754-D754*IFERROR(SUMIFS($I$5:I754,$C$5:C754,C754)/SUMIFS($D$5:D754,$C$5:C754,C754,$B$5:B754,"קנייה"),0),0)</f>
        <v/>
      </c>
      <c r="K754" s="26" t="n"/>
    </row>
    <row r="755">
      <c r="A755" s="39" t="n"/>
      <c r="B755" s="26" t="n"/>
      <c r="C755" s="26" t="n"/>
      <c r="D755" s="40" t="n"/>
      <c r="E755" s="29" t="n"/>
      <c r="F755" s="29" t="n"/>
      <c r="G755" s="29" t="n"/>
      <c r="H755" s="28">
        <f>IF(B755="","",IF(B755="קנייה",-(D755*E755+G755),IF(B755="מכירה",D755*E755-G755,IF(B755="דיבידנד",F755-G755,IF(B755="הפקדה",F755-G755,IF(B755="משיכה",-F755-G755,-G755))))))</f>
        <v/>
      </c>
      <c r="I755" s="28">
        <f>IF(B755="קנייה",D755*E755+G755,0)</f>
        <v/>
      </c>
      <c r="J755" s="41">
        <f>IF(B755="מכירה",D755*E755-G755-D755*IFERROR(SUMIFS($I$5:I755,$C$5:C755,C755)/SUMIFS($D$5:D755,$C$5:C755,C755,$B$5:B755,"קנייה"),0),0)</f>
        <v/>
      </c>
      <c r="K755" s="26" t="n"/>
    </row>
    <row r="756">
      <c r="A756" s="39" t="n"/>
      <c r="B756" s="26" t="n"/>
      <c r="C756" s="26" t="n"/>
      <c r="D756" s="40" t="n"/>
      <c r="E756" s="29" t="n"/>
      <c r="F756" s="29" t="n"/>
      <c r="G756" s="29" t="n"/>
      <c r="H756" s="28">
        <f>IF(B756="","",IF(B756="קנייה",-(D756*E756+G756),IF(B756="מכירה",D756*E756-G756,IF(B756="דיבידנד",F756-G756,IF(B756="הפקדה",F756-G756,IF(B756="משיכה",-F756-G756,-G756))))))</f>
        <v/>
      </c>
      <c r="I756" s="28">
        <f>IF(B756="קנייה",D756*E756+G756,0)</f>
        <v/>
      </c>
      <c r="J756" s="41">
        <f>IF(B756="מכירה",D756*E756-G756-D756*IFERROR(SUMIFS($I$5:I756,$C$5:C756,C756)/SUMIFS($D$5:D756,$C$5:C756,C756,$B$5:B756,"קנייה"),0),0)</f>
        <v/>
      </c>
      <c r="K756" s="26" t="n"/>
    </row>
    <row r="757">
      <c r="A757" s="39" t="n"/>
      <c r="B757" s="26" t="n"/>
      <c r="C757" s="26" t="n"/>
      <c r="D757" s="40" t="n"/>
      <c r="E757" s="29" t="n"/>
      <c r="F757" s="29" t="n"/>
      <c r="G757" s="29" t="n"/>
      <c r="H757" s="28">
        <f>IF(B757="","",IF(B757="קנייה",-(D757*E757+G757),IF(B757="מכירה",D757*E757-G757,IF(B757="דיבידנד",F757-G757,IF(B757="הפקדה",F757-G757,IF(B757="משיכה",-F757-G757,-G757))))))</f>
        <v/>
      </c>
      <c r="I757" s="28">
        <f>IF(B757="קנייה",D757*E757+G757,0)</f>
        <v/>
      </c>
      <c r="J757" s="41">
        <f>IF(B757="מכירה",D757*E757-G757-D757*IFERROR(SUMIFS($I$5:I757,$C$5:C757,C757)/SUMIFS($D$5:D757,$C$5:C757,C757,$B$5:B757,"קנייה"),0),0)</f>
        <v/>
      </c>
      <c r="K757" s="26" t="n"/>
    </row>
    <row r="758">
      <c r="A758" s="39" t="n"/>
      <c r="B758" s="26" t="n"/>
      <c r="C758" s="26" t="n"/>
      <c r="D758" s="40" t="n"/>
      <c r="E758" s="29" t="n"/>
      <c r="F758" s="29" t="n"/>
      <c r="G758" s="29" t="n"/>
      <c r="H758" s="28">
        <f>IF(B758="","",IF(B758="קנייה",-(D758*E758+G758),IF(B758="מכירה",D758*E758-G758,IF(B758="דיבידנד",F758-G758,IF(B758="הפקדה",F758-G758,IF(B758="משיכה",-F758-G758,-G758))))))</f>
        <v/>
      </c>
      <c r="I758" s="28">
        <f>IF(B758="קנייה",D758*E758+G758,0)</f>
        <v/>
      </c>
      <c r="J758" s="41">
        <f>IF(B758="מכירה",D758*E758-G758-D758*IFERROR(SUMIFS($I$5:I758,$C$5:C758,C758)/SUMIFS($D$5:D758,$C$5:C758,C758,$B$5:B758,"קנייה"),0),0)</f>
        <v/>
      </c>
      <c r="K758" s="26" t="n"/>
    </row>
    <row r="759">
      <c r="A759" s="39" t="n"/>
      <c r="B759" s="26" t="n"/>
      <c r="C759" s="26" t="n"/>
      <c r="D759" s="40" t="n"/>
      <c r="E759" s="29" t="n"/>
      <c r="F759" s="29" t="n"/>
      <c r="G759" s="29" t="n"/>
      <c r="H759" s="28">
        <f>IF(B759="","",IF(B759="קנייה",-(D759*E759+G759),IF(B759="מכירה",D759*E759-G759,IF(B759="דיבידנד",F759-G759,IF(B759="הפקדה",F759-G759,IF(B759="משיכה",-F759-G759,-G759))))))</f>
        <v/>
      </c>
      <c r="I759" s="28">
        <f>IF(B759="קנייה",D759*E759+G759,0)</f>
        <v/>
      </c>
      <c r="J759" s="41">
        <f>IF(B759="מכירה",D759*E759-G759-D759*IFERROR(SUMIFS($I$5:I759,$C$5:C759,C759)/SUMIFS($D$5:D759,$C$5:C759,C759,$B$5:B759,"קנייה"),0),0)</f>
        <v/>
      </c>
      <c r="K759" s="26" t="n"/>
    </row>
    <row r="760">
      <c r="A760" s="39" t="n"/>
      <c r="B760" s="26" t="n"/>
      <c r="C760" s="26" t="n"/>
      <c r="D760" s="40" t="n"/>
      <c r="E760" s="29" t="n"/>
      <c r="F760" s="29" t="n"/>
      <c r="G760" s="29" t="n"/>
      <c r="H760" s="28">
        <f>IF(B760="","",IF(B760="קנייה",-(D760*E760+G760),IF(B760="מכירה",D760*E760-G760,IF(B760="דיבידנד",F760-G760,IF(B760="הפקדה",F760-G760,IF(B760="משיכה",-F760-G760,-G760))))))</f>
        <v/>
      </c>
      <c r="I760" s="28">
        <f>IF(B760="קנייה",D760*E760+G760,0)</f>
        <v/>
      </c>
      <c r="J760" s="41">
        <f>IF(B760="מכירה",D760*E760-G760-D760*IFERROR(SUMIFS($I$5:I760,$C$5:C760,C760)/SUMIFS($D$5:D760,$C$5:C760,C760,$B$5:B760,"קנייה"),0),0)</f>
        <v/>
      </c>
      <c r="K760" s="26" t="n"/>
    </row>
    <row r="761">
      <c r="A761" s="39" t="n"/>
      <c r="B761" s="26" t="n"/>
      <c r="C761" s="26" t="n"/>
      <c r="D761" s="40" t="n"/>
      <c r="E761" s="29" t="n"/>
      <c r="F761" s="29" t="n"/>
      <c r="G761" s="29" t="n"/>
      <c r="H761" s="28">
        <f>IF(B761="","",IF(B761="קנייה",-(D761*E761+G761),IF(B761="מכירה",D761*E761-G761,IF(B761="דיבידנד",F761-G761,IF(B761="הפקדה",F761-G761,IF(B761="משיכה",-F761-G761,-G761))))))</f>
        <v/>
      </c>
      <c r="I761" s="28">
        <f>IF(B761="קנייה",D761*E761+G761,0)</f>
        <v/>
      </c>
      <c r="J761" s="41">
        <f>IF(B761="מכירה",D761*E761-G761-D761*IFERROR(SUMIFS($I$5:I761,$C$5:C761,C761)/SUMIFS($D$5:D761,$C$5:C761,C761,$B$5:B761,"קנייה"),0),0)</f>
        <v/>
      </c>
      <c r="K761" s="26" t="n"/>
    </row>
    <row r="762">
      <c r="A762" s="39" t="n"/>
      <c r="B762" s="26" t="n"/>
      <c r="C762" s="26" t="n"/>
      <c r="D762" s="40" t="n"/>
      <c r="E762" s="29" t="n"/>
      <c r="F762" s="29" t="n"/>
      <c r="G762" s="29" t="n"/>
      <c r="H762" s="28">
        <f>IF(B762="","",IF(B762="קנייה",-(D762*E762+G762),IF(B762="מכירה",D762*E762-G762,IF(B762="דיבידנד",F762-G762,IF(B762="הפקדה",F762-G762,IF(B762="משיכה",-F762-G762,-G762))))))</f>
        <v/>
      </c>
      <c r="I762" s="28">
        <f>IF(B762="קנייה",D762*E762+G762,0)</f>
        <v/>
      </c>
      <c r="J762" s="41">
        <f>IF(B762="מכירה",D762*E762-G762-D762*IFERROR(SUMIFS($I$5:I762,$C$5:C762,C762)/SUMIFS($D$5:D762,$C$5:C762,C762,$B$5:B762,"קנייה"),0),0)</f>
        <v/>
      </c>
      <c r="K762" s="26" t="n"/>
    </row>
    <row r="763">
      <c r="A763" s="39" t="n"/>
      <c r="B763" s="26" t="n"/>
      <c r="C763" s="26" t="n"/>
      <c r="D763" s="40" t="n"/>
      <c r="E763" s="29" t="n"/>
      <c r="F763" s="29" t="n"/>
      <c r="G763" s="29" t="n"/>
      <c r="H763" s="28">
        <f>IF(B763="","",IF(B763="קנייה",-(D763*E763+G763),IF(B763="מכירה",D763*E763-G763,IF(B763="דיבידנד",F763-G763,IF(B763="הפקדה",F763-G763,IF(B763="משיכה",-F763-G763,-G763))))))</f>
        <v/>
      </c>
      <c r="I763" s="28">
        <f>IF(B763="קנייה",D763*E763+G763,0)</f>
        <v/>
      </c>
      <c r="J763" s="41">
        <f>IF(B763="מכירה",D763*E763-G763-D763*IFERROR(SUMIFS($I$5:I763,$C$5:C763,C763)/SUMIFS($D$5:D763,$C$5:C763,C763,$B$5:B763,"קנייה"),0),0)</f>
        <v/>
      </c>
      <c r="K763" s="26" t="n"/>
    </row>
    <row r="764">
      <c r="A764" s="39" t="n"/>
      <c r="B764" s="26" t="n"/>
      <c r="C764" s="26" t="n"/>
      <c r="D764" s="40" t="n"/>
      <c r="E764" s="29" t="n"/>
      <c r="F764" s="29" t="n"/>
      <c r="G764" s="29" t="n"/>
      <c r="H764" s="28">
        <f>IF(B764="","",IF(B764="קנייה",-(D764*E764+G764),IF(B764="מכירה",D764*E764-G764,IF(B764="דיבידנד",F764-G764,IF(B764="הפקדה",F764-G764,IF(B764="משיכה",-F764-G764,-G764))))))</f>
        <v/>
      </c>
      <c r="I764" s="28">
        <f>IF(B764="קנייה",D764*E764+G764,0)</f>
        <v/>
      </c>
      <c r="J764" s="41">
        <f>IF(B764="מכירה",D764*E764-G764-D764*IFERROR(SUMIFS($I$5:I764,$C$5:C764,C764)/SUMIFS($D$5:D764,$C$5:C764,C764,$B$5:B764,"קנייה"),0),0)</f>
        <v/>
      </c>
      <c r="K764" s="26" t="n"/>
    </row>
    <row r="765">
      <c r="A765" s="39" t="n"/>
      <c r="B765" s="26" t="n"/>
      <c r="C765" s="26" t="n"/>
      <c r="D765" s="40" t="n"/>
      <c r="E765" s="29" t="n"/>
      <c r="F765" s="29" t="n"/>
      <c r="G765" s="29" t="n"/>
      <c r="H765" s="28">
        <f>IF(B765="","",IF(B765="קנייה",-(D765*E765+G765),IF(B765="מכירה",D765*E765-G765,IF(B765="דיבידנד",F765-G765,IF(B765="הפקדה",F765-G765,IF(B765="משיכה",-F765-G765,-G765))))))</f>
        <v/>
      </c>
      <c r="I765" s="28">
        <f>IF(B765="קנייה",D765*E765+G765,0)</f>
        <v/>
      </c>
      <c r="J765" s="41">
        <f>IF(B765="מכירה",D765*E765-G765-D765*IFERROR(SUMIFS($I$5:I765,$C$5:C765,C765)/SUMIFS($D$5:D765,$C$5:C765,C765,$B$5:B765,"קנייה"),0),0)</f>
        <v/>
      </c>
      <c r="K765" s="26" t="n"/>
    </row>
    <row r="766">
      <c r="A766" s="39" t="n"/>
      <c r="B766" s="26" t="n"/>
      <c r="C766" s="26" t="n"/>
      <c r="D766" s="40" t="n"/>
      <c r="E766" s="29" t="n"/>
      <c r="F766" s="29" t="n"/>
      <c r="G766" s="29" t="n"/>
      <c r="H766" s="28">
        <f>IF(B766="","",IF(B766="קנייה",-(D766*E766+G766),IF(B766="מכירה",D766*E766-G766,IF(B766="דיבידנד",F766-G766,IF(B766="הפקדה",F766-G766,IF(B766="משיכה",-F766-G766,-G766))))))</f>
        <v/>
      </c>
      <c r="I766" s="28">
        <f>IF(B766="קנייה",D766*E766+G766,0)</f>
        <v/>
      </c>
      <c r="J766" s="41">
        <f>IF(B766="מכירה",D766*E766-G766-D766*IFERROR(SUMIFS($I$5:I766,$C$5:C766,C766)/SUMIFS($D$5:D766,$C$5:C766,C766,$B$5:B766,"קנייה"),0),0)</f>
        <v/>
      </c>
      <c r="K766" s="26" t="n"/>
    </row>
    <row r="767">
      <c r="A767" s="39" t="n"/>
      <c r="B767" s="26" t="n"/>
      <c r="C767" s="26" t="n"/>
      <c r="D767" s="40" t="n"/>
      <c r="E767" s="29" t="n"/>
      <c r="F767" s="29" t="n"/>
      <c r="G767" s="29" t="n"/>
      <c r="H767" s="28">
        <f>IF(B767="","",IF(B767="קנייה",-(D767*E767+G767),IF(B767="מכירה",D767*E767-G767,IF(B767="דיבידנד",F767-G767,IF(B767="הפקדה",F767-G767,IF(B767="משיכה",-F767-G767,-G767))))))</f>
        <v/>
      </c>
      <c r="I767" s="28">
        <f>IF(B767="קנייה",D767*E767+G767,0)</f>
        <v/>
      </c>
      <c r="J767" s="41">
        <f>IF(B767="מכירה",D767*E767-G767-D767*IFERROR(SUMIFS($I$5:I767,$C$5:C767,C767)/SUMIFS($D$5:D767,$C$5:C767,C767,$B$5:B767,"קנייה"),0),0)</f>
        <v/>
      </c>
      <c r="K767" s="26" t="n"/>
    </row>
    <row r="768">
      <c r="A768" s="39" t="n"/>
      <c r="B768" s="26" t="n"/>
      <c r="C768" s="26" t="n"/>
      <c r="D768" s="40" t="n"/>
      <c r="E768" s="29" t="n"/>
      <c r="F768" s="29" t="n"/>
      <c r="G768" s="29" t="n"/>
      <c r="H768" s="28">
        <f>IF(B768="","",IF(B768="קנייה",-(D768*E768+G768),IF(B768="מכירה",D768*E768-G768,IF(B768="דיבידנד",F768-G768,IF(B768="הפקדה",F768-G768,IF(B768="משיכה",-F768-G768,-G768))))))</f>
        <v/>
      </c>
      <c r="I768" s="28">
        <f>IF(B768="קנייה",D768*E768+G768,0)</f>
        <v/>
      </c>
      <c r="J768" s="41">
        <f>IF(B768="מכירה",D768*E768-G768-D768*IFERROR(SUMIFS($I$5:I768,$C$5:C768,C768)/SUMIFS($D$5:D768,$C$5:C768,C768,$B$5:B768,"קנייה"),0),0)</f>
        <v/>
      </c>
      <c r="K768" s="26" t="n"/>
    </row>
    <row r="769">
      <c r="A769" s="39" t="n"/>
      <c r="B769" s="26" t="n"/>
      <c r="C769" s="26" t="n"/>
      <c r="D769" s="40" t="n"/>
      <c r="E769" s="29" t="n"/>
      <c r="F769" s="29" t="n"/>
      <c r="G769" s="29" t="n"/>
      <c r="H769" s="28">
        <f>IF(B769="","",IF(B769="קנייה",-(D769*E769+G769),IF(B769="מכירה",D769*E769-G769,IF(B769="דיבידנד",F769-G769,IF(B769="הפקדה",F769-G769,IF(B769="משיכה",-F769-G769,-G769))))))</f>
        <v/>
      </c>
      <c r="I769" s="28">
        <f>IF(B769="קנייה",D769*E769+G769,0)</f>
        <v/>
      </c>
      <c r="J769" s="41">
        <f>IF(B769="מכירה",D769*E769-G769-D769*IFERROR(SUMIFS($I$5:I769,$C$5:C769,C769)/SUMIFS($D$5:D769,$C$5:C769,C769,$B$5:B769,"קנייה"),0),0)</f>
        <v/>
      </c>
      <c r="K769" s="26" t="n"/>
    </row>
    <row r="770">
      <c r="A770" s="39" t="n"/>
      <c r="B770" s="26" t="n"/>
      <c r="C770" s="26" t="n"/>
      <c r="D770" s="40" t="n"/>
      <c r="E770" s="29" t="n"/>
      <c r="F770" s="29" t="n"/>
      <c r="G770" s="29" t="n"/>
      <c r="H770" s="28">
        <f>IF(B770="","",IF(B770="קנייה",-(D770*E770+G770),IF(B770="מכירה",D770*E770-G770,IF(B770="דיבידנד",F770-G770,IF(B770="הפקדה",F770-G770,IF(B770="משיכה",-F770-G770,-G770))))))</f>
        <v/>
      </c>
      <c r="I770" s="28">
        <f>IF(B770="קנייה",D770*E770+G770,0)</f>
        <v/>
      </c>
      <c r="J770" s="41">
        <f>IF(B770="מכירה",D770*E770-G770-D770*IFERROR(SUMIFS($I$5:I770,$C$5:C770,C770)/SUMIFS($D$5:D770,$C$5:C770,C770,$B$5:B770,"קנייה"),0),0)</f>
        <v/>
      </c>
      <c r="K770" s="26" t="n"/>
    </row>
    <row r="771">
      <c r="A771" s="39" t="n"/>
      <c r="B771" s="26" t="n"/>
      <c r="C771" s="26" t="n"/>
      <c r="D771" s="40" t="n"/>
      <c r="E771" s="29" t="n"/>
      <c r="F771" s="29" t="n"/>
      <c r="G771" s="29" t="n"/>
      <c r="H771" s="28">
        <f>IF(B771="","",IF(B771="קנייה",-(D771*E771+G771),IF(B771="מכירה",D771*E771-G771,IF(B771="דיבידנד",F771-G771,IF(B771="הפקדה",F771-G771,IF(B771="משיכה",-F771-G771,-G771))))))</f>
        <v/>
      </c>
      <c r="I771" s="28">
        <f>IF(B771="קנייה",D771*E771+G771,0)</f>
        <v/>
      </c>
      <c r="J771" s="41">
        <f>IF(B771="מכירה",D771*E771-G771-D771*IFERROR(SUMIFS($I$5:I771,$C$5:C771,C771)/SUMIFS($D$5:D771,$C$5:C771,C771,$B$5:B771,"קנייה"),0),0)</f>
        <v/>
      </c>
      <c r="K771" s="26" t="n"/>
    </row>
    <row r="772">
      <c r="A772" s="39" t="n"/>
      <c r="B772" s="26" t="n"/>
      <c r="C772" s="26" t="n"/>
      <c r="D772" s="40" t="n"/>
      <c r="E772" s="29" t="n"/>
      <c r="F772" s="29" t="n"/>
      <c r="G772" s="29" t="n"/>
      <c r="H772" s="28">
        <f>IF(B772="","",IF(B772="קנייה",-(D772*E772+G772),IF(B772="מכירה",D772*E772-G772,IF(B772="דיבידנד",F772-G772,IF(B772="הפקדה",F772-G772,IF(B772="משיכה",-F772-G772,-G772))))))</f>
        <v/>
      </c>
      <c r="I772" s="28">
        <f>IF(B772="קנייה",D772*E772+G772,0)</f>
        <v/>
      </c>
      <c r="J772" s="41">
        <f>IF(B772="מכירה",D772*E772-G772-D772*IFERROR(SUMIFS($I$5:I772,$C$5:C772,C772)/SUMIFS($D$5:D772,$C$5:C772,C772,$B$5:B772,"קנייה"),0),0)</f>
        <v/>
      </c>
      <c r="K772" s="26" t="n"/>
    </row>
    <row r="773">
      <c r="A773" s="39" t="n"/>
      <c r="B773" s="26" t="n"/>
      <c r="C773" s="26" t="n"/>
      <c r="D773" s="40" t="n"/>
      <c r="E773" s="29" t="n"/>
      <c r="F773" s="29" t="n"/>
      <c r="G773" s="29" t="n"/>
      <c r="H773" s="28">
        <f>IF(B773="","",IF(B773="קנייה",-(D773*E773+G773),IF(B773="מכירה",D773*E773-G773,IF(B773="דיבידנד",F773-G773,IF(B773="הפקדה",F773-G773,IF(B773="משיכה",-F773-G773,-G773))))))</f>
        <v/>
      </c>
      <c r="I773" s="28">
        <f>IF(B773="קנייה",D773*E773+G773,0)</f>
        <v/>
      </c>
      <c r="J773" s="41">
        <f>IF(B773="מכירה",D773*E773-G773-D773*IFERROR(SUMIFS($I$5:I773,$C$5:C773,C773)/SUMIFS($D$5:D773,$C$5:C773,C773,$B$5:B773,"קנייה"),0),0)</f>
        <v/>
      </c>
      <c r="K773" s="26" t="n"/>
    </row>
    <row r="774">
      <c r="A774" s="39" t="n"/>
      <c r="B774" s="26" t="n"/>
      <c r="C774" s="26" t="n"/>
      <c r="D774" s="40" t="n"/>
      <c r="E774" s="29" t="n"/>
      <c r="F774" s="29" t="n"/>
      <c r="G774" s="29" t="n"/>
      <c r="H774" s="28">
        <f>IF(B774="","",IF(B774="קנייה",-(D774*E774+G774),IF(B774="מכירה",D774*E774-G774,IF(B774="דיבידנד",F774-G774,IF(B774="הפקדה",F774-G774,IF(B774="משיכה",-F774-G774,-G774))))))</f>
        <v/>
      </c>
      <c r="I774" s="28">
        <f>IF(B774="קנייה",D774*E774+G774,0)</f>
        <v/>
      </c>
      <c r="J774" s="41">
        <f>IF(B774="מכירה",D774*E774-G774-D774*IFERROR(SUMIFS($I$5:I774,$C$5:C774,C774)/SUMIFS($D$5:D774,$C$5:C774,C774,$B$5:B774,"קנייה"),0),0)</f>
        <v/>
      </c>
      <c r="K774" s="26" t="n"/>
    </row>
    <row r="775">
      <c r="A775" s="39" t="n"/>
      <c r="B775" s="26" t="n"/>
      <c r="C775" s="26" t="n"/>
      <c r="D775" s="40" t="n"/>
      <c r="E775" s="29" t="n"/>
      <c r="F775" s="29" t="n"/>
      <c r="G775" s="29" t="n"/>
      <c r="H775" s="28">
        <f>IF(B775="","",IF(B775="קנייה",-(D775*E775+G775),IF(B775="מכירה",D775*E775-G775,IF(B775="דיבידנד",F775-G775,IF(B775="הפקדה",F775-G775,IF(B775="משיכה",-F775-G775,-G775))))))</f>
        <v/>
      </c>
      <c r="I775" s="28">
        <f>IF(B775="קנייה",D775*E775+G775,0)</f>
        <v/>
      </c>
      <c r="J775" s="41">
        <f>IF(B775="מכירה",D775*E775-G775-D775*IFERROR(SUMIFS($I$5:I775,$C$5:C775,C775)/SUMIFS($D$5:D775,$C$5:C775,C775,$B$5:B775,"קנייה"),0),0)</f>
        <v/>
      </c>
      <c r="K775" s="26" t="n"/>
    </row>
    <row r="776">
      <c r="A776" s="39" t="n"/>
      <c r="B776" s="26" t="n"/>
      <c r="C776" s="26" t="n"/>
      <c r="D776" s="40" t="n"/>
      <c r="E776" s="29" t="n"/>
      <c r="F776" s="29" t="n"/>
      <c r="G776" s="29" t="n"/>
      <c r="H776" s="28">
        <f>IF(B776="","",IF(B776="קנייה",-(D776*E776+G776),IF(B776="מכירה",D776*E776-G776,IF(B776="דיבידנד",F776-G776,IF(B776="הפקדה",F776-G776,IF(B776="משיכה",-F776-G776,-G776))))))</f>
        <v/>
      </c>
      <c r="I776" s="28">
        <f>IF(B776="קנייה",D776*E776+G776,0)</f>
        <v/>
      </c>
      <c r="J776" s="41">
        <f>IF(B776="מכירה",D776*E776-G776-D776*IFERROR(SUMIFS($I$5:I776,$C$5:C776,C776)/SUMIFS($D$5:D776,$C$5:C776,C776,$B$5:B776,"קנייה"),0),0)</f>
        <v/>
      </c>
      <c r="K776" s="26" t="n"/>
    </row>
    <row r="777">
      <c r="A777" s="39" t="n"/>
      <c r="B777" s="26" t="n"/>
      <c r="C777" s="26" t="n"/>
      <c r="D777" s="40" t="n"/>
      <c r="E777" s="29" t="n"/>
      <c r="F777" s="29" t="n"/>
      <c r="G777" s="29" t="n"/>
      <c r="H777" s="28">
        <f>IF(B777="","",IF(B777="קנייה",-(D777*E777+G777),IF(B777="מכירה",D777*E777-G777,IF(B777="דיבידנד",F777-G777,IF(B777="הפקדה",F777-G777,IF(B777="משיכה",-F777-G777,-G777))))))</f>
        <v/>
      </c>
      <c r="I777" s="28">
        <f>IF(B777="קנייה",D777*E777+G777,0)</f>
        <v/>
      </c>
      <c r="J777" s="41">
        <f>IF(B777="מכירה",D777*E777-G777-D777*IFERROR(SUMIFS($I$5:I777,$C$5:C777,C777)/SUMIFS($D$5:D777,$C$5:C777,C777,$B$5:B777,"קנייה"),0),0)</f>
        <v/>
      </c>
      <c r="K777" s="26" t="n"/>
    </row>
    <row r="778">
      <c r="A778" s="39" t="n"/>
      <c r="B778" s="26" t="n"/>
      <c r="C778" s="26" t="n"/>
      <c r="D778" s="40" t="n"/>
      <c r="E778" s="29" t="n"/>
      <c r="F778" s="29" t="n"/>
      <c r="G778" s="29" t="n"/>
      <c r="H778" s="28">
        <f>IF(B778="","",IF(B778="קנייה",-(D778*E778+G778),IF(B778="מכירה",D778*E778-G778,IF(B778="דיבידנד",F778-G778,IF(B778="הפקדה",F778-G778,IF(B778="משיכה",-F778-G778,-G778))))))</f>
        <v/>
      </c>
      <c r="I778" s="28">
        <f>IF(B778="קנייה",D778*E778+G778,0)</f>
        <v/>
      </c>
      <c r="J778" s="41">
        <f>IF(B778="מכירה",D778*E778-G778-D778*IFERROR(SUMIFS($I$5:I778,$C$5:C778,C778)/SUMIFS($D$5:D778,$C$5:C778,C778,$B$5:B778,"קנייה"),0),0)</f>
        <v/>
      </c>
      <c r="K778" s="26" t="n"/>
    </row>
    <row r="779">
      <c r="A779" s="39" t="n"/>
      <c r="B779" s="26" t="n"/>
      <c r="C779" s="26" t="n"/>
      <c r="D779" s="40" t="n"/>
      <c r="E779" s="29" t="n"/>
      <c r="F779" s="29" t="n"/>
      <c r="G779" s="29" t="n"/>
      <c r="H779" s="28">
        <f>IF(B779="","",IF(B779="קנייה",-(D779*E779+G779),IF(B779="מכירה",D779*E779-G779,IF(B779="דיבידנד",F779-G779,IF(B779="הפקדה",F779-G779,IF(B779="משיכה",-F779-G779,-G779))))))</f>
        <v/>
      </c>
      <c r="I779" s="28">
        <f>IF(B779="קנייה",D779*E779+G779,0)</f>
        <v/>
      </c>
      <c r="J779" s="41">
        <f>IF(B779="מכירה",D779*E779-G779-D779*IFERROR(SUMIFS($I$5:I779,$C$5:C779,C779)/SUMIFS($D$5:D779,$C$5:C779,C779,$B$5:B779,"קנייה"),0),0)</f>
        <v/>
      </c>
      <c r="K779" s="26" t="n"/>
    </row>
    <row r="780">
      <c r="A780" s="39" t="n"/>
      <c r="B780" s="26" t="n"/>
      <c r="C780" s="26" t="n"/>
      <c r="D780" s="40" t="n"/>
      <c r="E780" s="29" t="n"/>
      <c r="F780" s="29" t="n"/>
      <c r="G780" s="29" t="n"/>
      <c r="H780" s="28">
        <f>IF(B780="","",IF(B780="קנייה",-(D780*E780+G780),IF(B780="מכירה",D780*E780-G780,IF(B780="דיבידנד",F780-G780,IF(B780="הפקדה",F780-G780,IF(B780="משיכה",-F780-G780,-G780))))))</f>
        <v/>
      </c>
      <c r="I780" s="28">
        <f>IF(B780="קנייה",D780*E780+G780,0)</f>
        <v/>
      </c>
      <c r="J780" s="41">
        <f>IF(B780="מכירה",D780*E780-G780-D780*IFERROR(SUMIFS($I$5:I780,$C$5:C780,C780)/SUMIFS($D$5:D780,$C$5:C780,C780,$B$5:B780,"קנייה"),0),0)</f>
        <v/>
      </c>
      <c r="K780" s="26" t="n"/>
    </row>
    <row r="781">
      <c r="A781" s="39" t="n"/>
      <c r="B781" s="26" t="n"/>
      <c r="C781" s="26" t="n"/>
      <c r="D781" s="40" t="n"/>
      <c r="E781" s="29" t="n"/>
      <c r="F781" s="29" t="n"/>
      <c r="G781" s="29" t="n"/>
      <c r="H781" s="28">
        <f>IF(B781="","",IF(B781="קנייה",-(D781*E781+G781),IF(B781="מכירה",D781*E781-G781,IF(B781="דיבידנד",F781-G781,IF(B781="הפקדה",F781-G781,IF(B781="משיכה",-F781-G781,-G781))))))</f>
        <v/>
      </c>
      <c r="I781" s="28">
        <f>IF(B781="קנייה",D781*E781+G781,0)</f>
        <v/>
      </c>
      <c r="J781" s="41">
        <f>IF(B781="מכירה",D781*E781-G781-D781*IFERROR(SUMIFS($I$5:I781,$C$5:C781,C781)/SUMIFS($D$5:D781,$C$5:C781,C781,$B$5:B781,"קנייה"),0),0)</f>
        <v/>
      </c>
      <c r="K781" s="26" t="n"/>
    </row>
    <row r="782">
      <c r="A782" s="39" t="n"/>
      <c r="B782" s="26" t="n"/>
      <c r="C782" s="26" t="n"/>
      <c r="D782" s="40" t="n"/>
      <c r="E782" s="29" t="n"/>
      <c r="F782" s="29" t="n"/>
      <c r="G782" s="29" t="n"/>
      <c r="H782" s="28">
        <f>IF(B782="","",IF(B782="קנייה",-(D782*E782+G782),IF(B782="מכירה",D782*E782-G782,IF(B782="דיבידנד",F782-G782,IF(B782="הפקדה",F782-G782,IF(B782="משיכה",-F782-G782,-G782))))))</f>
        <v/>
      </c>
      <c r="I782" s="28">
        <f>IF(B782="קנייה",D782*E782+G782,0)</f>
        <v/>
      </c>
      <c r="J782" s="41">
        <f>IF(B782="מכירה",D782*E782-G782-D782*IFERROR(SUMIFS($I$5:I782,$C$5:C782,C782)/SUMIFS($D$5:D782,$C$5:C782,C782,$B$5:B782,"קנייה"),0),0)</f>
        <v/>
      </c>
      <c r="K782" s="26" t="n"/>
    </row>
    <row r="783">
      <c r="A783" s="39" t="n"/>
      <c r="B783" s="26" t="n"/>
      <c r="C783" s="26" t="n"/>
      <c r="D783" s="40" t="n"/>
      <c r="E783" s="29" t="n"/>
      <c r="F783" s="29" t="n"/>
      <c r="G783" s="29" t="n"/>
      <c r="H783" s="28">
        <f>IF(B783="","",IF(B783="קנייה",-(D783*E783+G783),IF(B783="מכירה",D783*E783-G783,IF(B783="דיבידנד",F783-G783,IF(B783="הפקדה",F783-G783,IF(B783="משיכה",-F783-G783,-G783))))))</f>
        <v/>
      </c>
      <c r="I783" s="28">
        <f>IF(B783="קנייה",D783*E783+G783,0)</f>
        <v/>
      </c>
      <c r="J783" s="41">
        <f>IF(B783="מכירה",D783*E783-G783-D783*IFERROR(SUMIFS($I$5:I783,$C$5:C783,C783)/SUMIFS($D$5:D783,$C$5:C783,C783,$B$5:B783,"קנייה"),0),0)</f>
        <v/>
      </c>
      <c r="K783" s="26" t="n"/>
    </row>
    <row r="784">
      <c r="A784" s="39" t="n"/>
      <c r="B784" s="26" t="n"/>
      <c r="C784" s="26" t="n"/>
      <c r="D784" s="40" t="n"/>
      <c r="E784" s="29" t="n"/>
      <c r="F784" s="29" t="n"/>
      <c r="G784" s="29" t="n"/>
      <c r="H784" s="28">
        <f>IF(B784="","",IF(B784="קנייה",-(D784*E784+G784),IF(B784="מכירה",D784*E784-G784,IF(B784="דיבידנד",F784-G784,IF(B784="הפקדה",F784-G784,IF(B784="משיכה",-F784-G784,-G784))))))</f>
        <v/>
      </c>
      <c r="I784" s="28">
        <f>IF(B784="קנייה",D784*E784+G784,0)</f>
        <v/>
      </c>
      <c r="J784" s="41">
        <f>IF(B784="מכירה",D784*E784-G784-D784*IFERROR(SUMIFS($I$5:I784,$C$5:C784,C784)/SUMIFS($D$5:D784,$C$5:C784,C784,$B$5:B784,"קנייה"),0),0)</f>
        <v/>
      </c>
      <c r="K784" s="26" t="n"/>
    </row>
    <row r="785">
      <c r="A785" s="39" t="n"/>
      <c r="B785" s="26" t="n"/>
      <c r="C785" s="26" t="n"/>
      <c r="D785" s="40" t="n"/>
      <c r="E785" s="29" t="n"/>
      <c r="F785" s="29" t="n"/>
      <c r="G785" s="29" t="n"/>
      <c r="H785" s="28">
        <f>IF(B785="","",IF(B785="קנייה",-(D785*E785+G785),IF(B785="מכירה",D785*E785-G785,IF(B785="דיבידנד",F785-G785,IF(B785="הפקדה",F785-G785,IF(B785="משיכה",-F785-G785,-G785))))))</f>
        <v/>
      </c>
      <c r="I785" s="28">
        <f>IF(B785="קנייה",D785*E785+G785,0)</f>
        <v/>
      </c>
      <c r="J785" s="41">
        <f>IF(B785="מכירה",D785*E785-G785-D785*IFERROR(SUMIFS($I$5:I785,$C$5:C785,C785)/SUMIFS($D$5:D785,$C$5:C785,C785,$B$5:B785,"קנייה"),0),0)</f>
        <v/>
      </c>
      <c r="K785" s="26" t="n"/>
    </row>
    <row r="786">
      <c r="A786" s="39" t="n"/>
      <c r="B786" s="26" t="n"/>
      <c r="C786" s="26" t="n"/>
      <c r="D786" s="40" t="n"/>
      <c r="E786" s="29" t="n"/>
      <c r="F786" s="29" t="n"/>
      <c r="G786" s="29" t="n"/>
      <c r="H786" s="28">
        <f>IF(B786="","",IF(B786="קנייה",-(D786*E786+G786),IF(B786="מכירה",D786*E786-G786,IF(B786="דיבידנד",F786-G786,IF(B786="הפקדה",F786-G786,IF(B786="משיכה",-F786-G786,-G786))))))</f>
        <v/>
      </c>
      <c r="I786" s="28">
        <f>IF(B786="קנייה",D786*E786+G786,0)</f>
        <v/>
      </c>
      <c r="J786" s="41">
        <f>IF(B786="מכירה",D786*E786-G786-D786*IFERROR(SUMIFS($I$5:I786,$C$5:C786,C786)/SUMIFS($D$5:D786,$C$5:C786,C786,$B$5:B786,"קנייה"),0),0)</f>
        <v/>
      </c>
      <c r="K786" s="26" t="n"/>
    </row>
    <row r="787">
      <c r="A787" s="39" t="n"/>
      <c r="B787" s="26" t="n"/>
      <c r="C787" s="26" t="n"/>
      <c r="D787" s="40" t="n"/>
      <c r="E787" s="29" t="n"/>
      <c r="F787" s="29" t="n"/>
      <c r="G787" s="29" t="n"/>
      <c r="H787" s="28">
        <f>IF(B787="","",IF(B787="קנייה",-(D787*E787+G787),IF(B787="מכירה",D787*E787-G787,IF(B787="דיבידנד",F787-G787,IF(B787="הפקדה",F787-G787,IF(B787="משיכה",-F787-G787,-G787))))))</f>
        <v/>
      </c>
      <c r="I787" s="28">
        <f>IF(B787="קנייה",D787*E787+G787,0)</f>
        <v/>
      </c>
      <c r="J787" s="41">
        <f>IF(B787="מכירה",D787*E787-G787-D787*IFERROR(SUMIFS($I$5:I787,$C$5:C787,C787)/SUMIFS($D$5:D787,$C$5:C787,C787,$B$5:B787,"קנייה"),0),0)</f>
        <v/>
      </c>
      <c r="K787" s="26" t="n"/>
    </row>
    <row r="788">
      <c r="A788" s="39" t="n"/>
      <c r="B788" s="26" t="n"/>
      <c r="C788" s="26" t="n"/>
      <c r="D788" s="40" t="n"/>
      <c r="E788" s="29" t="n"/>
      <c r="F788" s="29" t="n"/>
      <c r="G788" s="29" t="n"/>
      <c r="H788" s="28">
        <f>IF(B788="","",IF(B788="קנייה",-(D788*E788+G788),IF(B788="מכירה",D788*E788-G788,IF(B788="דיבידנד",F788-G788,IF(B788="הפקדה",F788-G788,IF(B788="משיכה",-F788-G788,-G788))))))</f>
        <v/>
      </c>
      <c r="I788" s="28">
        <f>IF(B788="קנייה",D788*E788+G788,0)</f>
        <v/>
      </c>
      <c r="J788" s="41">
        <f>IF(B788="מכירה",D788*E788-G788-D788*IFERROR(SUMIFS($I$5:I788,$C$5:C788,C788)/SUMIFS($D$5:D788,$C$5:C788,C788,$B$5:B788,"קנייה"),0),0)</f>
        <v/>
      </c>
      <c r="K788" s="26" t="n"/>
    </row>
    <row r="789">
      <c r="A789" s="39" t="n"/>
      <c r="B789" s="26" t="n"/>
      <c r="C789" s="26" t="n"/>
      <c r="D789" s="40" t="n"/>
      <c r="E789" s="29" t="n"/>
      <c r="F789" s="29" t="n"/>
      <c r="G789" s="29" t="n"/>
      <c r="H789" s="28">
        <f>IF(B789="","",IF(B789="קנייה",-(D789*E789+G789),IF(B789="מכירה",D789*E789-G789,IF(B789="דיבידנד",F789-G789,IF(B789="הפקדה",F789-G789,IF(B789="משיכה",-F789-G789,-G789))))))</f>
        <v/>
      </c>
      <c r="I789" s="28">
        <f>IF(B789="קנייה",D789*E789+G789,0)</f>
        <v/>
      </c>
      <c r="J789" s="41">
        <f>IF(B789="מכירה",D789*E789-G789-D789*IFERROR(SUMIFS($I$5:I789,$C$5:C789,C789)/SUMIFS($D$5:D789,$C$5:C789,C789,$B$5:B789,"קנייה"),0),0)</f>
        <v/>
      </c>
      <c r="K789" s="26" t="n"/>
    </row>
    <row r="790">
      <c r="A790" s="39" t="n"/>
      <c r="B790" s="26" t="n"/>
      <c r="C790" s="26" t="n"/>
      <c r="D790" s="40" t="n"/>
      <c r="E790" s="29" t="n"/>
      <c r="F790" s="29" t="n"/>
      <c r="G790" s="29" t="n"/>
      <c r="H790" s="28">
        <f>IF(B790="","",IF(B790="קנייה",-(D790*E790+G790),IF(B790="מכירה",D790*E790-G790,IF(B790="דיבידנד",F790-G790,IF(B790="הפקדה",F790-G790,IF(B790="משיכה",-F790-G790,-G790))))))</f>
        <v/>
      </c>
      <c r="I790" s="28">
        <f>IF(B790="קנייה",D790*E790+G790,0)</f>
        <v/>
      </c>
      <c r="J790" s="41">
        <f>IF(B790="מכירה",D790*E790-G790-D790*IFERROR(SUMIFS($I$5:I790,$C$5:C790,C790)/SUMIFS($D$5:D790,$C$5:C790,C790,$B$5:B790,"קנייה"),0),0)</f>
        <v/>
      </c>
      <c r="K790" s="26" t="n"/>
    </row>
    <row r="791">
      <c r="A791" s="39" t="n"/>
      <c r="B791" s="26" t="n"/>
      <c r="C791" s="26" t="n"/>
      <c r="D791" s="40" t="n"/>
      <c r="E791" s="29" t="n"/>
      <c r="F791" s="29" t="n"/>
      <c r="G791" s="29" t="n"/>
      <c r="H791" s="28">
        <f>IF(B791="","",IF(B791="קנייה",-(D791*E791+G791),IF(B791="מכירה",D791*E791-G791,IF(B791="דיבידנד",F791-G791,IF(B791="הפקדה",F791-G791,IF(B791="משיכה",-F791-G791,-G791))))))</f>
        <v/>
      </c>
      <c r="I791" s="28">
        <f>IF(B791="קנייה",D791*E791+G791,0)</f>
        <v/>
      </c>
      <c r="J791" s="41">
        <f>IF(B791="מכירה",D791*E791-G791-D791*IFERROR(SUMIFS($I$5:I791,$C$5:C791,C791)/SUMIFS($D$5:D791,$C$5:C791,C791,$B$5:B791,"קנייה"),0),0)</f>
        <v/>
      </c>
      <c r="K791" s="26" t="n"/>
    </row>
    <row r="792">
      <c r="A792" s="39" t="n"/>
      <c r="B792" s="26" t="n"/>
      <c r="C792" s="26" t="n"/>
      <c r="D792" s="40" t="n"/>
      <c r="E792" s="29" t="n"/>
      <c r="F792" s="29" t="n"/>
      <c r="G792" s="29" t="n"/>
      <c r="H792" s="28">
        <f>IF(B792="","",IF(B792="קנייה",-(D792*E792+G792),IF(B792="מכירה",D792*E792-G792,IF(B792="דיבידנד",F792-G792,IF(B792="הפקדה",F792-G792,IF(B792="משיכה",-F792-G792,-G792))))))</f>
        <v/>
      </c>
      <c r="I792" s="28">
        <f>IF(B792="קנייה",D792*E792+G792,0)</f>
        <v/>
      </c>
      <c r="J792" s="41">
        <f>IF(B792="מכירה",D792*E792-G792-D792*IFERROR(SUMIFS($I$5:I792,$C$5:C792,C792)/SUMIFS($D$5:D792,$C$5:C792,C792,$B$5:B792,"קנייה"),0),0)</f>
        <v/>
      </c>
      <c r="K792" s="26" t="n"/>
    </row>
    <row r="793">
      <c r="A793" s="39" t="n"/>
      <c r="B793" s="26" t="n"/>
      <c r="C793" s="26" t="n"/>
      <c r="D793" s="40" t="n"/>
      <c r="E793" s="29" t="n"/>
      <c r="F793" s="29" t="n"/>
      <c r="G793" s="29" t="n"/>
      <c r="H793" s="28">
        <f>IF(B793="","",IF(B793="קנייה",-(D793*E793+G793),IF(B793="מכירה",D793*E793-G793,IF(B793="דיבידנד",F793-G793,IF(B793="הפקדה",F793-G793,IF(B793="משיכה",-F793-G793,-G793))))))</f>
        <v/>
      </c>
      <c r="I793" s="28">
        <f>IF(B793="קנייה",D793*E793+G793,0)</f>
        <v/>
      </c>
      <c r="J793" s="41">
        <f>IF(B793="מכירה",D793*E793-G793-D793*IFERROR(SUMIFS($I$5:I793,$C$5:C793,C793)/SUMIFS($D$5:D793,$C$5:C793,C793,$B$5:B793,"קנייה"),0),0)</f>
        <v/>
      </c>
      <c r="K793" s="26" t="n"/>
    </row>
    <row r="794">
      <c r="A794" s="39" t="n"/>
      <c r="B794" s="26" t="n"/>
      <c r="C794" s="26" t="n"/>
      <c r="D794" s="40" t="n"/>
      <c r="E794" s="29" t="n"/>
      <c r="F794" s="29" t="n"/>
      <c r="G794" s="29" t="n"/>
      <c r="H794" s="28">
        <f>IF(B794="","",IF(B794="קנייה",-(D794*E794+G794),IF(B794="מכירה",D794*E794-G794,IF(B794="דיבידנד",F794-G794,IF(B794="הפקדה",F794-G794,IF(B794="משיכה",-F794-G794,-G794))))))</f>
        <v/>
      </c>
      <c r="I794" s="28">
        <f>IF(B794="קנייה",D794*E794+G794,0)</f>
        <v/>
      </c>
      <c r="J794" s="41">
        <f>IF(B794="מכירה",D794*E794-G794-D794*IFERROR(SUMIFS($I$5:I794,$C$5:C794,C794)/SUMIFS($D$5:D794,$C$5:C794,C794,$B$5:B794,"קנייה"),0),0)</f>
        <v/>
      </c>
      <c r="K794" s="26" t="n"/>
    </row>
    <row r="795">
      <c r="A795" s="39" t="n"/>
      <c r="B795" s="26" t="n"/>
      <c r="C795" s="26" t="n"/>
      <c r="D795" s="40" t="n"/>
      <c r="E795" s="29" t="n"/>
      <c r="F795" s="29" t="n"/>
      <c r="G795" s="29" t="n"/>
      <c r="H795" s="28">
        <f>IF(B795="","",IF(B795="קנייה",-(D795*E795+G795),IF(B795="מכירה",D795*E795-G795,IF(B795="דיבידנד",F795-G795,IF(B795="הפקדה",F795-G795,IF(B795="משיכה",-F795-G795,-G795))))))</f>
        <v/>
      </c>
      <c r="I795" s="28">
        <f>IF(B795="קנייה",D795*E795+G795,0)</f>
        <v/>
      </c>
      <c r="J795" s="41">
        <f>IF(B795="מכירה",D795*E795-G795-D795*IFERROR(SUMIFS($I$5:I795,$C$5:C795,C795)/SUMIFS($D$5:D795,$C$5:C795,C795,$B$5:B795,"קנייה"),0),0)</f>
        <v/>
      </c>
      <c r="K795" s="26" t="n"/>
    </row>
    <row r="796">
      <c r="A796" s="39" t="n"/>
      <c r="B796" s="26" t="n"/>
      <c r="C796" s="26" t="n"/>
      <c r="D796" s="40" t="n"/>
      <c r="E796" s="29" t="n"/>
      <c r="F796" s="29" t="n"/>
      <c r="G796" s="29" t="n"/>
      <c r="H796" s="28">
        <f>IF(B796="","",IF(B796="קנייה",-(D796*E796+G796),IF(B796="מכירה",D796*E796-G796,IF(B796="דיבידנד",F796-G796,IF(B796="הפקדה",F796-G796,IF(B796="משיכה",-F796-G796,-G796))))))</f>
        <v/>
      </c>
      <c r="I796" s="28">
        <f>IF(B796="קנייה",D796*E796+G796,0)</f>
        <v/>
      </c>
      <c r="J796" s="41">
        <f>IF(B796="מכירה",D796*E796-G796-D796*IFERROR(SUMIFS($I$5:I796,$C$5:C796,C796)/SUMIFS($D$5:D796,$C$5:C796,C796,$B$5:B796,"קנייה"),0),0)</f>
        <v/>
      </c>
      <c r="K796" s="26" t="n"/>
    </row>
    <row r="797">
      <c r="A797" s="39" t="n"/>
      <c r="B797" s="26" t="n"/>
      <c r="C797" s="26" t="n"/>
      <c r="D797" s="40" t="n"/>
      <c r="E797" s="29" t="n"/>
      <c r="F797" s="29" t="n"/>
      <c r="G797" s="29" t="n"/>
      <c r="H797" s="28">
        <f>IF(B797="","",IF(B797="קנייה",-(D797*E797+G797),IF(B797="מכירה",D797*E797-G797,IF(B797="דיבידנד",F797-G797,IF(B797="הפקדה",F797-G797,IF(B797="משיכה",-F797-G797,-G797))))))</f>
        <v/>
      </c>
      <c r="I797" s="28">
        <f>IF(B797="קנייה",D797*E797+G797,0)</f>
        <v/>
      </c>
      <c r="J797" s="41">
        <f>IF(B797="מכירה",D797*E797-G797-D797*IFERROR(SUMIFS($I$5:I797,$C$5:C797,C797)/SUMIFS($D$5:D797,$C$5:C797,C797,$B$5:B797,"קנייה"),0),0)</f>
        <v/>
      </c>
      <c r="K797" s="26" t="n"/>
    </row>
    <row r="798">
      <c r="A798" s="39" t="n"/>
      <c r="B798" s="26" t="n"/>
      <c r="C798" s="26" t="n"/>
      <c r="D798" s="40" t="n"/>
      <c r="E798" s="29" t="n"/>
      <c r="F798" s="29" t="n"/>
      <c r="G798" s="29" t="n"/>
      <c r="H798" s="28">
        <f>IF(B798="","",IF(B798="קנייה",-(D798*E798+G798),IF(B798="מכירה",D798*E798-G798,IF(B798="דיבידנד",F798-G798,IF(B798="הפקדה",F798-G798,IF(B798="משיכה",-F798-G798,-G798))))))</f>
        <v/>
      </c>
      <c r="I798" s="28">
        <f>IF(B798="קנייה",D798*E798+G798,0)</f>
        <v/>
      </c>
      <c r="J798" s="41">
        <f>IF(B798="מכירה",D798*E798-G798-D798*IFERROR(SUMIFS($I$5:I798,$C$5:C798,C798)/SUMIFS($D$5:D798,$C$5:C798,C798,$B$5:B798,"קנייה"),0),0)</f>
        <v/>
      </c>
      <c r="K798" s="26" t="n"/>
    </row>
    <row r="799">
      <c r="A799" s="39" t="n"/>
      <c r="B799" s="26" t="n"/>
      <c r="C799" s="26" t="n"/>
      <c r="D799" s="40" t="n"/>
      <c r="E799" s="29" t="n"/>
      <c r="F799" s="29" t="n"/>
      <c r="G799" s="29" t="n"/>
      <c r="H799" s="28">
        <f>IF(B799="","",IF(B799="קנייה",-(D799*E799+G799),IF(B799="מכירה",D799*E799-G799,IF(B799="דיבידנד",F799-G799,IF(B799="הפקדה",F799-G799,IF(B799="משיכה",-F799-G799,-G799))))))</f>
        <v/>
      </c>
      <c r="I799" s="28">
        <f>IF(B799="קנייה",D799*E799+G799,0)</f>
        <v/>
      </c>
      <c r="J799" s="41">
        <f>IF(B799="מכירה",D799*E799-G799-D799*IFERROR(SUMIFS($I$5:I799,$C$5:C799,C799)/SUMIFS($D$5:D799,$C$5:C799,C799,$B$5:B799,"קנייה"),0),0)</f>
        <v/>
      </c>
      <c r="K799" s="26" t="n"/>
    </row>
    <row r="800">
      <c r="A800" s="39" t="n"/>
      <c r="B800" s="26" t="n"/>
      <c r="C800" s="26" t="n"/>
      <c r="D800" s="40" t="n"/>
      <c r="E800" s="29" t="n"/>
      <c r="F800" s="29" t="n"/>
      <c r="G800" s="29" t="n"/>
      <c r="H800" s="28">
        <f>IF(B800="","",IF(B800="קנייה",-(D800*E800+G800),IF(B800="מכירה",D800*E800-G800,IF(B800="דיבידנד",F800-G800,IF(B800="הפקדה",F800-G800,IF(B800="משיכה",-F800-G800,-G800))))))</f>
        <v/>
      </c>
      <c r="I800" s="28">
        <f>IF(B800="קנייה",D800*E800+G800,0)</f>
        <v/>
      </c>
      <c r="J800" s="41">
        <f>IF(B800="מכירה",D800*E800-G800-D800*IFERROR(SUMIFS($I$5:I800,$C$5:C800,C800)/SUMIFS($D$5:D800,$C$5:C800,C800,$B$5:B800,"קנייה"),0),0)</f>
        <v/>
      </c>
      <c r="K800" s="26" t="n"/>
    </row>
    <row r="801">
      <c r="A801" s="39" t="n"/>
      <c r="B801" s="26" t="n"/>
      <c r="C801" s="26" t="n"/>
      <c r="D801" s="40" t="n"/>
      <c r="E801" s="29" t="n"/>
      <c r="F801" s="29" t="n"/>
      <c r="G801" s="29" t="n"/>
      <c r="H801" s="28">
        <f>IF(B801="","",IF(B801="קנייה",-(D801*E801+G801),IF(B801="מכירה",D801*E801-G801,IF(B801="דיבידנד",F801-G801,IF(B801="הפקדה",F801-G801,IF(B801="משיכה",-F801-G801,-G801))))))</f>
        <v/>
      </c>
      <c r="I801" s="28">
        <f>IF(B801="קנייה",D801*E801+G801,0)</f>
        <v/>
      </c>
      <c r="J801" s="41">
        <f>IF(B801="מכירה",D801*E801-G801-D801*IFERROR(SUMIFS($I$5:I801,$C$5:C801,C801)/SUMIFS($D$5:D801,$C$5:C801,C801,$B$5:B801,"קנייה"),0),0)</f>
        <v/>
      </c>
      <c r="K801" s="26" t="n"/>
    </row>
    <row r="802">
      <c r="A802" s="39" t="n"/>
      <c r="B802" s="26" t="n"/>
      <c r="C802" s="26" t="n"/>
      <c r="D802" s="40" t="n"/>
      <c r="E802" s="29" t="n"/>
      <c r="F802" s="29" t="n"/>
      <c r="G802" s="29" t="n"/>
      <c r="H802" s="28">
        <f>IF(B802="","",IF(B802="קנייה",-(D802*E802+G802),IF(B802="מכירה",D802*E802-G802,IF(B802="דיבידנד",F802-G802,IF(B802="הפקדה",F802-G802,IF(B802="משיכה",-F802-G802,-G802))))))</f>
        <v/>
      </c>
      <c r="I802" s="28">
        <f>IF(B802="קנייה",D802*E802+G802,0)</f>
        <v/>
      </c>
      <c r="J802" s="41">
        <f>IF(B802="מכירה",D802*E802-G802-D802*IFERROR(SUMIFS($I$5:I802,$C$5:C802,C802)/SUMIFS($D$5:D802,$C$5:C802,C802,$B$5:B802,"קנייה"),0),0)</f>
        <v/>
      </c>
      <c r="K802" s="26" t="n"/>
    </row>
    <row r="803">
      <c r="A803" s="39" t="n"/>
      <c r="B803" s="26" t="n"/>
      <c r="C803" s="26" t="n"/>
      <c r="D803" s="40" t="n"/>
      <c r="E803" s="29" t="n"/>
      <c r="F803" s="29" t="n"/>
      <c r="G803" s="29" t="n"/>
      <c r="H803" s="28">
        <f>IF(B803="","",IF(B803="קנייה",-(D803*E803+G803),IF(B803="מכירה",D803*E803-G803,IF(B803="דיבידנד",F803-G803,IF(B803="הפקדה",F803-G803,IF(B803="משיכה",-F803-G803,-G803))))))</f>
        <v/>
      </c>
      <c r="I803" s="28">
        <f>IF(B803="קנייה",D803*E803+G803,0)</f>
        <v/>
      </c>
      <c r="J803" s="41">
        <f>IF(B803="מכירה",D803*E803-G803-D803*IFERROR(SUMIFS($I$5:I803,$C$5:C803,C803)/SUMIFS($D$5:D803,$C$5:C803,C803,$B$5:B803,"קנייה"),0),0)</f>
        <v/>
      </c>
      <c r="K803" s="26" t="n"/>
    </row>
    <row r="804">
      <c r="A804" s="39" t="n"/>
      <c r="B804" s="26" t="n"/>
      <c r="C804" s="26" t="n"/>
      <c r="D804" s="40" t="n"/>
      <c r="E804" s="29" t="n"/>
      <c r="F804" s="29" t="n"/>
      <c r="G804" s="29" t="n"/>
      <c r="H804" s="28">
        <f>IF(B804="","",IF(B804="קנייה",-(D804*E804+G804),IF(B804="מכירה",D804*E804-G804,IF(B804="דיבידנד",F804-G804,IF(B804="הפקדה",F804-G804,IF(B804="משיכה",-F804-G804,-G804))))))</f>
        <v/>
      </c>
      <c r="I804" s="28">
        <f>IF(B804="קנייה",D804*E804+G804,0)</f>
        <v/>
      </c>
      <c r="J804" s="41">
        <f>IF(B804="מכירה",D804*E804-G804-D804*IFERROR(SUMIFS($I$5:I804,$C$5:C804,C804)/SUMIFS($D$5:D804,$C$5:C804,C804,$B$5:B804,"קנייה"),0),0)</f>
        <v/>
      </c>
      <c r="K804" s="26" t="n"/>
    </row>
    <row r="805">
      <c r="A805" s="39" t="n"/>
      <c r="B805" s="26" t="n"/>
      <c r="C805" s="26" t="n"/>
      <c r="D805" s="40" t="n"/>
      <c r="E805" s="29" t="n"/>
      <c r="F805" s="29" t="n"/>
      <c r="G805" s="29" t="n"/>
      <c r="H805" s="28">
        <f>IF(B805="","",IF(B805="קנייה",-(D805*E805+G805),IF(B805="מכירה",D805*E805-G805,IF(B805="דיבידנד",F805-G805,IF(B805="הפקדה",F805-G805,IF(B805="משיכה",-F805-G805,-G805))))))</f>
        <v/>
      </c>
      <c r="I805" s="28">
        <f>IF(B805="קנייה",D805*E805+G805,0)</f>
        <v/>
      </c>
      <c r="J805" s="41">
        <f>IF(B805="מכירה",D805*E805-G805-D805*IFERROR(SUMIFS($I$5:I805,$C$5:C805,C805)/SUMIFS($D$5:D805,$C$5:C805,C805,$B$5:B805,"קנייה"),0),0)</f>
        <v/>
      </c>
      <c r="K805" s="26" t="n"/>
    </row>
    <row r="806">
      <c r="A806" s="39" t="n"/>
      <c r="B806" s="26" t="n"/>
      <c r="C806" s="26" t="n"/>
      <c r="D806" s="40" t="n"/>
      <c r="E806" s="29" t="n"/>
      <c r="F806" s="29" t="n"/>
      <c r="G806" s="29" t="n"/>
      <c r="H806" s="28">
        <f>IF(B806="","",IF(B806="קנייה",-(D806*E806+G806),IF(B806="מכירה",D806*E806-G806,IF(B806="דיבידנד",F806-G806,IF(B806="הפקדה",F806-G806,IF(B806="משיכה",-F806-G806,-G806))))))</f>
        <v/>
      </c>
      <c r="I806" s="28">
        <f>IF(B806="קנייה",D806*E806+G806,0)</f>
        <v/>
      </c>
      <c r="J806" s="41">
        <f>IF(B806="מכירה",D806*E806-G806-D806*IFERROR(SUMIFS($I$5:I806,$C$5:C806,C806)/SUMIFS($D$5:D806,$C$5:C806,C806,$B$5:B806,"קנייה"),0),0)</f>
        <v/>
      </c>
      <c r="K806" s="26" t="n"/>
    </row>
    <row r="807">
      <c r="A807" s="39" t="n"/>
      <c r="B807" s="26" t="n"/>
      <c r="C807" s="26" t="n"/>
      <c r="D807" s="40" t="n"/>
      <c r="E807" s="29" t="n"/>
      <c r="F807" s="29" t="n"/>
      <c r="G807" s="29" t="n"/>
      <c r="H807" s="28">
        <f>IF(B807="","",IF(B807="קנייה",-(D807*E807+G807),IF(B807="מכירה",D807*E807-G807,IF(B807="דיבידנד",F807-G807,IF(B807="הפקדה",F807-G807,IF(B807="משיכה",-F807-G807,-G807))))))</f>
        <v/>
      </c>
      <c r="I807" s="28">
        <f>IF(B807="קנייה",D807*E807+G807,0)</f>
        <v/>
      </c>
      <c r="J807" s="41">
        <f>IF(B807="מכירה",D807*E807-G807-D807*IFERROR(SUMIFS($I$5:I807,$C$5:C807,C807)/SUMIFS($D$5:D807,$C$5:C807,C807,$B$5:B807,"קנייה"),0),0)</f>
        <v/>
      </c>
      <c r="K807" s="26" t="n"/>
    </row>
    <row r="808">
      <c r="A808" s="39" t="n"/>
      <c r="B808" s="26" t="n"/>
      <c r="C808" s="26" t="n"/>
      <c r="D808" s="40" t="n"/>
      <c r="E808" s="29" t="n"/>
      <c r="F808" s="29" t="n"/>
      <c r="G808" s="29" t="n"/>
      <c r="H808" s="28">
        <f>IF(B808="","",IF(B808="קנייה",-(D808*E808+G808),IF(B808="מכירה",D808*E808-G808,IF(B808="דיבידנד",F808-G808,IF(B808="הפקדה",F808-G808,IF(B808="משיכה",-F808-G808,-G808))))))</f>
        <v/>
      </c>
      <c r="I808" s="28">
        <f>IF(B808="קנייה",D808*E808+G808,0)</f>
        <v/>
      </c>
      <c r="J808" s="41">
        <f>IF(B808="מכירה",D808*E808-G808-D808*IFERROR(SUMIFS($I$5:I808,$C$5:C808,C808)/SUMIFS($D$5:D808,$C$5:C808,C808,$B$5:B808,"קנייה"),0),0)</f>
        <v/>
      </c>
      <c r="K808" s="26" t="n"/>
    </row>
    <row r="809">
      <c r="A809" s="39" t="n"/>
      <c r="B809" s="26" t="n"/>
      <c r="C809" s="26" t="n"/>
      <c r="D809" s="40" t="n"/>
      <c r="E809" s="29" t="n"/>
      <c r="F809" s="29" t="n"/>
      <c r="G809" s="29" t="n"/>
      <c r="H809" s="28">
        <f>IF(B809="","",IF(B809="קנייה",-(D809*E809+G809),IF(B809="מכירה",D809*E809-G809,IF(B809="דיבידנד",F809-G809,IF(B809="הפקדה",F809-G809,IF(B809="משיכה",-F809-G809,-G809))))))</f>
        <v/>
      </c>
      <c r="I809" s="28">
        <f>IF(B809="קנייה",D809*E809+G809,0)</f>
        <v/>
      </c>
      <c r="J809" s="41">
        <f>IF(B809="מכירה",D809*E809-G809-D809*IFERROR(SUMIFS($I$5:I809,$C$5:C809,C809)/SUMIFS($D$5:D809,$C$5:C809,C809,$B$5:B809,"קנייה"),0),0)</f>
        <v/>
      </c>
      <c r="K809" s="26" t="n"/>
    </row>
    <row r="810">
      <c r="A810" s="39" t="n"/>
      <c r="B810" s="26" t="n"/>
      <c r="C810" s="26" t="n"/>
      <c r="D810" s="40" t="n"/>
      <c r="E810" s="29" t="n"/>
      <c r="F810" s="29" t="n"/>
      <c r="G810" s="29" t="n"/>
      <c r="H810" s="28">
        <f>IF(B810="","",IF(B810="קנייה",-(D810*E810+G810),IF(B810="מכירה",D810*E810-G810,IF(B810="דיבידנד",F810-G810,IF(B810="הפקדה",F810-G810,IF(B810="משיכה",-F810-G810,-G810))))))</f>
        <v/>
      </c>
      <c r="I810" s="28">
        <f>IF(B810="קנייה",D810*E810+G810,0)</f>
        <v/>
      </c>
      <c r="J810" s="41">
        <f>IF(B810="מכירה",D810*E810-G810-D810*IFERROR(SUMIFS($I$5:I810,$C$5:C810,C810)/SUMIFS($D$5:D810,$C$5:C810,C810,$B$5:B810,"קנייה"),0),0)</f>
        <v/>
      </c>
      <c r="K810" s="26" t="n"/>
    </row>
    <row r="811">
      <c r="A811" s="39" t="n"/>
      <c r="B811" s="26" t="n"/>
      <c r="C811" s="26" t="n"/>
      <c r="D811" s="40" t="n"/>
      <c r="E811" s="29" t="n"/>
      <c r="F811" s="29" t="n"/>
      <c r="G811" s="29" t="n"/>
      <c r="H811" s="28">
        <f>IF(B811="","",IF(B811="קנייה",-(D811*E811+G811),IF(B811="מכירה",D811*E811-G811,IF(B811="דיבידנד",F811-G811,IF(B811="הפקדה",F811-G811,IF(B811="משיכה",-F811-G811,-G811))))))</f>
        <v/>
      </c>
      <c r="I811" s="28">
        <f>IF(B811="קנייה",D811*E811+G811,0)</f>
        <v/>
      </c>
      <c r="J811" s="41">
        <f>IF(B811="מכירה",D811*E811-G811-D811*IFERROR(SUMIFS($I$5:I811,$C$5:C811,C811)/SUMIFS($D$5:D811,$C$5:C811,C811,$B$5:B811,"קנייה"),0),0)</f>
        <v/>
      </c>
      <c r="K811" s="26" t="n"/>
    </row>
    <row r="812">
      <c r="A812" s="39" t="n"/>
      <c r="B812" s="26" t="n"/>
      <c r="C812" s="26" t="n"/>
      <c r="D812" s="40" t="n"/>
      <c r="E812" s="29" t="n"/>
      <c r="F812" s="29" t="n"/>
      <c r="G812" s="29" t="n"/>
      <c r="H812" s="28">
        <f>IF(B812="","",IF(B812="קנייה",-(D812*E812+G812),IF(B812="מכירה",D812*E812-G812,IF(B812="דיבידנד",F812-G812,IF(B812="הפקדה",F812-G812,IF(B812="משיכה",-F812-G812,-G812))))))</f>
        <v/>
      </c>
      <c r="I812" s="28">
        <f>IF(B812="קנייה",D812*E812+G812,0)</f>
        <v/>
      </c>
      <c r="J812" s="41">
        <f>IF(B812="מכירה",D812*E812-G812-D812*IFERROR(SUMIFS($I$5:I812,$C$5:C812,C812)/SUMIFS($D$5:D812,$C$5:C812,C812,$B$5:B812,"קנייה"),0),0)</f>
        <v/>
      </c>
      <c r="K812" s="26" t="n"/>
    </row>
    <row r="813">
      <c r="A813" s="39" t="n"/>
      <c r="B813" s="26" t="n"/>
      <c r="C813" s="26" t="n"/>
      <c r="D813" s="40" t="n"/>
      <c r="E813" s="29" t="n"/>
      <c r="F813" s="29" t="n"/>
      <c r="G813" s="29" t="n"/>
      <c r="H813" s="28">
        <f>IF(B813="","",IF(B813="קנייה",-(D813*E813+G813),IF(B813="מכירה",D813*E813-G813,IF(B813="דיבידנד",F813-G813,IF(B813="הפקדה",F813-G813,IF(B813="משיכה",-F813-G813,-G813))))))</f>
        <v/>
      </c>
      <c r="I813" s="28">
        <f>IF(B813="קנייה",D813*E813+G813,0)</f>
        <v/>
      </c>
      <c r="J813" s="41">
        <f>IF(B813="מכירה",D813*E813-G813-D813*IFERROR(SUMIFS($I$5:I813,$C$5:C813,C813)/SUMIFS($D$5:D813,$C$5:C813,C813,$B$5:B813,"קנייה"),0),0)</f>
        <v/>
      </c>
      <c r="K813" s="26" t="n"/>
    </row>
    <row r="814">
      <c r="A814" s="39" t="n"/>
      <c r="B814" s="26" t="n"/>
      <c r="C814" s="26" t="n"/>
      <c r="D814" s="40" t="n"/>
      <c r="E814" s="29" t="n"/>
      <c r="F814" s="29" t="n"/>
      <c r="G814" s="29" t="n"/>
      <c r="H814" s="28">
        <f>IF(B814="","",IF(B814="קנייה",-(D814*E814+G814),IF(B814="מכירה",D814*E814-G814,IF(B814="דיבידנד",F814-G814,IF(B814="הפקדה",F814-G814,IF(B814="משיכה",-F814-G814,-G814))))))</f>
        <v/>
      </c>
      <c r="I814" s="28">
        <f>IF(B814="קנייה",D814*E814+G814,0)</f>
        <v/>
      </c>
      <c r="J814" s="41">
        <f>IF(B814="מכירה",D814*E814-G814-D814*IFERROR(SUMIFS($I$5:I814,$C$5:C814,C814)/SUMIFS($D$5:D814,$C$5:C814,C814,$B$5:B814,"קנייה"),0),0)</f>
        <v/>
      </c>
      <c r="K814" s="26" t="n"/>
    </row>
    <row r="815">
      <c r="A815" s="39" t="n"/>
      <c r="B815" s="26" t="n"/>
      <c r="C815" s="26" t="n"/>
      <c r="D815" s="40" t="n"/>
      <c r="E815" s="29" t="n"/>
      <c r="F815" s="29" t="n"/>
      <c r="G815" s="29" t="n"/>
      <c r="H815" s="28">
        <f>IF(B815="","",IF(B815="קנייה",-(D815*E815+G815),IF(B815="מכירה",D815*E815-G815,IF(B815="דיבידנד",F815-G815,IF(B815="הפקדה",F815-G815,IF(B815="משיכה",-F815-G815,-G815))))))</f>
        <v/>
      </c>
      <c r="I815" s="28">
        <f>IF(B815="קנייה",D815*E815+G815,0)</f>
        <v/>
      </c>
      <c r="J815" s="41">
        <f>IF(B815="מכירה",D815*E815-G815-D815*IFERROR(SUMIFS($I$5:I815,$C$5:C815,C815)/SUMIFS($D$5:D815,$C$5:C815,C815,$B$5:B815,"קנייה"),0),0)</f>
        <v/>
      </c>
      <c r="K815" s="26" t="n"/>
    </row>
    <row r="816">
      <c r="A816" s="39" t="n"/>
      <c r="B816" s="26" t="n"/>
      <c r="C816" s="26" t="n"/>
      <c r="D816" s="40" t="n"/>
      <c r="E816" s="29" t="n"/>
      <c r="F816" s="29" t="n"/>
      <c r="G816" s="29" t="n"/>
      <c r="H816" s="28">
        <f>IF(B816="","",IF(B816="קנייה",-(D816*E816+G816),IF(B816="מכירה",D816*E816-G816,IF(B816="דיבידנד",F816-G816,IF(B816="הפקדה",F816-G816,IF(B816="משיכה",-F816-G816,-G816))))))</f>
        <v/>
      </c>
      <c r="I816" s="28">
        <f>IF(B816="קנייה",D816*E816+G816,0)</f>
        <v/>
      </c>
      <c r="J816" s="41">
        <f>IF(B816="מכירה",D816*E816-G816-D816*IFERROR(SUMIFS($I$5:I816,$C$5:C816,C816)/SUMIFS($D$5:D816,$C$5:C816,C816,$B$5:B816,"קנייה"),0),0)</f>
        <v/>
      </c>
      <c r="K816" s="26" t="n"/>
    </row>
    <row r="817">
      <c r="A817" s="39" t="n"/>
      <c r="B817" s="26" t="n"/>
      <c r="C817" s="26" t="n"/>
      <c r="D817" s="40" t="n"/>
      <c r="E817" s="29" t="n"/>
      <c r="F817" s="29" t="n"/>
      <c r="G817" s="29" t="n"/>
      <c r="H817" s="28">
        <f>IF(B817="","",IF(B817="קנייה",-(D817*E817+G817),IF(B817="מכירה",D817*E817-G817,IF(B817="דיבידנד",F817-G817,IF(B817="הפקדה",F817-G817,IF(B817="משיכה",-F817-G817,-G817))))))</f>
        <v/>
      </c>
      <c r="I817" s="28">
        <f>IF(B817="קנייה",D817*E817+G817,0)</f>
        <v/>
      </c>
      <c r="J817" s="41">
        <f>IF(B817="מכירה",D817*E817-G817-D817*IFERROR(SUMIFS($I$5:I817,$C$5:C817,C817)/SUMIFS($D$5:D817,$C$5:C817,C817,$B$5:B817,"קנייה"),0),0)</f>
        <v/>
      </c>
      <c r="K817" s="26" t="n"/>
    </row>
    <row r="818">
      <c r="A818" s="39" t="n"/>
      <c r="B818" s="26" t="n"/>
      <c r="C818" s="26" t="n"/>
      <c r="D818" s="40" t="n"/>
      <c r="E818" s="29" t="n"/>
      <c r="F818" s="29" t="n"/>
      <c r="G818" s="29" t="n"/>
      <c r="H818" s="28">
        <f>IF(B818="","",IF(B818="קנייה",-(D818*E818+G818),IF(B818="מכירה",D818*E818-G818,IF(B818="דיבידנד",F818-G818,IF(B818="הפקדה",F818-G818,IF(B818="משיכה",-F818-G818,-G818))))))</f>
        <v/>
      </c>
      <c r="I818" s="28">
        <f>IF(B818="קנייה",D818*E818+G818,0)</f>
        <v/>
      </c>
      <c r="J818" s="41">
        <f>IF(B818="מכירה",D818*E818-G818-D818*IFERROR(SUMIFS($I$5:I818,$C$5:C818,C818)/SUMIFS($D$5:D818,$C$5:C818,C818,$B$5:B818,"קנייה"),0),0)</f>
        <v/>
      </c>
      <c r="K818" s="26" t="n"/>
    </row>
    <row r="819">
      <c r="A819" s="39" t="n"/>
      <c r="B819" s="26" t="n"/>
      <c r="C819" s="26" t="n"/>
      <c r="D819" s="40" t="n"/>
      <c r="E819" s="29" t="n"/>
      <c r="F819" s="29" t="n"/>
      <c r="G819" s="29" t="n"/>
      <c r="H819" s="28">
        <f>IF(B819="","",IF(B819="קנייה",-(D819*E819+G819),IF(B819="מכירה",D819*E819-G819,IF(B819="דיבידנד",F819-G819,IF(B819="הפקדה",F819-G819,IF(B819="משיכה",-F819-G819,-G819))))))</f>
        <v/>
      </c>
      <c r="I819" s="28">
        <f>IF(B819="קנייה",D819*E819+G819,0)</f>
        <v/>
      </c>
      <c r="J819" s="41">
        <f>IF(B819="מכירה",D819*E819-G819-D819*IFERROR(SUMIFS($I$5:I819,$C$5:C819,C819)/SUMIFS($D$5:D819,$C$5:C819,C819,$B$5:B819,"קנייה"),0),0)</f>
        <v/>
      </c>
      <c r="K819" s="26" t="n"/>
    </row>
    <row r="820">
      <c r="A820" s="39" t="n"/>
      <c r="B820" s="26" t="n"/>
      <c r="C820" s="26" t="n"/>
      <c r="D820" s="40" t="n"/>
      <c r="E820" s="29" t="n"/>
      <c r="F820" s="29" t="n"/>
      <c r="G820" s="29" t="n"/>
      <c r="H820" s="28">
        <f>IF(B820="","",IF(B820="קנייה",-(D820*E820+G820),IF(B820="מכירה",D820*E820-G820,IF(B820="דיבידנד",F820-G820,IF(B820="הפקדה",F820-G820,IF(B820="משיכה",-F820-G820,-G820))))))</f>
        <v/>
      </c>
      <c r="I820" s="28">
        <f>IF(B820="קנייה",D820*E820+G820,0)</f>
        <v/>
      </c>
      <c r="J820" s="41">
        <f>IF(B820="מכירה",D820*E820-G820-D820*IFERROR(SUMIFS($I$5:I820,$C$5:C820,C820)/SUMIFS($D$5:D820,$C$5:C820,C820,$B$5:B820,"קנייה"),0),0)</f>
        <v/>
      </c>
      <c r="K820" s="26" t="n"/>
    </row>
    <row r="821">
      <c r="A821" s="39" t="n"/>
      <c r="B821" s="26" t="n"/>
      <c r="C821" s="26" t="n"/>
      <c r="D821" s="40" t="n"/>
      <c r="E821" s="29" t="n"/>
      <c r="F821" s="29" t="n"/>
      <c r="G821" s="29" t="n"/>
      <c r="H821" s="28">
        <f>IF(B821="","",IF(B821="קנייה",-(D821*E821+G821),IF(B821="מכירה",D821*E821-G821,IF(B821="דיבידנד",F821-G821,IF(B821="הפקדה",F821-G821,IF(B821="משיכה",-F821-G821,-G821))))))</f>
        <v/>
      </c>
      <c r="I821" s="28">
        <f>IF(B821="קנייה",D821*E821+G821,0)</f>
        <v/>
      </c>
      <c r="J821" s="41">
        <f>IF(B821="מכירה",D821*E821-G821-D821*IFERROR(SUMIFS($I$5:I821,$C$5:C821,C821)/SUMIFS($D$5:D821,$C$5:C821,C821,$B$5:B821,"קנייה"),0),0)</f>
        <v/>
      </c>
      <c r="K821" s="26" t="n"/>
    </row>
    <row r="822">
      <c r="A822" s="39" t="n"/>
      <c r="B822" s="26" t="n"/>
      <c r="C822" s="26" t="n"/>
      <c r="D822" s="40" t="n"/>
      <c r="E822" s="29" t="n"/>
      <c r="F822" s="29" t="n"/>
      <c r="G822" s="29" t="n"/>
      <c r="H822" s="28">
        <f>IF(B822="","",IF(B822="קנייה",-(D822*E822+G822),IF(B822="מכירה",D822*E822-G822,IF(B822="דיבידנד",F822-G822,IF(B822="הפקדה",F822-G822,IF(B822="משיכה",-F822-G822,-G822))))))</f>
        <v/>
      </c>
      <c r="I822" s="28">
        <f>IF(B822="קנייה",D822*E822+G822,0)</f>
        <v/>
      </c>
      <c r="J822" s="41">
        <f>IF(B822="מכירה",D822*E822-G822-D822*IFERROR(SUMIFS($I$5:I822,$C$5:C822,C822)/SUMIFS($D$5:D822,$C$5:C822,C822,$B$5:B822,"קנייה"),0),0)</f>
        <v/>
      </c>
      <c r="K822" s="26" t="n"/>
    </row>
    <row r="823">
      <c r="A823" s="39" t="n"/>
      <c r="B823" s="26" t="n"/>
      <c r="C823" s="26" t="n"/>
      <c r="D823" s="40" t="n"/>
      <c r="E823" s="29" t="n"/>
      <c r="F823" s="29" t="n"/>
      <c r="G823" s="29" t="n"/>
      <c r="H823" s="28">
        <f>IF(B823="","",IF(B823="קנייה",-(D823*E823+G823),IF(B823="מכירה",D823*E823-G823,IF(B823="דיבידנד",F823-G823,IF(B823="הפקדה",F823-G823,IF(B823="משיכה",-F823-G823,-G823))))))</f>
        <v/>
      </c>
      <c r="I823" s="28">
        <f>IF(B823="קנייה",D823*E823+G823,0)</f>
        <v/>
      </c>
      <c r="J823" s="41">
        <f>IF(B823="מכירה",D823*E823-G823-D823*IFERROR(SUMIFS($I$5:I823,$C$5:C823,C823)/SUMIFS($D$5:D823,$C$5:C823,C823,$B$5:B823,"קנייה"),0),0)</f>
        <v/>
      </c>
      <c r="K823" s="26" t="n"/>
    </row>
    <row r="824">
      <c r="A824" s="39" t="n"/>
      <c r="B824" s="26" t="n"/>
      <c r="C824" s="26" t="n"/>
      <c r="D824" s="40" t="n"/>
      <c r="E824" s="29" t="n"/>
      <c r="F824" s="29" t="n"/>
      <c r="G824" s="29" t="n"/>
      <c r="H824" s="28">
        <f>IF(B824="","",IF(B824="קנייה",-(D824*E824+G824),IF(B824="מכירה",D824*E824-G824,IF(B824="דיבידנד",F824-G824,IF(B824="הפקדה",F824-G824,IF(B824="משיכה",-F824-G824,-G824))))))</f>
        <v/>
      </c>
      <c r="I824" s="28">
        <f>IF(B824="קנייה",D824*E824+G824,0)</f>
        <v/>
      </c>
      <c r="J824" s="41">
        <f>IF(B824="מכירה",D824*E824-G824-D824*IFERROR(SUMIFS($I$5:I824,$C$5:C824,C824)/SUMIFS($D$5:D824,$C$5:C824,C824,$B$5:B824,"קנייה"),0),0)</f>
        <v/>
      </c>
      <c r="K824" s="26" t="n"/>
    </row>
    <row r="825">
      <c r="A825" s="39" t="n"/>
      <c r="B825" s="26" t="n"/>
      <c r="C825" s="26" t="n"/>
      <c r="D825" s="40" t="n"/>
      <c r="E825" s="29" t="n"/>
      <c r="F825" s="29" t="n"/>
      <c r="G825" s="29" t="n"/>
      <c r="H825" s="28">
        <f>IF(B825="","",IF(B825="קנייה",-(D825*E825+G825),IF(B825="מכירה",D825*E825-G825,IF(B825="דיבידנד",F825-G825,IF(B825="הפקדה",F825-G825,IF(B825="משיכה",-F825-G825,-G825))))))</f>
        <v/>
      </c>
      <c r="I825" s="28">
        <f>IF(B825="קנייה",D825*E825+G825,0)</f>
        <v/>
      </c>
      <c r="J825" s="41">
        <f>IF(B825="מכירה",D825*E825-G825-D825*IFERROR(SUMIFS($I$5:I825,$C$5:C825,C825)/SUMIFS($D$5:D825,$C$5:C825,C825,$B$5:B825,"קנייה"),0),0)</f>
        <v/>
      </c>
      <c r="K825" s="26" t="n"/>
    </row>
    <row r="826">
      <c r="A826" s="39" t="n"/>
      <c r="B826" s="26" t="n"/>
      <c r="C826" s="26" t="n"/>
      <c r="D826" s="40" t="n"/>
      <c r="E826" s="29" t="n"/>
      <c r="F826" s="29" t="n"/>
      <c r="G826" s="29" t="n"/>
      <c r="H826" s="28">
        <f>IF(B826="","",IF(B826="קנייה",-(D826*E826+G826),IF(B826="מכירה",D826*E826-G826,IF(B826="דיבידנד",F826-G826,IF(B826="הפקדה",F826-G826,IF(B826="משיכה",-F826-G826,-G826))))))</f>
        <v/>
      </c>
      <c r="I826" s="28">
        <f>IF(B826="קנייה",D826*E826+G826,0)</f>
        <v/>
      </c>
      <c r="J826" s="41">
        <f>IF(B826="מכירה",D826*E826-G826-D826*IFERROR(SUMIFS($I$5:I826,$C$5:C826,C826)/SUMIFS($D$5:D826,$C$5:C826,C826,$B$5:B826,"קנייה"),0),0)</f>
        <v/>
      </c>
      <c r="K826" s="26" t="n"/>
    </row>
    <row r="827">
      <c r="A827" s="39" t="n"/>
      <c r="B827" s="26" t="n"/>
      <c r="C827" s="26" t="n"/>
      <c r="D827" s="40" t="n"/>
      <c r="E827" s="29" t="n"/>
      <c r="F827" s="29" t="n"/>
      <c r="G827" s="29" t="n"/>
      <c r="H827" s="28">
        <f>IF(B827="","",IF(B827="קנייה",-(D827*E827+G827),IF(B827="מכירה",D827*E827-G827,IF(B827="דיבידנד",F827-G827,IF(B827="הפקדה",F827-G827,IF(B827="משיכה",-F827-G827,-G827))))))</f>
        <v/>
      </c>
      <c r="I827" s="28">
        <f>IF(B827="קנייה",D827*E827+G827,0)</f>
        <v/>
      </c>
      <c r="J827" s="41">
        <f>IF(B827="מכירה",D827*E827-G827-D827*IFERROR(SUMIFS($I$5:I827,$C$5:C827,C827)/SUMIFS($D$5:D827,$C$5:C827,C827,$B$5:B827,"קנייה"),0),0)</f>
        <v/>
      </c>
      <c r="K827" s="26" t="n"/>
    </row>
    <row r="828">
      <c r="A828" s="39" t="n"/>
      <c r="B828" s="26" t="n"/>
      <c r="C828" s="26" t="n"/>
      <c r="D828" s="40" t="n"/>
      <c r="E828" s="29" t="n"/>
      <c r="F828" s="29" t="n"/>
      <c r="G828" s="29" t="n"/>
      <c r="H828" s="28">
        <f>IF(B828="","",IF(B828="קנייה",-(D828*E828+G828),IF(B828="מכירה",D828*E828-G828,IF(B828="דיבידנד",F828-G828,IF(B828="הפקדה",F828-G828,IF(B828="משיכה",-F828-G828,-G828))))))</f>
        <v/>
      </c>
      <c r="I828" s="28">
        <f>IF(B828="קנייה",D828*E828+G828,0)</f>
        <v/>
      </c>
      <c r="J828" s="41">
        <f>IF(B828="מכירה",D828*E828-G828-D828*IFERROR(SUMIFS($I$5:I828,$C$5:C828,C828)/SUMIFS($D$5:D828,$C$5:C828,C828,$B$5:B828,"קנייה"),0),0)</f>
        <v/>
      </c>
      <c r="K828" s="26" t="n"/>
    </row>
    <row r="829">
      <c r="A829" s="39" t="n"/>
      <c r="B829" s="26" t="n"/>
      <c r="C829" s="26" t="n"/>
      <c r="D829" s="40" t="n"/>
      <c r="E829" s="29" t="n"/>
      <c r="F829" s="29" t="n"/>
      <c r="G829" s="29" t="n"/>
      <c r="H829" s="28">
        <f>IF(B829="","",IF(B829="קנייה",-(D829*E829+G829),IF(B829="מכירה",D829*E829-G829,IF(B829="דיבידנד",F829-G829,IF(B829="הפקדה",F829-G829,IF(B829="משיכה",-F829-G829,-G829))))))</f>
        <v/>
      </c>
      <c r="I829" s="28">
        <f>IF(B829="קנייה",D829*E829+G829,0)</f>
        <v/>
      </c>
      <c r="J829" s="41">
        <f>IF(B829="מכירה",D829*E829-G829-D829*IFERROR(SUMIFS($I$5:I829,$C$5:C829,C829)/SUMIFS($D$5:D829,$C$5:C829,C829,$B$5:B829,"קנייה"),0),0)</f>
        <v/>
      </c>
      <c r="K829" s="26" t="n"/>
    </row>
    <row r="830">
      <c r="A830" s="39" t="n"/>
      <c r="B830" s="26" t="n"/>
      <c r="C830" s="26" t="n"/>
      <c r="D830" s="40" t="n"/>
      <c r="E830" s="29" t="n"/>
      <c r="F830" s="29" t="n"/>
      <c r="G830" s="29" t="n"/>
      <c r="H830" s="28">
        <f>IF(B830="","",IF(B830="קנייה",-(D830*E830+G830),IF(B830="מכירה",D830*E830-G830,IF(B830="דיבידנד",F830-G830,IF(B830="הפקדה",F830-G830,IF(B830="משיכה",-F830-G830,-G830))))))</f>
        <v/>
      </c>
      <c r="I830" s="28">
        <f>IF(B830="קנייה",D830*E830+G830,0)</f>
        <v/>
      </c>
      <c r="J830" s="41">
        <f>IF(B830="מכירה",D830*E830-G830-D830*IFERROR(SUMIFS($I$5:I830,$C$5:C830,C830)/SUMIFS($D$5:D830,$C$5:C830,C830,$B$5:B830,"קנייה"),0),0)</f>
        <v/>
      </c>
      <c r="K830" s="26" t="n"/>
    </row>
    <row r="831">
      <c r="A831" s="39" t="n"/>
      <c r="B831" s="26" t="n"/>
      <c r="C831" s="26" t="n"/>
      <c r="D831" s="40" t="n"/>
      <c r="E831" s="29" t="n"/>
      <c r="F831" s="29" t="n"/>
      <c r="G831" s="29" t="n"/>
      <c r="H831" s="28">
        <f>IF(B831="","",IF(B831="קנייה",-(D831*E831+G831),IF(B831="מכירה",D831*E831-G831,IF(B831="דיבידנד",F831-G831,IF(B831="הפקדה",F831-G831,IF(B831="משיכה",-F831-G831,-G831))))))</f>
        <v/>
      </c>
      <c r="I831" s="28">
        <f>IF(B831="קנייה",D831*E831+G831,0)</f>
        <v/>
      </c>
      <c r="J831" s="41">
        <f>IF(B831="מכירה",D831*E831-G831-D831*IFERROR(SUMIFS($I$5:I831,$C$5:C831,C831)/SUMIFS($D$5:D831,$C$5:C831,C831,$B$5:B831,"קנייה"),0),0)</f>
        <v/>
      </c>
      <c r="K831" s="26" t="n"/>
    </row>
    <row r="832">
      <c r="A832" s="39" t="n"/>
      <c r="B832" s="26" t="n"/>
      <c r="C832" s="26" t="n"/>
      <c r="D832" s="40" t="n"/>
      <c r="E832" s="29" t="n"/>
      <c r="F832" s="29" t="n"/>
      <c r="G832" s="29" t="n"/>
      <c r="H832" s="28">
        <f>IF(B832="","",IF(B832="קנייה",-(D832*E832+G832),IF(B832="מכירה",D832*E832-G832,IF(B832="דיבידנד",F832-G832,IF(B832="הפקדה",F832-G832,IF(B832="משיכה",-F832-G832,-G832))))))</f>
        <v/>
      </c>
      <c r="I832" s="28">
        <f>IF(B832="קנייה",D832*E832+G832,0)</f>
        <v/>
      </c>
      <c r="J832" s="41">
        <f>IF(B832="מכירה",D832*E832-G832-D832*IFERROR(SUMIFS($I$5:I832,$C$5:C832,C832)/SUMIFS($D$5:D832,$C$5:C832,C832,$B$5:B832,"קנייה"),0),0)</f>
        <v/>
      </c>
      <c r="K832" s="26" t="n"/>
    </row>
    <row r="833">
      <c r="A833" s="39" t="n"/>
      <c r="B833" s="26" t="n"/>
      <c r="C833" s="26" t="n"/>
      <c r="D833" s="40" t="n"/>
      <c r="E833" s="29" t="n"/>
      <c r="F833" s="29" t="n"/>
      <c r="G833" s="29" t="n"/>
      <c r="H833" s="28">
        <f>IF(B833="","",IF(B833="קנייה",-(D833*E833+G833),IF(B833="מכירה",D833*E833-G833,IF(B833="דיבידנד",F833-G833,IF(B833="הפקדה",F833-G833,IF(B833="משיכה",-F833-G833,-G833))))))</f>
        <v/>
      </c>
      <c r="I833" s="28">
        <f>IF(B833="קנייה",D833*E833+G833,0)</f>
        <v/>
      </c>
      <c r="J833" s="41">
        <f>IF(B833="מכירה",D833*E833-G833-D833*IFERROR(SUMIFS($I$5:I833,$C$5:C833,C833)/SUMIFS($D$5:D833,$C$5:C833,C833,$B$5:B833,"קנייה"),0),0)</f>
        <v/>
      </c>
      <c r="K833" s="26" t="n"/>
    </row>
    <row r="834">
      <c r="A834" s="39" t="n"/>
      <c r="B834" s="26" t="n"/>
      <c r="C834" s="26" t="n"/>
      <c r="D834" s="40" t="n"/>
      <c r="E834" s="29" t="n"/>
      <c r="F834" s="29" t="n"/>
      <c r="G834" s="29" t="n"/>
      <c r="H834" s="28">
        <f>IF(B834="","",IF(B834="קנייה",-(D834*E834+G834),IF(B834="מכירה",D834*E834-G834,IF(B834="דיבידנד",F834-G834,IF(B834="הפקדה",F834-G834,IF(B834="משיכה",-F834-G834,-G834))))))</f>
        <v/>
      </c>
      <c r="I834" s="28">
        <f>IF(B834="קנייה",D834*E834+G834,0)</f>
        <v/>
      </c>
      <c r="J834" s="41">
        <f>IF(B834="מכירה",D834*E834-G834-D834*IFERROR(SUMIFS($I$5:I834,$C$5:C834,C834)/SUMIFS($D$5:D834,$C$5:C834,C834,$B$5:B834,"קנייה"),0),0)</f>
        <v/>
      </c>
      <c r="K834" s="26" t="n"/>
    </row>
    <row r="835">
      <c r="A835" s="39" t="n"/>
      <c r="B835" s="26" t="n"/>
      <c r="C835" s="26" t="n"/>
      <c r="D835" s="40" t="n"/>
      <c r="E835" s="29" t="n"/>
      <c r="F835" s="29" t="n"/>
      <c r="G835" s="29" t="n"/>
      <c r="H835" s="28">
        <f>IF(B835="","",IF(B835="קנייה",-(D835*E835+G835),IF(B835="מכירה",D835*E835-G835,IF(B835="דיבידנד",F835-G835,IF(B835="הפקדה",F835-G835,IF(B835="משיכה",-F835-G835,-G835))))))</f>
        <v/>
      </c>
      <c r="I835" s="28">
        <f>IF(B835="קנייה",D835*E835+G835,0)</f>
        <v/>
      </c>
      <c r="J835" s="41">
        <f>IF(B835="מכירה",D835*E835-G835-D835*IFERROR(SUMIFS($I$5:I835,$C$5:C835,C835)/SUMIFS($D$5:D835,$C$5:C835,C835,$B$5:B835,"קנייה"),0),0)</f>
        <v/>
      </c>
      <c r="K835" s="26" t="n"/>
    </row>
    <row r="836">
      <c r="A836" s="39" t="n"/>
      <c r="B836" s="26" t="n"/>
      <c r="C836" s="26" t="n"/>
      <c r="D836" s="40" t="n"/>
      <c r="E836" s="29" t="n"/>
      <c r="F836" s="29" t="n"/>
      <c r="G836" s="29" t="n"/>
      <c r="H836" s="28">
        <f>IF(B836="","",IF(B836="קנייה",-(D836*E836+G836),IF(B836="מכירה",D836*E836-G836,IF(B836="דיבידנד",F836-G836,IF(B836="הפקדה",F836-G836,IF(B836="משיכה",-F836-G836,-G836))))))</f>
        <v/>
      </c>
      <c r="I836" s="28">
        <f>IF(B836="קנייה",D836*E836+G836,0)</f>
        <v/>
      </c>
      <c r="J836" s="41">
        <f>IF(B836="מכירה",D836*E836-G836-D836*IFERROR(SUMIFS($I$5:I836,$C$5:C836,C836)/SUMIFS($D$5:D836,$C$5:C836,C836,$B$5:B836,"קנייה"),0),0)</f>
        <v/>
      </c>
      <c r="K836" s="26" t="n"/>
    </row>
    <row r="837">
      <c r="A837" s="39" t="n"/>
      <c r="B837" s="26" t="n"/>
      <c r="C837" s="26" t="n"/>
      <c r="D837" s="40" t="n"/>
      <c r="E837" s="29" t="n"/>
      <c r="F837" s="29" t="n"/>
      <c r="G837" s="29" t="n"/>
      <c r="H837" s="28">
        <f>IF(B837="","",IF(B837="קנייה",-(D837*E837+G837),IF(B837="מכירה",D837*E837-G837,IF(B837="דיבידנד",F837-G837,IF(B837="הפקדה",F837-G837,IF(B837="משיכה",-F837-G837,-G837))))))</f>
        <v/>
      </c>
      <c r="I837" s="28">
        <f>IF(B837="קנייה",D837*E837+G837,0)</f>
        <v/>
      </c>
      <c r="J837" s="41">
        <f>IF(B837="מכירה",D837*E837-G837-D837*IFERROR(SUMIFS($I$5:I837,$C$5:C837,C837)/SUMIFS($D$5:D837,$C$5:C837,C837,$B$5:B837,"קנייה"),0),0)</f>
        <v/>
      </c>
      <c r="K837" s="26" t="n"/>
    </row>
    <row r="838">
      <c r="A838" s="39" t="n"/>
      <c r="B838" s="26" t="n"/>
      <c r="C838" s="26" t="n"/>
      <c r="D838" s="40" t="n"/>
      <c r="E838" s="29" t="n"/>
      <c r="F838" s="29" t="n"/>
      <c r="G838" s="29" t="n"/>
      <c r="H838" s="28">
        <f>IF(B838="","",IF(B838="קנייה",-(D838*E838+G838),IF(B838="מכירה",D838*E838-G838,IF(B838="דיבידנד",F838-G838,IF(B838="הפקדה",F838-G838,IF(B838="משיכה",-F838-G838,-G838))))))</f>
        <v/>
      </c>
      <c r="I838" s="28">
        <f>IF(B838="קנייה",D838*E838+G838,0)</f>
        <v/>
      </c>
      <c r="J838" s="41">
        <f>IF(B838="מכירה",D838*E838-G838-D838*IFERROR(SUMIFS($I$5:I838,$C$5:C838,C838)/SUMIFS($D$5:D838,$C$5:C838,C838,$B$5:B838,"קנייה"),0),0)</f>
        <v/>
      </c>
      <c r="K838" s="26" t="n"/>
    </row>
    <row r="839">
      <c r="A839" s="39" t="n"/>
      <c r="B839" s="26" t="n"/>
      <c r="C839" s="26" t="n"/>
      <c r="D839" s="40" t="n"/>
      <c r="E839" s="29" t="n"/>
      <c r="F839" s="29" t="n"/>
      <c r="G839" s="29" t="n"/>
      <c r="H839" s="28">
        <f>IF(B839="","",IF(B839="קנייה",-(D839*E839+G839),IF(B839="מכירה",D839*E839-G839,IF(B839="דיבידנד",F839-G839,IF(B839="הפקדה",F839-G839,IF(B839="משיכה",-F839-G839,-G839))))))</f>
        <v/>
      </c>
      <c r="I839" s="28">
        <f>IF(B839="קנייה",D839*E839+G839,0)</f>
        <v/>
      </c>
      <c r="J839" s="41">
        <f>IF(B839="מכירה",D839*E839-G839-D839*IFERROR(SUMIFS($I$5:I839,$C$5:C839,C839)/SUMIFS($D$5:D839,$C$5:C839,C839,$B$5:B839,"קנייה"),0),0)</f>
        <v/>
      </c>
      <c r="K839" s="26" t="n"/>
    </row>
    <row r="840">
      <c r="A840" s="39" t="n"/>
      <c r="B840" s="26" t="n"/>
      <c r="C840" s="26" t="n"/>
      <c r="D840" s="40" t="n"/>
      <c r="E840" s="29" t="n"/>
      <c r="F840" s="29" t="n"/>
      <c r="G840" s="29" t="n"/>
      <c r="H840" s="28">
        <f>IF(B840="","",IF(B840="קנייה",-(D840*E840+G840),IF(B840="מכירה",D840*E840-G840,IF(B840="דיבידנד",F840-G840,IF(B840="הפקדה",F840-G840,IF(B840="משיכה",-F840-G840,-G840))))))</f>
        <v/>
      </c>
      <c r="I840" s="28">
        <f>IF(B840="קנייה",D840*E840+G840,0)</f>
        <v/>
      </c>
      <c r="J840" s="41">
        <f>IF(B840="מכירה",D840*E840-G840-D840*IFERROR(SUMIFS($I$5:I840,$C$5:C840,C840)/SUMIFS($D$5:D840,$C$5:C840,C840,$B$5:B840,"קנייה"),0),0)</f>
        <v/>
      </c>
      <c r="K840" s="26" t="n"/>
    </row>
    <row r="841">
      <c r="A841" s="39" t="n"/>
      <c r="B841" s="26" t="n"/>
      <c r="C841" s="26" t="n"/>
      <c r="D841" s="40" t="n"/>
      <c r="E841" s="29" t="n"/>
      <c r="F841" s="29" t="n"/>
      <c r="G841" s="29" t="n"/>
      <c r="H841" s="28">
        <f>IF(B841="","",IF(B841="קנייה",-(D841*E841+G841),IF(B841="מכירה",D841*E841-G841,IF(B841="דיבידנד",F841-G841,IF(B841="הפקדה",F841-G841,IF(B841="משיכה",-F841-G841,-G841))))))</f>
        <v/>
      </c>
      <c r="I841" s="28">
        <f>IF(B841="קנייה",D841*E841+G841,0)</f>
        <v/>
      </c>
      <c r="J841" s="41">
        <f>IF(B841="מכירה",D841*E841-G841-D841*IFERROR(SUMIFS($I$5:I841,$C$5:C841,C841)/SUMIFS($D$5:D841,$C$5:C841,C841,$B$5:B841,"קנייה"),0),0)</f>
        <v/>
      </c>
      <c r="K841" s="26" t="n"/>
    </row>
    <row r="842">
      <c r="A842" s="39" t="n"/>
      <c r="B842" s="26" t="n"/>
      <c r="C842" s="26" t="n"/>
      <c r="D842" s="40" t="n"/>
      <c r="E842" s="29" t="n"/>
      <c r="F842" s="29" t="n"/>
      <c r="G842" s="29" t="n"/>
      <c r="H842" s="28">
        <f>IF(B842="","",IF(B842="קנייה",-(D842*E842+G842),IF(B842="מכירה",D842*E842-G842,IF(B842="דיבידנד",F842-G842,IF(B842="הפקדה",F842-G842,IF(B842="משיכה",-F842-G842,-G842))))))</f>
        <v/>
      </c>
      <c r="I842" s="28">
        <f>IF(B842="קנייה",D842*E842+G842,0)</f>
        <v/>
      </c>
      <c r="J842" s="41">
        <f>IF(B842="מכירה",D842*E842-G842-D842*IFERROR(SUMIFS($I$5:I842,$C$5:C842,C842)/SUMIFS($D$5:D842,$C$5:C842,C842,$B$5:B842,"קנייה"),0),0)</f>
        <v/>
      </c>
      <c r="K842" s="26" t="n"/>
    </row>
    <row r="843">
      <c r="A843" s="39" t="n"/>
      <c r="B843" s="26" t="n"/>
      <c r="C843" s="26" t="n"/>
      <c r="D843" s="40" t="n"/>
      <c r="E843" s="29" t="n"/>
      <c r="F843" s="29" t="n"/>
      <c r="G843" s="29" t="n"/>
      <c r="H843" s="28">
        <f>IF(B843="","",IF(B843="קנייה",-(D843*E843+G843),IF(B843="מכירה",D843*E843-G843,IF(B843="דיבידנד",F843-G843,IF(B843="הפקדה",F843-G843,IF(B843="משיכה",-F843-G843,-G843))))))</f>
        <v/>
      </c>
      <c r="I843" s="28">
        <f>IF(B843="קנייה",D843*E843+G843,0)</f>
        <v/>
      </c>
      <c r="J843" s="41">
        <f>IF(B843="מכירה",D843*E843-G843-D843*IFERROR(SUMIFS($I$5:I843,$C$5:C843,C843)/SUMIFS($D$5:D843,$C$5:C843,C843,$B$5:B843,"קנייה"),0),0)</f>
        <v/>
      </c>
      <c r="K843" s="26" t="n"/>
    </row>
    <row r="844">
      <c r="A844" s="39" t="n"/>
      <c r="B844" s="26" t="n"/>
      <c r="C844" s="26" t="n"/>
      <c r="D844" s="40" t="n"/>
      <c r="E844" s="29" t="n"/>
      <c r="F844" s="29" t="n"/>
      <c r="G844" s="29" t="n"/>
      <c r="H844" s="28">
        <f>IF(B844="","",IF(B844="קנייה",-(D844*E844+G844),IF(B844="מכירה",D844*E844-G844,IF(B844="דיבידנד",F844-G844,IF(B844="הפקדה",F844-G844,IF(B844="משיכה",-F844-G844,-G844))))))</f>
        <v/>
      </c>
      <c r="I844" s="28">
        <f>IF(B844="קנייה",D844*E844+G844,0)</f>
        <v/>
      </c>
      <c r="J844" s="41">
        <f>IF(B844="מכירה",D844*E844-G844-D844*IFERROR(SUMIFS($I$5:I844,$C$5:C844,C844)/SUMIFS($D$5:D844,$C$5:C844,C844,$B$5:B844,"קנייה"),0),0)</f>
        <v/>
      </c>
      <c r="K844" s="26" t="n"/>
    </row>
    <row r="845">
      <c r="A845" s="39" t="n"/>
      <c r="B845" s="26" t="n"/>
      <c r="C845" s="26" t="n"/>
      <c r="D845" s="40" t="n"/>
      <c r="E845" s="29" t="n"/>
      <c r="F845" s="29" t="n"/>
      <c r="G845" s="29" t="n"/>
      <c r="H845" s="28">
        <f>IF(B845="","",IF(B845="קנייה",-(D845*E845+G845),IF(B845="מכירה",D845*E845-G845,IF(B845="דיבידנד",F845-G845,IF(B845="הפקדה",F845-G845,IF(B845="משיכה",-F845-G845,-G845))))))</f>
        <v/>
      </c>
      <c r="I845" s="28">
        <f>IF(B845="קנייה",D845*E845+G845,0)</f>
        <v/>
      </c>
      <c r="J845" s="41">
        <f>IF(B845="מכירה",D845*E845-G845-D845*IFERROR(SUMIFS($I$5:I845,$C$5:C845,C845)/SUMIFS($D$5:D845,$C$5:C845,C845,$B$5:B845,"קנייה"),0),0)</f>
        <v/>
      </c>
      <c r="K845" s="26" t="n"/>
    </row>
    <row r="846">
      <c r="A846" s="39" t="n"/>
      <c r="B846" s="26" t="n"/>
      <c r="C846" s="26" t="n"/>
      <c r="D846" s="40" t="n"/>
      <c r="E846" s="29" t="n"/>
      <c r="F846" s="29" t="n"/>
      <c r="G846" s="29" t="n"/>
      <c r="H846" s="28">
        <f>IF(B846="","",IF(B846="קנייה",-(D846*E846+G846),IF(B846="מכירה",D846*E846-G846,IF(B846="דיבידנד",F846-G846,IF(B846="הפקדה",F846-G846,IF(B846="משיכה",-F846-G846,-G846))))))</f>
        <v/>
      </c>
      <c r="I846" s="28">
        <f>IF(B846="קנייה",D846*E846+G846,0)</f>
        <v/>
      </c>
      <c r="J846" s="41">
        <f>IF(B846="מכירה",D846*E846-G846-D846*IFERROR(SUMIFS($I$5:I846,$C$5:C846,C846)/SUMIFS($D$5:D846,$C$5:C846,C846,$B$5:B846,"קנייה"),0),0)</f>
        <v/>
      </c>
      <c r="K846" s="26" t="n"/>
    </row>
    <row r="847">
      <c r="A847" s="39" t="n"/>
      <c r="B847" s="26" t="n"/>
      <c r="C847" s="26" t="n"/>
      <c r="D847" s="40" t="n"/>
      <c r="E847" s="29" t="n"/>
      <c r="F847" s="29" t="n"/>
      <c r="G847" s="29" t="n"/>
      <c r="H847" s="28">
        <f>IF(B847="","",IF(B847="קנייה",-(D847*E847+G847),IF(B847="מכירה",D847*E847-G847,IF(B847="דיבידנד",F847-G847,IF(B847="הפקדה",F847-G847,IF(B847="משיכה",-F847-G847,-G847))))))</f>
        <v/>
      </c>
      <c r="I847" s="28">
        <f>IF(B847="קנייה",D847*E847+G847,0)</f>
        <v/>
      </c>
      <c r="J847" s="41">
        <f>IF(B847="מכירה",D847*E847-G847-D847*IFERROR(SUMIFS($I$5:I847,$C$5:C847,C847)/SUMIFS($D$5:D847,$C$5:C847,C847,$B$5:B847,"קנייה"),0),0)</f>
        <v/>
      </c>
      <c r="K847" s="26" t="n"/>
    </row>
    <row r="848">
      <c r="A848" s="39" t="n"/>
      <c r="B848" s="26" t="n"/>
      <c r="C848" s="26" t="n"/>
      <c r="D848" s="40" t="n"/>
      <c r="E848" s="29" t="n"/>
      <c r="F848" s="29" t="n"/>
      <c r="G848" s="29" t="n"/>
      <c r="H848" s="28">
        <f>IF(B848="","",IF(B848="קנייה",-(D848*E848+G848),IF(B848="מכירה",D848*E848-G848,IF(B848="דיבידנד",F848-G848,IF(B848="הפקדה",F848-G848,IF(B848="משיכה",-F848-G848,-G848))))))</f>
        <v/>
      </c>
      <c r="I848" s="28">
        <f>IF(B848="קנייה",D848*E848+G848,0)</f>
        <v/>
      </c>
      <c r="J848" s="41">
        <f>IF(B848="מכירה",D848*E848-G848-D848*IFERROR(SUMIFS($I$5:I848,$C$5:C848,C848)/SUMIFS($D$5:D848,$C$5:C848,C848,$B$5:B848,"קנייה"),0),0)</f>
        <v/>
      </c>
      <c r="K848" s="26" t="n"/>
    </row>
    <row r="849">
      <c r="A849" s="39" t="n"/>
      <c r="B849" s="26" t="n"/>
      <c r="C849" s="26" t="n"/>
      <c r="D849" s="40" t="n"/>
      <c r="E849" s="29" t="n"/>
      <c r="F849" s="29" t="n"/>
      <c r="G849" s="29" t="n"/>
      <c r="H849" s="28">
        <f>IF(B849="","",IF(B849="קנייה",-(D849*E849+G849),IF(B849="מכירה",D849*E849-G849,IF(B849="דיבידנד",F849-G849,IF(B849="הפקדה",F849-G849,IF(B849="משיכה",-F849-G849,-G849))))))</f>
        <v/>
      </c>
      <c r="I849" s="28">
        <f>IF(B849="קנייה",D849*E849+G849,0)</f>
        <v/>
      </c>
      <c r="J849" s="41">
        <f>IF(B849="מכירה",D849*E849-G849-D849*IFERROR(SUMIFS($I$5:I849,$C$5:C849,C849)/SUMIFS($D$5:D849,$C$5:C849,C849,$B$5:B849,"קנייה"),0),0)</f>
        <v/>
      </c>
      <c r="K849" s="26" t="n"/>
    </row>
    <row r="850">
      <c r="A850" s="39" t="n"/>
      <c r="B850" s="26" t="n"/>
      <c r="C850" s="26" t="n"/>
      <c r="D850" s="40" t="n"/>
      <c r="E850" s="29" t="n"/>
      <c r="F850" s="29" t="n"/>
      <c r="G850" s="29" t="n"/>
      <c r="H850" s="28">
        <f>IF(B850="","",IF(B850="קנייה",-(D850*E850+G850),IF(B850="מכירה",D850*E850-G850,IF(B850="דיבידנד",F850-G850,IF(B850="הפקדה",F850-G850,IF(B850="משיכה",-F850-G850,-G850))))))</f>
        <v/>
      </c>
      <c r="I850" s="28">
        <f>IF(B850="קנייה",D850*E850+G850,0)</f>
        <v/>
      </c>
      <c r="J850" s="41">
        <f>IF(B850="מכירה",D850*E850-G850-D850*IFERROR(SUMIFS($I$5:I850,$C$5:C850,C850)/SUMIFS($D$5:D850,$C$5:C850,C850,$B$5:B850,"קנייה"),0),0)</f>
        <v/>
      </c>
      <c r="K850" s="26" t="n"/>
    </row>
    <row r="851">
      <c r="A851" s="39" t="n"/>
      <c r="B851" s="26" t="n"/>
      <c r="C851" s="26" t="n"/>
      <c r="D851" s="40" t="n"/>
      <c r="E851" s="29" t="n"/>
      <c r="F851" s="29" t="n"/>
      <c r="G851" s="29" t="n"/>
      <c r="H851" s="28">
        <f>IF(B851="","",IF(B851="קנייה",-(D851*E851+G851),IF(B851="מכירה",D851*E851-G851,IF(B851="דיבידנד",F851-G851,IF(B851="הפקדה",F851-G851,IF(B851="משיכה",-F851-G851,-G851))))))</f>
        <v/>
      </c>
      <c r="I851" s="28">
        <f>IF(B851="קנייה",D851*E851+G851,0)</f>
        <v/>
      </c>
      <c r="J851" s="41">
        <f>IF(B851="מכירה",D851*E851-G851-D851*IFERROR(SUMIFS($I$5:I851,$C$5:C851,C851)/SUMIFS($D$5:D851,$C$5:C851,C851,$B$5:B851,"קנייה"),0),0)</f>
        <v/>
      </c>
      <c r="K851" s="26" t="n"/>
    </row>
    <row r="852">
      <c r="A852" s="39" t="n"/>
      <c r="B852" s="26" t="n"/>
      <c r="C852" s="26" t="n"/>
      <c r="D852" s="40" t="n"/>
      <c r="E852" s="29" t="n"/>
      <c r="F852" s="29" t="n"/>
      <c r="G852" s="29" t="n"/>
      <c r="H852" s="28">
        <f>IF(B852="","",IF(B852="קנייה",-(D852*E852+G852),IF(B852="מכירה",D852*E852-G852,IF(B852="דיבידנד",F852-G852,IF(B852="הפקדה",F852-G852,IF(B852="משיכה",-F852-G852,-G852))))))</f>
        <v/>
      </c>
      <c r="I852" s="28">
        <f>IF(B852="קנייה",D852*E852+G852,0)</f>
        <v/>
      </c>
      <c r="J852" s="41">
        <f>IF(B852="מכירה",D852*E852-G852-D852*IFERROR(SUMIFS($I$5:I852,$C$5:C852,C852)/SUMIFS($D$5:D852,$C$5:C852,C852,$B$5:B852,"קנייה"),0),0)</f>
        <v/>
      </c>
      <c r="K852" s="26" t="n"/>
    </row>
    <row r="853">
      <c r="A853" s="39" t="n"/>
      <c r="B853" s="26" t="n"/>
      <c r="C853" s="26" t="n"/>
      <c r="D853" s="40" t="n"/>
      <c r="E853" s="29" t="n"/>
      <c r="F853" s="29" t="n"/>
      <c r="G853" s="29" t="n"/>
      <c r="H853" s="28">
        <f>IF(B853="","",IF(B853="קנייה",-(D853*E853+G853),IF(B853="מכירה",D853*E853-G853,IF(B853="דיבידנד",F853-G853,IF(B853="הפקדה",F853-G853,IF(B853="משיכה",-F853-G853,-G853))))))</f>
        <v/>
      </c>
      <c r="I853" s="28">
        <f>IF(B853="קנייה",D853*E853+G853,0)</f>
        <v/>
      </c>
      <c r="J853" s="41">
        <f>IF(B853="מכירה",D853*E853-G853-D853*IFERROR(SUMIFS($I$5:I853,$C$5:C853,C853)/SUMIFS($D$5:D853,$C$5:C853,C853,$B$5:B853,"קנייה"),0),0)</f>
        <v/>
      </c>
      <c r="K853" s="26" t="n"/>
    </row>
    <row r="854">
      <c r="A854" s="39" t="n"/>
      <c r="B854" s="26" t="n"/>
      <c r="C854" s="26" t="n"/>
      <c r="D854" s="40" t="n"/>
      <c r="E854" s="29" t="n"/>
      <c r="F854" s="29" t="n"/>
      <c r="G854" s="29" t="n"/>
      <c r="H854" s="28">
        <f>IF(B854="","",IF(B854="קנייה",-(D854*E854+G854),IF(B854="מכירה",D854*E854-G854,IF(B854="דיבידנד",F854-G854,IF(B854="הפקדה",F854-G854,IF(B854="משיכה",-F854-G854,-G854))))))</f>
        <v/>
      </c>
      <c r="I854" s="28">
        <f>IF(B854="קנייה",D854*E854+G854,0)</f>
        <v/>
      </c>
      <c r="J854" s="41">
        <f>IF(B854="מכירה",D854*E854-G854-D854*IFERROR(SUMIFS($I$5:I854,$C$5:C854,C854)/SUMIFS($D$5:D854,$C$5:C854,C854,$B$5:B854,"קנייה"),0),0)</f>
        <v/>
      </c>
      <c r="K854" s="26" t="n"/>
    </row>
    <row r="855">
      <c r="A855" s="39" t="n"/>
      <c r="B855" s="26" t="n"/>
      <c r="C855" s="26" t="n"/>
      <c r="D855" s="40" t="n"/>
      <c r="E855" s="29" t="n"/>
      <c r="F855" s="29" t="n"/>
      <c r="G855" s="29" t="n"/>
      <c r="H855" s="28">
        <f>IF(B855="","",IF(B855="קנייה",-(D855*E855+G855),IF(B855="מכירה",D855*E855-G855,IF(B855="דיבידנד",F855-G855,IF(B855="הפקדה",F855-G855,IF(B855="משיכה",-F855-G855,-G855))))))</f>
        <v/>
      </c>
      <c r="I855" s="28">
        <f>IF(B855="קנייה",D855*E855+G855,0)</f>
        <v/>
      </c>
      <c r="J855" s="41">
        <f>IF(B855="מכירה",D855*E855-G855-D855*IFERROR(SUMIFS($I$5:I855,$C$5:C855,C855)/SUMIFS($D$5:D855,$C$5:C855,C855,$B$5:B855,"קנייה"),0),0)</f>
        <v/>
      </c>
      <c r="K855" s="26" t="n"/>
    </row>
    <row r="856">
      <c r="A856" s="39" t="n"/>
      <c r="B856" s="26" t="n"/>
      <c r="C856" s="26" t="n"/>
      <c r="D856" s="40" t="n"/>
      <c r="E856" s="29" t="n"/>
      <c r="F856" s="29" t="n"/>
      <c r="G856" s="29" t="n"/>
      <c r="H856" s="28">
        <f>IF(B856="","",IF(B856="קנייה",-(D856*E856+G856),IF(B856="מכירה",D856*E856-G856,IF(B856="דיבידנד",F856-G856,IF(B856="הפקדה",F856-G856,IF(B856="משיכה",-F856-G856,-G856))))))</f>
        <v/>
      </c>
      <c r="I856" s="28">
        <f>IF(B856="קנייה",D856*E856+G856,0)</f>
        <v/>
      </c>
      <c r="J856" s="41">
        <f>IF(B856="מכירה",D856*E856-G856-D856*IFERROR(SUMIFS($I$5:I856,$C$5:C856,C856)/SUMIFS($D$5:D856,$C$5:C856,C856,$B$5:B856,"קנייה"),0),0)</f>
        <v/>
      </c>
      <c r="K856" s="26" t="n"/>
    </row>
    <row r="857">
      <c r="A857" s="39" t="n"/>
      <c r="B857" s="26" t="n"/>
      <c r="C857" s="26" t="n"/>
      <c r="D857" s="40" t="n"/>
      <c r="E857" s="29" t="n"/>
      <c r="F857" s="29" t="n"/>
      <c r="G857" s="29" t="n"/>
      <c r="H857" s="28">
        <f>IF(B857="","",IF(B857="קנייה",-(D857*E857+G857),IF(B857="מכירה",D857*E857-G857,IF(B857="דיבידנד",F857-G857,IF(B857="הפקדה",F857-G857,IF(B857="משיכה",-F857-G857,-G857))))))</f>
        <v/>
      </c>
      <c r="I857" s="28">
        <f>IF(B857="קנייה",D857*E857+G857,0)</f>
        <v/>
      </c>
      <c r="J857" s="41">
        <f>IF(B857="מכירה",D857*E857-G857-D857*IFERROR(SUMIFS($I$5:I857,$C$5:C857,C857)/SUMIFS($D$5:D857,$C$5:C857,C857,$B$5:B857,"קנייה"),0),0)</f>
        <v/>
      </c>
      <c r="K857" s="26" t="n"/>
    </row>
    <row r="858">
      <c r="A858" s="39" t="n"/>
      <c r="B858" s="26" t="n"/>
      <c r="C858" s="26" t="n"/>
      <c r="D858" s="40" t="n"/>
      <c r="E858" s="29" t="n"/>
      <c r="F858" s="29" t="n"/>
      <c r="G858" s="29" t="n"/>
      <c r="H858" s="28">
        <f>IF(B858="","",IF(B858="קנייה",-(D858*E858+G858),IF(B858="מכירה",D858*E858-G858,IF(B858="דיבידנד",F858-G858,IF(B858="הפקדה",F858-G858,IF(B858="משיכה",-F858-G858,-G858))))))</f>
        <v/>
      </c>
      <c r="I858" s="28">
        <f>IF(B858="קנייה",D858*E858+G858,0)</f>
        <v/>
      </c>
      <c r="J858" s="41">
        <f>IF(B858="מכירה",D858*E858-G858-D858*IFERROR(SUMIFS($I$5:I858,$C$5:C858,C858)/SUMIFS($D$5:D858,$C$5:C858,C858,$B$5:B858,"קנייה"),0),0)</f>
        <v/>
      </c>
      <c r="K858" s="26" t="n"/>
    </row>
    <row r="859">
      <c r="A859" s="39" t="n"/>
      <c r="B859" s="26" t="n"/>
      <c r="C859" s="26" t="n"/>
      <c r="D859" s="40" t="n"/>
      <c r="E859" s="29" t="n"/>
      <c r="F859" s="29" t="n"/>
      <c r="G859" s="29" t="n"/>
      <c r="H859" s="28">
        <f>IF(B859="","",IF(B859="קנייה",-(D859*E859+G859),IF(B859="מכירה",D859*E859-G859,IF(B859="דיבידנד",F859-G859,IF(B859="הפקדה",F859-G859,IF(B859="משיכה",-F859-G859,-G859))))))</f>
        <v/>
      </c>
      <c r="I859" s="28">
        <f>IF(B859="קנייה",D859*E859+G859,0)</f>
        <v/>
      </c>
      <c r="J859" s="41">
        <f>IF(B859="מכירה",D859*E859-G859-D859*IFERROR(SUMIFS($I$5:I859,$C$5:C859,C859)/SUMIFS($D$5:D859,$C$5:C859,C859,$B$5:B859,"קנייה"),0),0)</f>
        <v/>
      </c>
      <c r="K859" s="26" t="n"/>
    </row>
    <row r="860">
      <c r="A860" s="39" t="n"/>
      <c r="B860" s="26" t="n"/>
      <c r="C860" s="26" t="n"/>
      <c r="D860" s="40" t="n"/>
      <c r="E860" s="29" t="n"/>
      <c r="F860" s="29" t="n"/>
      <c r="G860" s="29" t="n"/>
      <c r="H860" s="28">
        <f>IF(B860="","",IF(B860="קנייה",-(D860*E860+G860),IF(B860="מכירה",D860*E860-G860,IF(B860="דיבידנד",F860-G860,IF(B860="הפקדה",F860-G860,IF(B860="משיכה",-F860-G860,-G860))))))</f>
        <v/>
      </c>
      <c r="I860" s="28">
        <f>IF(B860="קנייה",D860*E860+G860,0)</f>
        <v/>
      </c>
      <c r="J860" s="41">
        <f>IF(B860="מכירה",D860*E860-G860-D860*IFERROR(SUMIFS($I$5:I860,$C$5:C860,C860)/SUMIFS($D$5:D860,$C$5:C860,C860,$B$5:B860,"קנייה"),0),0)</f>
        <v/>
      </c>
      <c r="K860" s="26" t="n"/>
    </row>
    <row r="861">
      <c r="A861" s="39" t="n"/>
      <c r="B861" s="26" t="n"/>
      <c r="C861" s="26" t="n"/>
      <c r="D861" s="40" t="n"/>
      <c r="E861" s="29" t="n"/>
      <c r="F861" s="29" t="n"/>
      <c r="G861" s="29" t="n"/>
      <c r="H861" s="28">
        <f>IF(B861="","",IF(B861="קנייה",-(D861*E861+G861),IF(B861="מכירה",D861*E861-G861,IF(B861="דיבידנד",F861-G861,IF(B861="הפקדה",F861-G861,IF(B861="משיכה",-F861-G861,-G861))))))</f>
        <v/>
      </c>
      <c r="I861" s="28">
        <f>IF(B861="קנייה",D861*E861+G861,0)</f>
        <v/>
      </c>
      <c r="J861" s="41">
        <f>IF(B861="מכירה",D861*E861-G861-D861*IFERROR(SUMIFS($I$5:I861,$C$5:C861,C861)/SUMIFS($D$5:D861,$C$5:C861,C861,$B$5:B861,"קנייה"),0),0)</f>
        <v/>
      </c>
      <c r="K861" s="26" t="n"/>
    </row>
    <row r="862">
      <c r="A862" s="39" t="n"/>
      <c r="B862" s="26" t="n"/>
      <c r="C862" s="26" t="n"/>
      <c r="D862" s="40" t="n"/>
      <c r="E862" s="29" t="n"/>
      <c r="F862" s="29" t="n"/>
      <c r="G862" s="29" t="n"/>
      <c r="H862" s="28">
        <f>IF(B862="","",IF(B862="קנייה",-(D862*E862+G862),IF(B862="מכירה",D862*E862-G862,IF(B862="דיבידנד",F862-G862,IF(B862="הפקדה",F862-G862,IF(B862="משיכה",-F862-G862,-G862))))))</f>
        <v/>
      </c>
      <c r="I862" s="28">
        <f>IF(B862="קנייה",D862*E862+G862,0)</f>
        <v/>
      </c>
      <c r="J862" s="41">
        <f>IF(B862="מכירה",D862*E862-G862-D862*IFERROR(SUMIFS($I$5:I862,$C$5:C862,C862)/SUMIFS($D$5:D862,$C$5:C862,C862,$B$5:B862,"קנייה"),0),0)</f>
        <v/>
      </c>
      <c r="K862" s="26" t="n"/>
    </row>
    <row r="863">
      <c r="A863" s="39" t="n"/>
      <c r="B863" s="26" t="n"/>
      <c r="C863" s="26" t="n"/>
      <c r="D863" s="40" t="n"/>
      <c r="E863" s="29" t="n"/>
      <c r="F863" s="29" t="n"/>
      <c r="G863" s="29" t="n"/>
      <c r="H863" s="28">
        <f>IF(B863="","",IF(B863="קנייה",-(D863*E863+G863),IF(B863="מכירה",D863*E863-G863,IF(B863="דיבידנד",F863-G863,IF(B863="הפקדה",F863-G863,IF(B863="משיכה",-F863-G863,-G863))))))</f>
        <v/>
      </c>
      <c r="I863" s="28">
        <f>IF(B863="קנייה",D863*E863+G863,0)</f>
        <v/>
      </c>
      <c r="J863" s="41">
        <f>IF(B863="מכירה",D863*E863-G863-D863*IFERROR(SUMIFS($I$5:I863,$C$5:C863,C863)/SUMIFS($D$5:D863,$C$5:C863,C863,$B$5:B863,"קנייה"),0),0)</f>
        <v/>
      </c>
      <c r="K863" s="26" t="n"/>
    </row>
    <row r="864">
      <c r="A864" s="39" t="n"/>
      <c r="B864" s="26" t="n"/>
      <c r="C864" s="26" t="n"/>
      <c r="D864" s="40" t="n"/>
      <c r="E864" s="29" t="n"/>
      <c r="F864" s="29" t="n"/>
      <c r="G864" s="29" t="n"/>
      <c r="H864" s="28">
        <f>IF(B864="","",IF(B864="קנייה",-(D864*E864+G864),IF(B864="מכירה",D864*E864-G864,IF(B864="דיבידנד",F864-G864,IF(B864="הפקדה",F864-G864,IF(B864="משיכה",-F864-G864,-G864))))))</f>
        <v/>
      </c>
      <c r="I864" s="28">
        <f>IF(B864="קנייה",D864*E864+G864,0)</f>
        <v/>
      </c>
      <c r="J864" s="41">
        <f>IF(B864="מכירה",D864*E864-G864-D864*IFERROR(SUMIFS($I$5:I864,$C$5:C864,C864)/SUMIFS($D$5:D864,$C$5:C864,C864,$B$5:B864,"קנייה"),0),0)</f>
        <v/>
      </c>
      <c r="K864" s="26" t="n"/>
    </row>
    <row r="865">
      <c r="A865" s="39" t="n"/>
      <c r="B865" s="26" t="n"/>
      <c r="C865" s="26" t="n"/>
      <c r="D865" s="40" t="n"/>
      <c r="E865" s="29" t="n"/>
      <c r="F865" s="29" t="n"/>
      <c r="G865" s="29" t="n"/>
      <c r="H865" s="28">
        <f>IF(B865="","",IF(B865="קנייה",-(D865*E865+G865),IF(B865="מכירה",D865*E865-G865,IF(B865="דיבידנד",F865-G865,IF(B865="הפקדה",F865-G865,IF(B865="משיכה",-F865-G865,-G865))))))</f>
        <v/>
      </c>
      <c r="I865" s="28">
        <f>IF(B865="קנייה",D865*E865+G865,0)</f>
        <v/>
      </c>
      <c r="J865" s="41">
        <f>IF(B865="מכירה",D865*E865-G865-D865*IFERROR(SUMIFS($I$5:I865,$C$5:C865,C865)/SUMIFS($D$5:D865,$C$5:C865,C865,$B$5:B865,"קנייה"),0),0)</f>
        <v/>
      </c>
      <c r="K865" s="26" t="n"/>
    </row>
    <row r="866">
      <c r="A866" s="39" t="n"/>
      <c r="B866" s="26" t="n"/>
      <c r="C866" s="26" t="n"/>
      <c r="D866" s="40" t="n"/>
      <c r="E866" s="29" t="n"/>
      <c r="F866" s="29" t="n"/>
      <c r="G866" s="29" t="n"/>
      <c r="H866" s="28">
        <f>IF(B866="","",IF(B866="קנייה",-(D866*E866+G866),IF(B866="מכירה",D866*E866-G866,IF(B866="דיבידנד",F866-G866,IF(B866="הפקדה",F866-G866,IF(B866="משיכה",-F866-G866,-G866))))))</f>
        <v/>
      </c>
      <c r="I866" s="28">
        <f>IF(B866="קנייה",D866*E866+G866,0)</f>
        <v/>
      </c>
      <c r="J866" s="41">
        <f>IF(B866="מכירה",D866*E866-G866-D866*IFERROR(SUMIFS($I$5:I866,$C$5:C866,C866)/SUMIFS($D$5:D866,$C$5:C866,C866,$B$5:B866,"קנייה"),0),0)</f>
        <v/>
      </c>
      <c r="K866" s="26" t="n"/>
    </row>
    <row r="867">
      <c r="A867" s="39" t="n"/>
      <c r="B867" s="26" t="n"/>
      <c r="C867" s="26" t="n"/>
      <c r="D867" s="40" t="n"/>
      <c r="E867" s="29" t="n"/>
      <c r="F867" s="29" t="n"/>
      <c r="G867" s="29" t="n"/>
      <c r="H867" s="28">
        <f>IF(B867="","",IF(B867="קנייה",-(D867*E867+G867),IF(B867="מכירה",D867*E867-G867,IF(B867="דיבידנד",F867-G867,IF(B867="הפקדה",F867-G867,IF(B867="משיכה",-F867-G867,-G867))))))</f>
        <v/>
      </c>
      <c r="I867" s="28">
        <f>IF(B867="קנייה",D867*E867+G867,0)</f>
        <v/>
      </c>
      <c r="J867" s="41">
        <f>IF(B867="מכירה",D867*E867-G867-D867*IFERROR(SUMIFS($I$5:I867,$C$5:C867,C867)/SUMIFS($D$5:D867,$C$5:C867,C867,$B$5:B867,"קנייה"),0),0)</f>
        <v/>
      </c>
      <c r="K867" s="26" t="n"/>
    </row>
    <row r="868">
      <c r="A868" s="39" t="n"/>
      <c r="B868" s="26" t="n"/>
      <c r="C868" s="26" t="n"/>
      <c r="D868" s="40" t="n"/>
      <c r="E868" s="29" t="n"/>
      <c r="F868" s="29" t="n"/>
      <c r="G868" s="29" t="n"/>
      <c r="H868" s="28">
        <f>IF(B868="","",IF(B868="קנייה",-(D868*E868+G868),IF(B868="מכירה",D868*E868-G868,IF(B868="דיבידנד",F868-G868,IF(B868="הפקדה",F868-G868,IF(B868="משיכה",-F868-G868,-G868))))))</f>
        <v/>
      </c>
      <c r="I868" s="28">
        <f>IF(B868="קנייה",D868*E868+G868,0)</f>
        <v/>
      </c>
      <c r="J868" s="41">
        <f>IF(B868="מכירה",D868*E868-G868-D868*IFERROR(SUMIFS($I$5:I868,$C$5:C868,C868)/SUMIFS($D$5:D868,$C$5:C868,C868,$B$5:B868,"קנייה"),0),0)</f>
        <v/>
      </c>
      <c r="K868" s="26" t="n"/>
    </row>
    <row r="869">
      <c r="A869" s="39" t="n"/>
      <c r="B869" s="26" t="n"/>
      <c r="C869" s="26" t="n"/>
      <c r="D869" s="40" t="n"/>
      <c r="E869" s="29" t="n"/>
      <c r="F869" s="29" t="n"/>
      <c r="G869" s="29" t="n"/>
      <c r="H869" s="28">
        <f>IF(B869="","",IF(B869="קנייה",-(D869*E869+G869),IF(B869="מכירה",D869*E869-G869,IF(B869="דיבידנד",F869-G869,IF(B869="הפקדה",F869-G869,IF(B869="משיכה",-F869-G869,-G869))))))</f>
        <v/>
      </c>
      <c r="I869" s="28">
        <f>IF(B869="קנייה",D869*E869+G869,0)</f>
        <v/>
      </c>
      <c r="J869" s="41">
        <f>IF(B869="מכירה",D869*E869-G869-D869*IFERROR(SUMIFS($I$5:I869,$C$5:C869,C869)/SUMIFS($D$5:D869,$C$5:C869,C869,$B$5:B869,"קנייה"),0),0)</f>
        <v/>
      </c>
      <c r="K869" s="26" t="n"/>
    </row>
    <row r="870">
      <c r="A870" s="39" t="n"/>
      <c r="B870" s="26" t="n"/>
      <c r="C870" s="26" t="n"/>
      <c r="D870" s="40" t="n"/>
      <c r="E870" s="29" t="n"/>
      <c r="F870" s="29" t="n"/>
      <c r="G870" s="29" t="n"/>
      <c r="H870" s="28">
        <f>IF(B870="","",IF(B870="קנייה",-(D870*E870+G870),IF(B870="מכירה",D870*E870-G870,IF(B870="דיבידנד",F870-G870,IF(B870="הפקדה",F870-G870,IF(B870="משיכה",-F870-G870,-G870))))))</f>
        <v/>
      </c>
      <c r="I870" s="28">
        <f>IF(B870="קנייה",D870*E870+G870,0)</f>
        <v/>
      </c>
      <c r="J870" s="41">
        <f>IF(B870="מכירה",D870*E870-G870-D870*IFERROR(SUMIFS($I$5:I870,$C$5:C870,C870)/SUMIFS($D$5:D870,$C$5:C870,C870,$B$5:B870,"קנייה"),0),0)</f>
        <v/>
      </c>
      <c r="K870" s="26" t="n"/>
    </row>
    <row r="871">
      <c r="A871" s="39" t="n"/>
      <c r="B871" s="26" t="n"/>
      <c r="C871" s="26" t="n"/>
      <c r="D871" s="40" t="n"/>
      <c r="E871" s="29" t="n"/>
      <c r="F871" s="29" t="n"/>
      <c r="G871" s="29" t="n"/>
      <c r="H871" s="28">
        <f>IF(B871="","",IF(B871="קנייה",-(D871*E871+G871),IF(B871="מכירה",D871*E871-G871,IF(B871="דיבידנד",F871-G871,IF(B871="הפקדה",F871-G871,IF(B871="משיכה",-F871-G871,-G871))))))</f>
        <v/>
      </c>
      <c r="I871" s="28">
        <f>IF(B871="קנייה",D871*E871+G871,0)</f>
        <v/>
      </c>
      <c r="J871" s="41">
        <f>IF(B871="מכירה",D871*E871-G871-D871*IFERROR(SUMIFS($I$5:I871,$C$5:C871,C871)/SUMIFS($D$5:D871,$C$5:C871,C871,$B$5:B871,"קנייה"),0),0)</f>
        <v/>
      </c>
      <c r="K871" s="26" t="n"/>
    </row>
    <row r="872">
      <c r="A872" s="39" t="n"/>
      <c r="B872" s="26" t="n"/>
      <c r="C872" s="26" t="n"/>
      <c r="D872" s="40" t="n"/>
      <c r="E872" s="29" t="n"/>
      <c r="F872" s="29" t="n"/>
      <c r="G872" s="29" t="n"/>
      <c r="H872" s="28">
        <f>IF(B872="","",IF(B872="קנייה",-(D872*E872+G872),IF(B872="מכירה",D872*E872-G872,IF(B872="דיבידנד",F872-G872,IF(B872="הפקדה",F872-G872,IF(B872="משיכה",-F872-G872,-G872))))))</f>
        <v/>
      </c>
      <c r="I872" s="28">
        <f>IF(B872="קנייה",D872*E872+G872,0)</f>
        <v/>
      </c>
      <c r="J872" s="41">
        <f>IF(B872="מכירה",D872*E872-G872-D872*IFERROR(SUMIFS($I$5:I872,$C$5:C872,C872)/SUMIFS($D$5:D872,$C$5:C872,C872,$B$5:B872,"קנייה"),0),0)</f>
        <v/>
      </c>
      <c r="K872" s="26" t="n"/>
    </row>
    <row r="873">
      <c r="A873" s="39" t="n"/>
      <c r="B873" s="26" t="n"/>
      <c r="C873" s="26" t="n"/>
      <c r="D873" s="40" t="n"/>
      <c r="E873" s="29" t="n"/>
      <c r="F873" s="29" t="n"/>
      <c r="G873" s="29" t="n"/>
      <c r="H873" s="28">
        <f>IF(B873="","",IF(B873="קנייה",-(D873*E873+G873),IF(B873="מכירה",D873*E873-G873,IF(B873="דיבידנד",F873-G873,IF(B873="הפקדה",F873-G873,IF(B873="משיכה",-F873-G873,-G873))))))</f>
        <v/>
      </c>
      <c r="I873" s="28">
        <f>IF(B873="קנייה",D873*E873+G873,0)</f>
        <v/>
      </c>
      <c r="J873" s="41">
        <f>IF(B873="מכירה",D873*E873-G873-D873*IFERROR(SUMIFS($I$5:I873,$C$5:C873,C873)/SUMIFS($D$5:D873,$C$5:C873,C873,$B$5:B873,"קנייה"),0),0)</f>
        <v/>
      </c>
      <c r="K873" s="26" t="n"/>
    </row>
    <row r="874">
      <c r="A874" s="39" t="n"/>
      <c r="B874" s="26" t="n"/>
      <c r="C874" s="26" t="n"/>
      <c r="D874" s="40" t="n"/>
      <c r="E874" s="29" t="n"/>
      <c r="F874" s="29" t="n"/>
      <c r="G874" s="29" t="n"/>
      <c r="H874" s="28">
        <f>IF(B874="","",IF(B874="קנייה",-(D874*E874+G874),IF(B874="מכירה",D874*E874-G874,IF(B874="דיבידנד",F874-G874,IF(B874="הפקדה",F874-G874,IF(B874="משיכה",-F874-G874,-G874))))))</f>
        <v/>
      </c>
      <c r="I874" s="28">
        <f>IF(B874="קנייה",D874*E874+G874,0)</f>
        <v/>
      </c>
      <c r="J874" s="41">
        <f>IF(B874="מכירה",D874*E874-G874-D874*IFERROR(SUMIFS($I$5:I874,$C$5:C874,C874)/SUMIFS($D$5:D874,$C$5:C874,C874,$B$5:B874,"קנייה"),0),0)</f>
        <v/>
      </c>
      <c r="K874" s="26" t="n"/>
    </row>
    <row r="875">
      <c r="A875" s="39" t="n"/>
      <c r="B875" s="26" t="n"/>
      <c r="C875" s="26" t="n"/>
      <c r="D875" s="40" t="n"/>
      <c r="E875" s="29" t="n"/>
      <c r="F875" s="29" t="n"/>
      <c r="G875" s="29" t="n"/>
      <c r="H875" s="28">
        <f>IF(B875="","",IF(B875="קנייה",-(D875*E875+G875),IF(B875="מכירה",D875*E875-G875,IF(B875="דיבידנד",F875-G875,IF(B875="הפקדה",F875-G875,IF(B875="משיכה",-F875-G875,-G875))))))</f>
        <v/>
      </c>
      <c r="I875" s="28">
        <f>IF(B875="קנייה",D875*E875+G875,0)</f>
        <v/>
      </c>
      <c r="J875" s="41">
        <f>IF(B875="מכירה",D875*E875-G875-D875*IFERROR(SUMIFS($I$5:I875,$C$5:C875,C875)/SUMIFS($D$5:D875,$C$5:C875,C875,$B$5:B875,"קנייה"),0),0)</f>
        <v/>
      </c>
      <c r="K875" s="26" t="n"/>
    </row>
    <row r="876">
      <c r="A876" s="39" t="n"/>
      <c r="B876" s="26" t="n"/>
      <c r="C876" s="26" t="n"/>
      <c r="D876" s="40" t="n"/>
      <c r="E876" s="29" t="n"/>
      <c r="F876" s="29" t="n"/>
      <c r="G876" s="29" t="n"/>
      <c r="H876" s="28">
        <f>IF(B876="","",IF(B876="קנייה",-(D876*E876+G876),IF(B876="מכירה",D876*E876-G876,IF(B876="דיבידנד",F876-G876,IF(B876="הפקדה",F876-G876,IF(B876="משיכה",-F876-G876,-G876))))))</f>
        <v/>
      </c>
      <c r="I876" s="28">
        <f>IF(B876="קנייה",D876*E876+G876,0)</f>
        <v/>
      </c>
      <c r="J876" s="41">
        <f>IF(B876="מכירה",D876*E876-G876-D876*IFERROR(SUMIFS($I$5:I876,$C$5:C876,C876)/SUMIFS($D$5:D876,$C$5:C876,C876,$B$5:B876,"קנייה"),0),0)</f>
        <v/>
      </c>
      <c r="K876" s="26" t="n"/>
    </row>
    <row r="877">
      <c r="A877" s="39" t="n"/>
      <c r="B877" s="26" t="n"/>
      <c r="C877" s="26" t="n"/>
      <c r="D877" s="40" t="n"/>
      <c r="E877" s="29" t="n"/>
      <c r="F877" s="29" t="n"/>
      <c r="G877" s="29" t="n"/>
      <c r="H877" s="28">
        <f>IF(B877="","",IF(B877="קנייה",-(D877*E877+G877),IF(B877="מכירה",D877*E877-G877,IF(B877="דיבידנד",F877-G877,IF(B877="הפקדה",F877-G877,IF(B877="משיכה",-F877-G877,-G877))))))</f>
        <v/>
      </c>
      <c r="I877" s="28">
        <f>IF(B877="קנייה",D877*E877+G877,0)</f>
        <v/>
      </c>
      <c r="J877" s="41">
        <f>IF(B877="מכירה",D877*E877-G877-D877*IFERROR(SUMIFS($I$5:I877,$C$5:C877,C877)/SUMIFS($D$5:D877,$C$5:C877,C877,$B$5:B877,"קנייה"),0),0)</f>
        <v/>
      </c>
      <c r="K877" s="26" t="n"/>
    </row>
    <row r="878">
      <c r="A878" s="39" t="n"/>
      <c r="B878" s="26" t="n"/>
      <c r="C878" s="26" t="n"/>
      <c r="D878" s="40" t="n"/>
      <c r="E878" s="29" t="n"/>
      <c r="F878" s="29" t="n"/>
      <c r="G878" s="29" t="n"/>
      <c r="H878" s="28">
        <f>IF(B878="","",IF(B878="קנייה",-(D878*E878+G878),IF(B878="מכירה",D878*E878-G878,IF(B878="דיבידנד",F878-G878,IF(B878="הפקדה",F878-G878,IF(B878="משיכה",-F878-G878,-G878))))))</f>
        <v/>
      </c>
      <c r="I878" s="28">
        <f>IF(B878="קנייה",D878*E878+G878,0)</f>
        <v/>
      </c>
      <c r="J878" s="41">
        <f>IF(B878="מכירה",D878*E878-G878-D878*IFERROR(SUMIFS($I$5:I878,$C$5:C878,C878)/SUMIFS($D$5:D878,$C$5:C878,C878,$B$5:B878,"קנייה"),0),0)</f>
        <v/>
      </c>
      <c r="K878" s="26" t="n"/>
    </row>
    <row r="879">
      <c r="A879" s="39" t="n"/>
      <c r="B879" s="26" t="n"/>
      <c r="C879" s="26" t="n"/>
      <c r="D879" s="40" t="n"/>
      <c r="E879" s="29" t="n"/>
      <c r="F879" s="29" t="n"/>
      <c r="G879" s="29" t="n"/>
      <c r="H879" s="28">
        <f>IF(B879="","",IF(B879="קנייה",-(D879*E879+G879),IF(B879="מכירה",D879*E879-G879,IF(B879="דיבידנד",F879-G879,IF(B879="הפקדה",F879-G879,IF(B879="משיכה",-F879-G879,-G879))))))</f>
        <v/>
      </c>
      <c r="I879" s="28">
        <f>IF(B879="קנייה",D879*E879+G879,0)</f>
        <v/>
      </c>
      <c r="J879" s="41">
        <f>IF(B879="מכירה",D879*E879-G879-D879*IFERROR(SUMIFS($I$5:I879,$C$5:C879,C879)/SUMIFS($D$5:D879,$C$5:C879,C879,$B$5:B879,"קנייה"),0),0)</f>
        <v/>
      </c>
      <c r="K879" s="26" t="n"/>
    </row>
    <row r="880">
      <c r="A880" s="39" t="n"/>
      <c r="B880" s="26" t="n"/>
      <c r="C880" s="26" t="n"/>
      <c r="D880" s="40" t="n"/>
      <c r="E880" s="29" t="n"/>
      <c r="F880" s="29" t="n"/>
      <c r="G880" s="29" t="n"/>
      <c r="H880" s="28">
        <f>IF(B880="","",IF(B880="קנייה",-(D880*E880+G880),IF(B880="מכירה",D880*E880-G880,IF(B880="דיבידנד",F880-G880,IF(B880="הפקדה",F880-G880,IF(B880="משיכה",-F880-G880,-G880))))))</f>
        <v/>
      </c>
      <c r="I880" s="28">
        <f>IF(B880="קנייה",D880*E880+G880,0)</f>
        <v/>
      </c>
      <c r="J880" s="41">
        <f>IF(B880="מכירה",D880*E880-G880-D880*IFERROR(SUMIFS($I$5:I880,$C$5:C880,C880)/SUMIFS($D$5:D880,$C$5:C880,C880,$B$5:B880,"קנייה"),0),0)</f>
        <v/>
      </c>
      <c r="K880" s="26" t="n"/>
    </row>
    <row r="881">
      <c r="A881" s="39" t="n"/>
      <c r="B881" s="26" t="n"/>
      <c r="C881" s="26" t="n"/>
      <c r="D881" s="40" t="n"/>
      <c r="E881" s="29" t="n"/>
      <c r="F881" s="29" t="n"/>
      <c r="G881" s="29" t="n"/>
      <c r="H881" s="28">
        <f>IF(B881="","",IF(B881="קנייה",-(D881*E881+G881),IF(B881="מכירה",D881*E881-G881,IF(B881="דיבידנד",F881-G881,IF(B881="הפקדה",F881-G881,IF(B881="משיכה",-F881-G881,-G881))))))</f>
        <v/>
      </c>
      <c r="I881" s="28">
        <f>IF(B881="קנייה",D881*E881+G881,0)</f>
        <v/>
      </c>
      <c r="J881" s="41">
        <f>IF(B881="מכירה",D881*E881-G881-D881*IFERROR(SUMIFS($I$5:I881,$C$5:C881,C881)/SUMIFS($D$5:D881,$C$5:C881,C881,$B$5:B881,"קנייה"),0),0)</f>
        <v/>
      </c>
      <c r="K881" s="26" t="n"/>
    </row>
    <row r="882">
      <c r="A882" s="39" t="n"/>
      <c r="B882" s="26" t="n"/>
      <c r="C882" s="26" t="n"/>
      <c r="D882" s="40" t="n"/>
      <c r="E882" s="29" t="n"/>
      <c r="F882" s="29" t="n"/>
      <c r="G882" s="29" t="n"/>
      <c r="H882" s="28">
        <f>IF(B882="","",IF(B882="קנייה",-(D882*E882+G882),IF(B882="מכירה",D882*E882-G882,IF(B882="דיבידנד",F882-G882,IF(B882="הפקדה",F882-G882,IF(B882="משיכה",-F882-G882,-G882))))))</f>
        <v/>
      </c>
      <c r="I882" s="28">
        <f>IF(B882="קנייה",D882*E882+G882,0)</f>
        <v/>
      </c>
      <c r="J882" s="41">
        <f>IF(B882="מכירה",D882*E882-G882-D882*IFERROR(SUMIFS($I$5:I882,$C$5:C882,C882)/SUMIFS($D$5:D882,$C$5:C882,C882,$B$5:B882,"קנייה"),0),0)</f>
        <v/>
      </c>
      <c r="K882" s="26" t="n"/>
    </row>
    <row r="883">
      <c r="A883" s="39" t="n"/>
      <c r="B883" s="26" t="n"/>
      <c r="C883" s="26" t="n"/>
      <c r="D883" s="40" t="n"/>
      <c r="E883" s="29" t="n"/>
      <c r="F883" s="29" t="n"/>
      <c r="G883" s="29" t="n"/>
      <c r="H883" s="28">
        <f>IF(B883="","",IF(B883="קנייה",-(D883*E883+G883),IF(B883="מכירה",D883*E883-G883,IF(B883="דיבידנד",F883-G883,IF(B883="הפקדה",F883-G883,IF(B883="משיכה",-F883-G883,-G883))))))</f>
        <v/>
      </c>
      <c r="I883" s="28">
        <f>IF(B883="קנייה",D883*E883+G883,0)</f>
        <v/>
      </c>
      <c r="J883" s="41">
        <f>IF(B883="מכירה",D883*E883-G883-D883*IFERROR(SUMIFS($I$5:I883,$C$5:C883,C883)/SUMIFS($D$5:D883,$C$5:C883,C883,$B$5:B883,"קנייה"),0),0)</f>
        <v/>
      </c>
      <c r="K883" s="26" t="n"/>
    </row>
    <row r="884">
      <c r="A884" s="39" t="n"/>
      <c r="B884" s="26" t="n"/>
      <c r="C884" s="26" t="n"/>
      <c r="D884" s="40" t="n"/>
      <c r="E884" s="29" t="n"/>
      <c r="F884" s="29" t="n"/>
      <c r="G884" s="29" t="n"/>
      <c r="H884" s="28">
        <f>IF(B884="","",IF(B884="קנייה",-(D884*E884+G884),IF(B884="מכירה",D884*E884-G884,IF(B884="דיבידנד",F884-G884,IF(B884="הפקדה",F884-G884,IF(B884="משיכה",-F884-G884,-G884))))))</f>
        <v/>
      </c>
      <c r="I884" s="28">
        <f>IF(B884="קנייה",D884*E884+G884,0)</f>
        <v/>
      </c>
      <c r="J884" s="41">
        <f>IF(B884="מכירה",D884*E884-G884-D884*IFERROR(SUMIFS($I$5:I884,$C$5:C884,C884)/SUMIFS($D$5:D884,$C$5:C884,C884,$B$5:B884,"קנייה"),0),0)</f>
        <v/>
      </c>
      <c r="K884" s="26" t="n"/>
    </row>
    <row r="885">
      <c r="A885" s="39" t="n"/>
      <c r="B885" s="26" t="n"/>
      <c r="C885" s="26" t="n"/>
      <c r="D885" s="40" t="n"/>
      <c r="E885" s="29" t="n"/>
      <c r="F885" s="29" t="n"/>
      <c r="G885" s="29" t="n"/>
      <c r="H885" s="28">
        <f>IF(B885="","",IF(B885="קנייה",-(D885*E885+G885),IF(B885="מכירה",D885*E885-G885,IF(B885="דיבידנד",F885-G885,IF(B885="הפקדה",F885-G885,IF(B885="משיכה",-F885-G885,-G885))))))</f>
        <v/>
      </c>
      <c r="I885" s="28">
        <f>IF(B885="קנייה",D885*E885+G885,0)</f>
        <v/>
      </c>
      <c r="J885" s="41">
        <f>IF(B885="מכירה",D885*E885-G885-D885*IFERROR(SUMIFS($I$5:I885,$C$5:C885,C885)/SUMIFS($D$5:D885,$C$5:C885,C885,$B$5:B885,"קנייה"),0),0)</f>
        <v/>
      </c>
      <c r="K885" s="26" t="n"/>
    </row>
    <row r="886">
      <c r="A886" s="39" t="n"/>
      <c r="B886" s="26" t="n"/>
      <c r="C886" s="26" t="n"/>
      <c r="D886" s="40" t="n"/>
      <c r="E886" s="29" t="n"/>
      <c r="F886" s="29" t="n"/>
      <c r="G886" s="29" t="n"/>
      <c r="H886" s="28">
        <f>IF(B886="","",IF(B886="קנייה",-(D886*E886+G886),IF(B886="מכירה",D886*E886-G886,IF(B886="דיבידנד",F886-G886,IF(B886="הפקדה",F886-G886,IF(B886="משיכה",-F886-G886,-G886))))))</f>
        <v/>
      </c>
      <c r="I886" s="28">
        <f>IF(B886="קנייה",D886*E886+G886,0)</f>
        <v/>
      </c>
      <c r="J886" s="41">
        <f>IF(B886="מכירה",D886*E886-G886-D886*IFERROR(SUMIFS($I$5:I886,$C$5:C886,C886)/SUMIFS($D$5:D886,$C$5:C886,C886,$B$5:B886,"קנייה"),0),0)</f>
        <v/>
      </c>
      <c r="K886" s="26" t="n"/>
    </row>
    <row r="887">
      <c r="A887" s="39" t="n"/>
      <c r="B887" s="26" t="n"/>
      <c r="C887" s="26" t="n"/>
      <c r="D887" s="40" t="n"/>
      <c r="E887" s="29" t="n"/>
      <c r="F887" s="29" t="n"/>
      <c r="G887" s="29" t="n"/>
      <c r="H887" s="28">
        <f>IF(B887="","",IF(B887="קנייה",-(D887*E887+G887),IF(B887="מכירה",D887*E887-G887,IF(B887="דיבידנד",F887-G887,IF(B887="הפקדה",F887-G887,IF(B887="משיכה",-F887-G887,-G887))))))</f>
        <v/>
      </c>
      <c r="I887" s="28">
        <f>IF(B887="קנייה",D887*E887+G887,0)</f>
        <v/>
      </c>
      <c r="J887" s="41">
        <f>IF(B887="מכירה",D887*E887-G887-D887*IFERROR(SUMIFS($I$5:I887,$C$5:C887,C887)/SUMIFS($D$5:D887,$C$5:C887,C887,$B$5:B887,"קנייה"),0),0)</f>
        <v/>
      </c>
      <c r="K887" s="26" t="n"/>
    </row>
    <row r="888">
      <c r="A888" s="39" t="n"/>
      <c r="B888" s="26" t="n"/>
      <c r="C888" s="26" t="n"/>
      <c r="D888" s="40" t="n"/>
      <c r="E888" s="29" t="n"/>
      <c r="F888" s="29" t="n"/>
      <c r="G888" s="29" t="n"/>
      <c r="H888" s="28">
        <f>IF(B888="","",IF(B888="קנייה",-(D888*E888+G888),IF(B888="מכירה",D888*E888-G888,IF(B888="דיבידנד",F888-G888,IF(B888="הפקדה",F888-G888,IF(B888="משיכה",-F888-G888,-G888))))))</f>
        <v/>
      </c>
      <c r="I888" s="28">
        <f>IF(B888="קנייה",D888*E888+G888,0)</f>
        <v/>
      </c>
      <c r="J888" s="41">
        <f>IF(B888="מכירה",D888*E888-G888-D888*IFERROR(SUMIFS($I$5:I888,$C$5:C888,C888)/SUMIFS($D$5:D888,$C$5:C888,C888,$B$5:B888,"קנייה"),0),0)</f>
        <v/>
      </c>
      <c r="K888" s="26" t="n"/>
    </row>
    <row r="889">
      <c r="A889" s="39" t="n"/>
      <c r="B889" s="26" t="n"/>
      <c r="C889" s="26" t="n"/>
      <c r="D889" s="40" t="n"/>
      <c r="E889" s="29" t="n"/>
      <c r="F889" s="29" t="n"/>
      <c r="G889" s="29" t="n"/>
      <c r="H889" s="28">
        <f>IF(B889="","",IF(B889="קנייה",-(D889*E889+G889),IF(B889="מכירה",D889*E889-G889,IF(B889="דיבידנד",F889-G889,IF(B889="הפקדה",F889-G889,IF(B889="משיכה",-F889-G889,-G889))))))</f>
        <v/>
      </c>
      <c r="I889" s="28">
        <f>IF(B889="קנייה",D889*E889+G889,0)</f>
        <v/>
      </c>
      <c r="J889" s="41">
        <f>IF(B889="מכירה",D889*E889-G889-D889*IFERROR(SUMIFS($I$5:I889,$C$5:C889,C889)/SUMIFS($D$5:D889,$C$5:C889,C889,$B$5:B889,"קנייה"),0),0)</f>
        <v/>
      </c>
      <c r="K889" s="26" t="n"/>
    </row>
    <row r="890">
      <c r="A890" s="39" t="n"/>
      <c r="B890" s="26" t="n"/>
      <c r="C890" s="26" t="n"/>
      <c r="D890" s="40" t="n"/>
      <c r="E890" s="29" t="n"/>
      <c r="F890" s="29" t="n"/>
      <c r="G890" s="29" t="n"/>
      <c r="H890" s="28">
        <f>IF(B890="","",IF(B890="קנייה",-(D890*E890+G890),IF(B890="מכירה",D890*E890-G890,IF(B890="דיבידנד",F890-G890,IF(B890="הפקדה",F890-G890,IF(B890="משיכה",-F890-G890,-G890))))))</f>
        <v/>
      </c>
      <c r="I890" s="28">
        <f>IF(B890="קנייה",D890*E890+G890,0)</f>
        <v/>
      </c>
      <c r="J890" s="41">
        <f>IF(B890="מכירה",D890*E890-G890-D890*IFERROR(SUMIFS($I$5:I890,$C$5:C890,C890)/SUMIFS($D$5:D890,$C$5:C890,C890,$B$5:B890,"קנייה"),0),0)</f>
        <v/>
      </c>
      <c r="K890" s="26" t="n"/>
    </row>
    <row r="891">
      <c r="A891" s="39" t="n"/>
      <c r="B891" s="26" t="n"/>
      <c r="C891" s="26" t="n"/>
      <c r="D891" s="40" t="n"/>
      <c r="E891" s="29" t="n"/>
      <c r="F891" s="29" t="n"/>
      <c r="G891" s="29" t="n"/>
      <c r="H891" s="28">
        <f>IF(B891="","",IF(B891="קנייה",-(D891*E891+G891),IF(B891="מכירה",D891*E891-G891,IF(B891="דיבידנד",F891-G891,IF(B891="הפקדה",F891-G891,IF(B891="משיכה",-F891-G891,-G891))))))</f>
        <v/>
      </c>
      <c r="I891" s="28">
        <f>IF(B891="קנייה",D891*E891+G891,0)</f>
        <v/>
      </c>
      <c r="J891" s="41">
        <f>IF(B891="מכירה",D891*E891-G891-D891*IFERROR(SUMIFS($I$5:I891,$C$5:C891,C891)/SUMIFS($D$5:D891,$C$5:C891,C891,$B$5:B891,"קנייה"),0),0)</f>
        <v/>
      </c>
      <c r="K891" s="26" t="n"/>
    </row>
    <row r="892">
      <c r="A892" s="39" t="n"/>
      <c r="B892" s="26" t="n"/>
      <c r="C892" s="26" t="n"/>
      <c r="D892" s="40" t="n"/>
      <c r="E892" s="29" t="n"/>
      <c r="F892" s="29" t="n"/>
      <c r="G892" s="29" t="n"/>
      <c r="H892" s="28">
        <f>IF(B892="","",IF(B892="קנייה",-(D892*E892+G892),IF(B892="מכירה",D892*E892-G892,IF(B892="דיבידנד",F892-G892,IF(B892="הפקדה",F892-G892,IF(B892="משיכה",-F892-G892,-G892))))))</f>
        <v/>
      </c>
      <c r="I892" s="28">
        <f>IF(B892="קנייה",D892*E892+G892,0)</f>
        <v/>
      </c>
      <c r="J892" s="41">
        <f>IF(B892="מכירה",D892*E892-G892-D892*IFERROR(SUMIFS($I$5:I892,$C$5:C892,C892)/SUMIFS($D$5:D892,$C$5:C892,C892,$B$5:B892,"קנייה"),0),0)</f>
        <v/>
      </c>
      <c r="K892" s="26" t="n"/>
    </row>
    <row r="893">
      <c r="A893" s="39" t="n"/>
      <c r="B893" s="26" t="n"/>
      <c r="C893" s="26" t="n"/>
      <c r="D893" s="40" t="n"/>
      <c r="E893" s="29" t="n"/>
      <c r="F893" s="29" t="n"/>
      <c r="G893" s="29" t="n"/>
      <c r="H893" s="28">
        <f>IF(B893="","",IF(B893="קנייה",-(D893*E893+G893),IF(B893="מכירה",D893*E893-G893,IF(B893="דיבידנד",F893-G893,IF(B893="הפקדה",F893-G893,IF(B893="משיכה",-F893-G893,-G893))))))</f>
        <v/>
      </c>
      <c r="I893" s="28">
        <f>IF(B893="קנייה",D893*E893+G893,0)</f>
        <v/>
      </c>
      <c r="J893" s="41">
        <f>IF(B893="מכירה",D893*E893-G893-D893*IFERROR(SUMIFS($I$5:I893,$C$5:C893,C893)/SUMIFS($D$5:D893,$C$5:C893,C893,$B$5:B893,"קנייה"),0),0)</f>
        <v/>
      </c>
      <c r="K893" s="26" t="n"/>
    </row>
    <row r="894">
      <c r="A894" s="39" t="n"/>
      <c r="B894" s="26" t="n"/>
      <c r="C894" s="26" t="n"/>
      <c r="D894" s="40" t="n"/>
      <c r="E894" s="29" t="n"/>
      <c r="F894" s="29" t="n"/>
      <c r="G894" s="29" t="n"/>
      <c r="H894" s="28">
        <f>IF(B894="","",IF(B894="קנייה",-(D894*E894+G894),IF(B894="מכירה",D894*E894-G894,IF(B894="דיבידנד",F894-G894,IF(B894="הפקדה",F894-G894,IF(B894="משיכה",-F894-G894,-G894))))))</f>
        <v/>
      </c>
      <c r="I894" s="28">
        <f>IF(B894="קנייה",D894*E894+G894,0)</f>
        <v/>
      </c>
      <c r="J894" s="41">
        <f>IF(B894="מכירה",D894*E894-G894-D894*IFERROR(SUMIFS($I$5:I894,$C$5:C894,C894)/SUMIFS($D$5:D894,$C$5:C894,C894,$B$5:B894,"קנייה"),0),0)</f>
        <v/>
      </c>
      <c r="K894" s="26" t="n"/>
    </row>
    <row r="895">
      <c r="A895" s="39" t="n"/>
      <c r="B895" s="26" t="n"/>
      <c r="C895" s="26" t="n"/>
      <c r="D895" s="40" t="n"/>
      <c r="E895" s="29" t="n"/>
      <c r="F895" s="29" t="n"/>
      <c r="G895" s="29" t="n"/>
      <c r="H895" s="28">
        <f>IF(B895="","",IF(B895="קנייה",-(D895*E895+G895),IF(B895="מכירה",D895*E895-G895,IF(B895="דיבידנד",F895-G895,IF(B895="הפקדה",F895-G895,IF(B895="משיכה",-F895-G895,-G895))))))</f>
        <v/>
      </c>
      <c r="I895" s="28">
        <f>IF(B895="קנייה",D895*E895+G895,0)</f>
        <v/>
      </c>
      <c r="J895" s="41">
        <f>IF(B895="מכירה",D895*E895-G895-D895*IFERROR(SUMIFS($I$5:I895,$C$5:C895,C895)/SUMIFS($D$5:D895,$C$5:C895,C895,$B$5:B895,"קנייה"),0),0)</f>
        <v/>
      </c>
      <c r="K895" s="26" t="n"/>
    </row>
    <row r="896">
      <c r="A896" s="39" t="n"/>
      <c r="B896" s="26" t="n"/>
      <c r="C896" s="26" t="n"/>
      <c r="D896" s="40" t="n"/>
      <c r="E896" s="29" t="n"/>
      <c r="F896" s="29" t="n"/>
      <c r="G896" s="29" t="n"/>
      <c r="H896" s="28">
        <f>IF(B896="","",IF(B896="קנייה",-(D896*E896+G896),IF(B896="מכירה",D896*E896-G896,IF(B896="דיבידנד",F896-G896,IF(B896="הפקדה",F896-G896,IF(B896="משיכה",-F896-G896,-G896))))))</f>
        <v/>
      </c>
      <c r="I896" s="28">
        <f>IF(B896="קנייה",D896*E896+G896,0)</f>
        <v/>
      </c>
      <c r="J896" s="41">
        <f>IF(B896="מכירה",D896*E896-G896-D896*IFERROR(SUMIFS($I$5:I896,$C$5:C896,C896)/SUMIFS($D$5:D896,$C$5:C896,C896,$B$5:B896,"קנייה"),0),0)</f>
        <v/>
      </c>
      <c r="K896" s="26" t="n"/>
    </row>
    <row r="897">
      <c r="A897" s="39" t="n"/>
      <c r="B897" s="26" t="n"/>
      <c r="C897" s="26" t="n"/>
      <c r="D897" s="40" t="n"/>
      <c r="E897" s="29" t="n"/>
      <c r="F897" s="29" t="n"/>
      <c r="G897" s="29" t="n"/>
      <c r="H897" s="28">
        <f>IF(B897="","",IF(B897="קנייה",-(D897*E897+G897),IF(B897="מכירה",D897*E897-G897,IF(B897="דיבידנד",F897-G897,IF(B897="הפקדה",F897-G897,IF(B897="משיכה",-F897-G897,-G897))))))</f>
        <v/>
      </c>
      <c r="I897" s="28">
        <f>IF(B897="קנייה",D897*E897+G897,0)</f>
        <v/>
      </c>
      <c r="J897" s="41">
        <f>IF(B897="מכירה",D897*E897-G897-D897*IFERROR(SUMIFS($I$5:I897,$C$5:C897,C897)/SUMIFS($D$5:D897,$C$5:C897,C897,$B$5:B897,"קנייה"),0),0)</f>
        <v/>
      </c>
      <c r="K897" s="26" t="n"/>
    </row>
    <row r="898">
      <c r="A898" s="39" t="n"/>
      <c r="B898" s="26" t="n"/>
      <c r="C898" s="26" t="n"/>
      <c r="D898" s="40" t="n"/>
      <c r="E898" s="29" t="n"/>
      <c r="F898" s="29" t="n"/>
      <c r="G898" s="29" t="n"/>
      <c r="H898" s="28">
        <f>IF(B898="","",IF(B898="קנייה",-(D898*E898+G898),IF(B898="מכירה",D898*E898-G898,IF(B898="דיבידנד",F898-G898,IF(B898="הפקדה",F898-G898,IF(B898="משיכה",-F898-G898,-G898))))))</f>
        <v/>
      </c>
      <c r="I898" s="28">
        <f>IF(B898="קנייה",D898*E898+G898,0)</f>
        <v/>
      </c>
      <c r="J898" s="41">
        <f>IF(B898="מכירה",D898*E898-G898-D898*IFERROR(SUMIFS($I$5:I898,$C$5:C898,C898)/SUMIFS($D$5:D898,$C$5:C898,C898,$B$5:B898,"קנייה"),0),0)</f>
        <v/>
      </c>
      <c r="K898" s="26" t="n"/>
    </row>
    <row r="899">
      <c r="A899" s="39" t="n"/>
      <c r="B899" s="26" t="n"/>
      <c r="C899" s="26" t="n"/>
      <c r="D899" s="40" t="n"/>
      <c r="E899" s="29" t="n"/>
      <c r="F899" s="29" t="n"/>
      <c r="G899" s="29" t="n"/>
      <c r="H899" s="28">
        <f>IF(B899="","",IF(B899="קנייה",-(D899*E899+G899),IF(B899="מכירה",D899*E899-G899,IF(B899="דיבידנד",F899-G899,IF(B899="הפקדה",F899-G899,IF(B899="משיכה",-F899-G899,-G899))))))</f>
        <v/>
      </c>
      <c r="I899" s="28">
        <f>IF(B899="קנייה",D899*E899+G899,0)</f>
        <v/>
      </c>
      <c r="J899" s="41">
        <f>IF(B899="מכירה",D899*E899-G899-D899*IFERROR(SUMIFS($I$5:I899,$C$5:C899,C899)/SUMIFS($D$5:D899,$C$5:C899,C899,$B$5:B899,"קנייה"),0),0)</f>
        <v/>
      </c>
      <c r="K899" s="26" t="n"/>
    </row>
    <row r="900">
      <c r="A900" s="39" t="n"/>
      <c r="B900" s="26" t="n"/>
      <c r="C900" s="26" t="n"/>
      <c r="D900" s="40" t="n"/>
      <c r="E900" s="29" t="n"/>
      <c r="F900" s="29" t="n"/>
      <c r="G900" s="29" t="n"/>
      <c r="H900" s="28">
        <f>IF(B900="","",IF(B900="קנייה",-(D900*E900+G900),IF(B900="מכירה",D900*E900-G900,IF(B900="דיבידנד",F900-G900,IF(B900="הפקדה",F900-G900,IF(B900="משיכה",-F900-G900,-G900))))))</f>
        <v/>
      </c>
      <c r="I900" s="28">
        <f>IF(B900="קנייה",D900*E900+G900,0)</f>
        <v/>
      </c>
      <c r="J900" s="41">
        <f>IF(B900="מכירה",D900*E900-G900-D900*IFERROR(SUMIFS($I$5:I900,$C$5:C900,C900)/SUMIFS($D$5:D900,$C$5:C900,C900,$B$5:B900,"קנייה"),0),0)</f>
        <v/>
      </c>
      <c r="K900" s="26" t="n"/>
    </row>
    <row r="901">
      <c r="A901" s="39" t="n"/>
      <c r="B901" s="26" t="n"/>
      <c r="C901" s="26" t="n"/>
      <c r="D901" s="40" t="n"/>
      <c r="E901" s="29" t="n"/>
      <c r="F901" s="29" t="n"/>
      <c r="G901" s="29" t="n"/>
      <c r="H901" s="28">
        <f>IF(B901="","",IF(B901="קנייה",-(D901*E901+G901),IF(B901="מכירה",D901*E901-G901,IF(B901="דיבידנד",F901-G901,IF(B901="הפקדה",F901-G901,IF(B901="משיכה",-F901-G901,-G901))))))</f>
        <v/>
      </c>
      <c r="I901" s="28">
        <f>IF(B901="קנייה",D901*E901+G901,0)</f>
        <v/>
      </c>
      <c r="J901" s="41">
        <f>IF(B901="מכירה",D901*E901-G901-D901*IFERROR(SUMIFS($I$5:I901,$C$5:C901,C901)/SUMIFS($D$5:D901,$C$5:C901,C901,$B$5:B901,"קנייה"),0),0)</f>
        <v/>
      </c>
      <c r="K901" s="26" t="n"/>
    </row>
    <row r="902">
      <c r="A902" s="39" t="n"/>
      <c r="B902" s="26" t="n"/>
      <c r="C902" s="26" t="n"/>
      <c r="D902" s="40" t="n"/>
      <c r="E902" s="29" t="n"/>
      <c r="F902" s="29" t="n"/>
      <c r="G902" s="29" t="n"/>
      <c r="H902" s="28">
        <f>IF(B902="","",IF(B902="קנייה",-(D902*E902+G902),IF(B902="מכירה",D902*E902-G902,IF(B902="דיבידנד",F902-G902,IF(B902="הפקדה",F902-G902,IF(B902="משיכה",-F902-G902,-G902))))))</f>
        <v/>
      </c>
      <c r="I902" s="28">
        <f>IF(B902="קנייה",D902*E902+G902,0)</f>
        <v/>
      </c>
      <c r="J902" s="41">
        <f>IF(B902="מכירה",D902*E902-G902-D902*IFERROR(SUMIFS($I$5:I902,$C$5:C902,C902)/SUMIFS($D$5:D902,$C$5:C902,C902,$B$5:B902,"קנייה"),0),0)</f>
        <v/>
      </c>
      <c r="K902" s="26" t="n"/>
    </row>
    <row r="903">
      <c r="A903" s="39" t="n"/>
      <c r="B903" s="26" t="n"/>
      <c r="C903" s="26" t="n"/>
      <c r="D903" s="40" t="n"/>
      <c r="E903" s="29" t="n"/>
      <c r="F903" s="29" t="n"/>
      <c r="G903" s="29" t="n"/>
      <c r="H903" s="28">
        <f>IF(B903="","",IF(B903="קנייה",-(D903*E903+G903),IF(B903="מכירה",D903*E903-G903,IF(B903="דיבידנד",F903-G903,IF(B903="הפקדה",F903-G903,IF(B903="משיכה",-F903-G903,-G903))))))</f>
        <v/>
      </c>
      <c r="I903" s="28">
        <f>IF(B903="קנייה",D903*E903+G903,0)</f>
        <v/>
      </c>
      <c r="J903" s="41">
        <f>IF(B903="מכירה",D903*E903-G903-D903*IFERROR(SUMIFS($I$5:I903,$C$5:C903,C903)/SUMIFS($D$5:D903,$C$5:C903,C903,$B$5:B903,"קנייה"),0),0)</f>
        <v/>
      </c>
      <c r="K903" s="26" t="n"/>
    </row>
    <row r="904">
      <c r="A904" s="39" t="n"/>
      <c r="B904" s="26" t="n"/>
      <c r="C904" s="26" t="n"/>
      <c r="D904" s="40" t="n"/>
      <c r="E904" s="29" t="n"/>
      <c r="F904" s="29" t="n"/>
      <c r="G904" s="29" t="n"/>
      <c r="H904" s="28">
        <f>IF(B904="","",IF(B904="קנייה",-(D904*E904+G904),IF(B904="מכירה",D904*E904-G904,IF(B904="דיבידנד",F904-G904,IF(B904="הפקדה",F904-G904,IF(B904="משיכה",-F904-G904,-G904))))))</f>
        <v/>
      </c>
      <c r="I904" s="28">
        <f>IF(B904="קנייה",D904*E904+G904,0)</f>
        <v/>
      </c>
      <c r="J904" s="41">
        <f>IF(B904="מכירה",D904*E904-G904-D904*IFERROR(SUMIFS($I$5:I904,$C$5:C904,C904)/SUMIFS($D$5:D904,$C$5:C904,C904,$B$5:B904,"קנייה"),0),0)</f>
        <v/>
      </c>
      <c r="K904" s="26" t="n"/>
    </row>
    <row r="905">
      <c r="A905" s="39" t="n"/>
      <c r="B905" s="26" t="n"/>
      <c r="C905" s="26" t="n"/>
      <c r="D905" s="40" t="n"/>
      <c r="E905" s="29" t="n"/>
      <c r="F905" s="29" t="n"/>
      <c r="G905" s="29" t="n"/>
      <c r="H905" s="28">
        <f>IF(B905="","",IF(B905="קנייה",-(D905*E905+G905),IF(B905="מכירה",D905*E905-G905,IF(B905="דיבידנד",F905-G905,IF(B905="הפקדה",F905-G905,IF(B905="משיכה",-F905-G905,-G905))))))</f>
        <v/>
      </c>
      <c r="I905" s="28">
        <f>IF(B905="קנייה",D905*E905+G905,0)</f>
        <v/>
      </c>
      <c r="J905" s="41">
        <f>IF(B905="מכירה",D905*E905-G905-D905*IFERROR(SUMIFS($I$5:I905,$C$5:C905,C905)/SUMIFS($D$5:D905,$C$5:C905,C905,$B$5:B905,"קנייה"),0),0)</f>
        <v/>
      </c>
      <c r="K905" s="26" t="n"/>
    </row>
    <row r="906">
      <c r="A906" s="39" t="n"/>
      <c r="B906" s="26" t="n"/>
      <c r="C906" s="26" t="n"/>
      <c r="D906" s="40" t="n"/>
      <c r="E906" s="29" t="n"/>
      <c r="F906" s="29" t="n"/>
      <c r="G906" s="29" t="n"/>
      <c r="H906" s="28">
        <f>IF(B906="","",IF(B906="קנייה",-(D906*E906+G906),IF(B906="מכירה",D906*E906-G906,IF(B906="דיבידנד",F906-G906,IF(B906="הפקדה",F906-G906,IF(B906="משיכה",-F906-G906,-G906))))))</f>
        <v/>
      </c>
      <c r="I906" s="28">
        <f>IF(B906="קנייה",D906*E906+G906,0)</f>
        <v/>
      </c>
      <c r="J906" s="41">
        <f>IF(B906="מכירה",D906*E906-G906-D906*IFERROR(SUMIFS($I$5:I906,$C$5:C906,C906)/SUMIFS($D$5:D906,$C$5:C906,C906,$B$5:B906,"קנייה"),0),0)</f>
        <v/>
      </c>
      <c r="K906" s="26" t="n"/>
    </row>
    <row r="907">
      <c r="A907" s="39" t="n"/>
      <c r="B907" s="26" t="n"/>
      <c r="C907" s="26" t="n"/>
      <c r="D907" s="40" t="n"/>
      <c r="E907" s="29" t="n"/>
      <c r="F907" s="29" t="n"/>
      <c r="G907" s="29" t="n"/>
      <c r="H907" s="28">
        <f>IF(B907="","",IF(B907="קנייה",-(D907*E907+G907),IF(B907="מכירה",D907*E907-G907,IF(B907="דיבידנד",F907-G907,IF(B907="הפקדה",F907-G907,IF(B907="משיכה",-F907-G907,-G907))))))</f>
        <v/>
      </c>
      <c r="I907" s="28">
        <f>IF(B907="קנייה",D907*E907+G907,0)</f>
        <v/>
      </c>
      <c r="J907" s="41">
        <f>IF(B907="מכירה",D907*E907-G907-D907*IFERROR(SUMIFS($I$5:I907,$C$5:C907,C907)/SUMIFS($D$5:D907,$C$5:C907,C907,$B$5:B907,"קנייה"),0),0)</f>
        <v/>
      </c>
      <c r="K907" s="26" t="n"/>
    </row>
    <row r="908">
      <c r="A908" s="39" t="n"/>
      <c r="B908" s="26" t="n"/>
      <c r="C908" s="26" t="n"/>
      <c r="D908" s="40" t="n"/>
      <c r="E908" s="29" t="n"/>
      <c r="F908" s="29" t="n"/>
      <c r="G908" s="29" t="n"/>
      <c r="H908" s="28">
        <f>IF(B908="","",IF(B908="קנייה",-(D908*E908+G908),IF(B908="מכירה",D908*E908-G908,IF(B908="דיבידנד",F908-G908,IF(B908="הפקדה",F908-G908,IF(B908="משיכה",-F908-G908,-G908))))))</f>
        <v/>
      </c>
      <c r="I908" s="28">
        <f>IF(B908="קנייה",D908*E908+G908,0)</f>
        <v/>
      </c>
      <c r="J908" s="41">
        <f>IF(B908="מכירה",D908*E908-G908-D908*IFERROR(SUMIFS($I$5:I908,$C$5:C908,C908)/SUMIFS($D$5:D908,$C$5:C908,C908,$B$5:B908,"קנייה"),0),0)</f>
        <v/>
      </c>
      <c r="K908" s="26" t="n"/>
    </row>
    <row r="909">
      <c r="A909" s="39" t="n"/>
      <c r="B909" s="26" t="n"/>
      <c r="C909" s="26" t="n"/>
      <c r="D909" s="40" t="n"/>
      <c r="E909" s="29" t="n"/>
      <c r="F909" s="29" t="n"/>
      <c r="G909" s="29" t="n"/>
      <c r="H909" s="28">
        <f>IF(B909="","",IF(B909="קנייה",-(D909*E909+G909),IF(B909="מכירה",D909*E909-G909,IF(B909="דיבידנד",F909-G909,IF(B909="הפקדה",F909-G909,IF(B909="משיכה",-F909-G909,-G909))))))</f>
        <v/>
      </c>
      <c r="I909" s="28">
        <f>IF(B909="קנייה",D909*E909+G909,0)</f>
        <v/>
      </c>
      <c r="J909" s="41">
        <f>IF(B909="מכירה",D909*E909-G909-D909*IFERROR(SUMIFS($I$5:I909,$C$5:C909,C909)/SUMIFS($D$5:D909,$C$5:C909,C909,$B$5:B909,"קנייה"),0),0)</f>
        <v/>
      </c>
      <c r="K909" s="26" t="n"/>
    </row>
    <row r="910">
      <c r="A910" s="39" t="n"/>
      <c r="B910" s="26" t="n"/>
      <c r="C910" s="26" t="n"/>
      <c r="D910" s="40" t="n"/>
      <c r="E910" s="29" t="n"/>
      <c r="F910" s="29" t="n"/>
      <c r="G910" s="29" t="n"/>
      <c r="H910" s="28">
        <f>IF(B910="","",IF(B910="קנייה",-(D910*E910+G910),IF(B910="מכירה",D910*E910-G910,IF(B910="דיבידנד",F910-G910,IF(B910="הפקדה",F910-G910,IF(B910="משיכה",-F910-G910,-G910))))))</f>
        <v/>
      </c>
      <c r="I910" s="28">
        <f>IF(B910="קנייה",D910*E910+G910,0)</f>
        <v/>
      </c>
      <c r="J910" s="41">
        <f>IF(B910="מכירה",D910*E910-G910-D910*IFERROR(SUMIFS($I$5:I910,$C$5:C910,C910)/SUMIFS($D$5:D910,$C$5:C910,C910,$B$5:B910,"קנייה"),0),0)</f>
        <v/>
      </c>
      <c r="K910" s="26" t="n"/>
    </row>
    <row r="911">
      <c r="A911" s="39" t="n"/>
      <c r="B911" s="26" t="n"/>
      <c r="C911" s="26" t="n"/>
      <c r="D911" s="40" t="n"/>
      <c r="E911" s="29" t="n"/>
      <c r="F911" s="29" t="n"/>
      <c r="G911" s="29" t="n"/>
      <c r="H911" s="28">
        <f>IF(B911="","",IF(B911="קנייה",-(D911*E911+G911),IF(B911="מכירה",D911*E911-G911,IF(B911="דיבידנד",F911-G911,IF(B911="הפקדה",F911-G911,IF(B911="משיכה",-F911-G911,-G911))))))</f>
        <v/>
      </c>
      <c r="I911" s="28">
        <f>IF(B911="קנייה",D911*E911+G911,0)</f>
        <v/>
      </c>
      <c r="J911" s="41">
        <f>IF(B911="מכירה",D911*E911-G911-D911*IFERROR(SUMIFS($I$5:I911,$C$5:C911,C911)/SUMIFS($D$5:D911,$C$5:C911,C911,$B$5:B911,"קנייה"),0),0)</f>
        <v/>
      </c>
      <c r="K911" s="26" t="n"/>
    </row>
    <row r="912">
      <c r="A912" s="39" t="n"/>
      <c r="B912" s="26" t="n"/>
      <c r="C912" s="26" t="n"/>
      <c r="D912" s="40" t="n"/>
      <c r="E912" s="29" t="n"/>
      <c r="F912" s="29" t="n"/>
      <c r="G912" s="29" t="n"/>
      <c r="H912" s="28">
        <f>IF(B912="","",IF(B912="קנייה",-(D912*E912+G912),IF(B912="מכירה",D912*E912-G912,IF(B912="דיבידנד",F912-G912,IF(B912="הפקדה",F912-G912,IF(B912="משיכה",-F912-G912,-G912))))))</f>
        <v/>
      </c>
      <c r="I912" s="28">
        <f>IF(B912="קנייה",D912*E912+G912,0)</f>
        <v/>
      </c>
      <c r="J912" s="41">
        <f>IF(B912="מכירה",D912*E912-G912-D912*IFERROR(SUMIFS($I$5:I912,$C$5:C912,C912)/SUMIFS($D$5:D912,$C$5:C912,C912,$B$5:B912,"קנייה"),0),0)</f>
        <v/>
      </c>
      <c r="K912" s="26" t="n"/>
    </row>
    <row r="913">
      <c r="A913" s="39" t="n"/>
      <c r="B913" s="26" t="n"/>
      <c r="C913" s="26" t="n"/>
      <c r="D913" s="40" t="n"/>
      <c r="E913" s="29" t="n"/>
      <c r="F913" s="29" t="n"/>
      <c r="G913" s="29" t="n"/>
      <c r="H913" s="28">
        <f>IF(B913="","",IF(B913="קנייה",-(D913*E913+G913),IF(B913="מכירה",D913*E913-G913,IF(B913="דיבידנד",F913-G913,IF(B913="הפקדה",F913-G913,IF(B913="משיכה",-F913-G913,-G913))))))</f>
        <v/>
      </c>
      <c r="I913" s="28">
        <f>IF(B913="קנייה",D913*E913+G913,0)</f>
        <v/>
      </c>
      <c r="J913" s="41">
        <f>IF(B913="מכירה",D913*E913-G913-D913*IFERROR(SUMIFS($I$5:I913,$C$5:C913,C913)/SUMIFS($D$5:D913,$C$5:C913,C913,$B$5:B913,"קנייה"),0),0)</f>
        <v/>
      </c>
      <c r="K913" s="26" t="n"/>
    </row>
    <row r="914">
      <c r="A914" s="39" t="n"/>
      <c r="B914" s="26" t="n"/>
      <c r="C914" s="26" t="n"/>
      <c r="D914" s="40" t="n"/>
      <c r="E914" s="29" t="n"/>
      <c r="F914" s="29" t="n"/>
      <c r="G914" s="29" t="n"/>
      <c r="H914" s="28">
        <f>IF(B914="","",IF(B914="קנייה",-(D914*E914+G914),IF(B914="מכירה",D914*E914-G914,IF(B914="דיבידנד",F914-G914,IF(B914="הפקדה",F914-G914,IF(B914="משיכה",-F914-G914,-G914))))))</f>
        <v/>
      </c>
      <c r="I914" s="28">
        <f>IF(B914="קנייה",D914*E914+G914,0)</f>
        <v/>
      </c>
      <c r="J914" s="41">
        <f>IF(B914="מכירה",D914*E914-G914-D914*IFERROR(SUMIFS($I$5:I914,$C$5:C914,C914)/SUMIFS($D$5:D914,$C$5:C914,C914,$B$5:B914,"קנייה"),0),0)</f>
        <v/>
      </c>
      <c r="K914" s="26" t="n"/>
    </row>
    <row r="915">
      <c r="A915" s="39" t="n"/>
      <c r="B915" s="26" t="n"/>
      <c r="C915" s="26" t="n"/>
      <c r="D915" s="40" t="n"/>
      <c r="E915" s="29" t="n"/>
      <c r="F915" s="29" t="n"/>
      <c r="G915" s="29" t="n"/>
      <c r="H915" s="28">
        <f>IF(B915="","",IF(B915="קנייה",-(D915*E915+G915),IF(B915="מכירה",D915*E915-G915,IF(B915="דיבידנד",F915-G915,IF(B915="הפקדה",F915-G915,IF(B915="משיכה",-F915-G915,-G915))))))</f>
        <v/>
      </c>
      <c r="I915" s="28">
        <f>IF(B915="קנייה",D915*E915+G915,0)</f>
        <v/>
      </c>
      <c r="J915" s="41">
        <f>IF(B915="מכירה",D915*E915-G915-D915*IFERROR(SUMIFS($I$5:I915,$C$5:C915,C915)/SUMIFS($D$5:D915,$C$5:C915,C915,$B$5:B915,"קנייה"),0),0)</f>
        <v/>
      </c>
      <c r="K915" s="26" t="n"/>
    </row>
    <row r="916">
      <c r="A916" s="39" t="n"/>
      <c r="B916" s="26" t="n"/>
      <c r="C916" s="26" t="n"/>
      <c r="D916" s="40" t="n"/>
      <c r="E916" s="29" t="n"/>
      <c r="F916" s="29" t="n"/>
      <c r="G916" s="29" t="n"/>
      <c r="H916" s="28">
        <f>IF(B916="","",IF(B916="קנייה",-(D916*E916+G916),IF(B916="מכירה",D916*E916-G916,IF(B916="דיבידנד",F916-G916,IF(B916="הפקדה",F916-G916,IF(B916="משיכה",-F916-G916,-G916))))))</f>
        <v/>
      </c>
      <c r="I916" s="28">
        <f>IF(B916="קנייה",D916*E916+G916,0)</f>
        <v/>
      </c>
      <c r="J916" s="41">
        <f>IF(B916="מכירה",D916*E916-G916-D916*IFERROR(SUMIFS($I$5:I916,$C$5:C916,C916)/SUMIFS($D$5:D916,$C$5:C916,C916,$B$5:B916,"קנייה"),0),0)</f>
        <v/>
      </c>
      <c r="K916" s="26" t="n"/>
    </row>
    <row r="917">
      <c r="A917" s="39" t="n"/>
      <c r="B917" s="26" t="n"/>
      <c r="C917" s="26" t="n"/>
      <c r="D917" s="40" t="n"/>
      <c r="E917" s="29" t="n"/>
      <c r="F917" s="29" t="n"/>
      <c r="G917" s="29" t="n"/>
      <c r="H917" s="28">
        <f>IF(B917="","",IF(B917="קנייה",-(D917*E917+G917),IF(B917="מכירה",D917*E917-G917,IF(B917="דיבידנד",F917-G917,IF(B917="הפקדה",F917-G917,IF(B917="משיכה",-F917-G917,-G917))))))</f>
        <v/>
      </c>
      <c r="I917" s="28">
        <f>IF(B917="קנייה",D917*E917+G917,0)</f>
        <v/>
      </c>
      <c r="J917" s="41">
        <f>IF(B917="מכירה",D917*E917-G917-D917*IFERROR(SUMIFS($I$5:I917,$C$5:C917,C917)/SUMIFS($D$5:D917,$C$5:C917,C917,$B$5:B917,"קנייה"),0),0)</f>
        <v/>
      </c>
      <c r="K917" s="26" t="n"/>
    </row>
    <row r="918">
      <c r="A918" s="39" t="n"/>
      <c r="B918" s="26" t="n"/>
      <c r="C918" s="26" t="n"/>
      <c r="D918" s="40" t="n"/>
      <c r="E918" s="29" t="n"/>
      <c r="F918" s="29" t="n"/>
      <c r="G918" s="29" t="n"/>
      <c r="H918" s="28">
        <f>IF(B918="","",IF(B918="קנייה",-(D918*E918+G918),IF(B918="מכירה",D918*E918-G918,IF(B918="דיבידנד",F918-G918,IF(B918="הפקדה",F918-G918,IF(B918="משיכה",-F918-G918,-G918))))))</f>
        <v/>
      </c>
      <c r="I918" s="28">
        <f>IF(B918="קנייה",D918*E918+G918,0)</f>
        <v/>
      </c>
      <c r="J918" s="41">
        <f>IF(B918="מכירה",D918*E918-G918-D918*IFERROR(SUMIFS($I$5:I918,$C$5:C918,C918)/SUMIFS($D$5:D918,$C$5:C918,C918,$B$5:B918,"קנייה"),0),0)</f>
        <v/>
      </c>
      <c r="K918" s="26" t="n"/>
    </row>
    <row r="919">
      <c r="A919" s="39" t="n"/>
      <c r="B919" s="26" t="n"/>
      <c r="C919" s="26" t="n"/>
      <c r="D919" s="40" t="n"/>
      <c r="E919" s="29" t="n"/>
      <c r="F919" s="29" t="n"/>
      <c r="G919" s="29" t="n"/>
      <c r="H919" s="28">
        <f>IF(B919="","",IF(B919="קנייה",-(D919*E919+G919),IF(B919="מכירה",D919*E919-G919,IF(B919="דיבידנד",F919-G919,IF(B919="הפקדה",F919-G919,IF(B919="משיכה",-F919-G919,-G919))))))</f>
        <v/>
      </c>
      <c r="I919" s="28">
        <f>IF(B919="קנייה",D919*E919+G919,0)</f>
        <v/>
      </c>
      <c r="J919" s="41">
        <f>IF(B919="מכירה",D919*E919-G919-D919*IFERROR(SUMIFS($I$5:I919,$C$5:C919,C919)/SUMIFS($D$5:D919,$C$5:C919,C919,$B$5:B919,"קנייה"),0),0)</f>
        <v/>
      </c>
      <c r="K919" s="26" t="n"/>
    </row>
    <row r="920">
      <c r="A920" s="39" t="n"/>
      <c r="B920" s="26" t="n"/>
      <c r="C920" s="26" t="n"/>
      <c r="D920" s="40" t="n"/>
      <c r="E920" s="29" t="n"/>
      <c r="F920" s="29" t="n"/>
      <c r="G920" s="29" t="n"/>
      <c r="H920" s="28">
        <f>IF(B920="","",IF(B920="קנייה",-(D920*E920+G920),IF(B920="מכירה",D920*E920-G920,IF(B920="דיבידנד",F920-G920,IF(B920="הפקדה",F920-G920,IF(B920="משיכה",-F920-G920,-G920))))))</f>
        <v/>
      </c>
      <c r="I920" s="28">
        <f>IF(B920="קנייה",D920*E920+G920,0)</f>
        <v/>
      </c>
      <c r="J920" s="41">
        <f>IF(B920="מכירה",D920*E920-G920-D920*IFERROR(SUMIFS($I$5:I920,$C$5:C920,C920)/SUMIFS($D$5:D920,$C$5:C920,C920,$B$5:B920,"קנייה"),0),0)</f>
        <v/>
      </c>
      <c r="K920" s="26" t="n"/>
    </row>
    <row r="921">
      <c r="A921" s="39" t="n"/>
      <c r="B921" s="26" t="n"/>
      <c r="C921" s="26" t="n"/>
      <c r="D921" s="40" t="n"/>
      <c r="E921" s="29" t="n"/>
      <c r="F921" s="29" t="n"/>
      <c r="G921" s="29" t="n"/>
      <c r="H921" s="28">
        <f>IF(B921="","",IF(B921="קנייה",-(D921*E921+G921),IF(B921="מכירה",D921*E921-G921,IF(B921="דיבידנד",F921-G921,IF(B921="הפקדה",F921-G921,IF(B921="משיכה",-F921-G921,-G921))))))</f>
        <v/>
      </c>
      <c r="I921" s="28">
        <f>IF(B921="קנייה",D921*E921+G921,0)</f>
        <v/>
      </c>
      <c r="J921" s="41">
        <f>IF(B921="מכירה",D921*E921-G921-D921*IFERROR(SUMIFS($I$5:I921,$C$5:C921,C921)/SUMIFS($D$5:D921,$C$5:C921,C921,$B$5:B921,"קנייה"),0),0)</f>
        <v/>
      </c>
      <c r="K921" s="26" t="n"/>
    </row>
    <row r="922">
      <c r="A922" s="39" t="n"/>
      <c r="B922" s="26" t="n"/>
      <c r="C922" s="26" t="n"/>
      <c r="D922" s="40" t="n"/>
      <c r="E922" s="29" t="n"/>
      <c r="F922" s="29" t="n"/>
      <c r="G922" s="29" t="n"/>
      <c r="H922" s="28">
        <f>IF(B922="","",IF(B922="קנייה",-(D922*E922+G922),IF(B922="מכירה",D922*E922-G922,IF(B922="דיבידנד",F922-G922,IF(B922="הפקדה",F922-G922,IF(B922="משיכה",-F922-G922,-G922))))))</f>
        <v/>
      </c>
      <c r="I922" s="28">
        <f>IF(B922="קנייה",D922*E922+G922,0)</f>
        <v/>
      </c>
      <c r="J922" s="41">
        <f>IF(B922="מכירה",D922*E922-G922-D922*IFERROR(SUMIFS($I$5:I922,$C$5:C922,C922)/SUMIFS($D$5:D922,$C$5:C922,C922,$B$5:B922,"קנייה"),0),0)</f>
        <v/>
      </c>
      <c r="K922" s="26" t="n"/>
    </row>
    <row r="923">
      <c r="A923" s="39" t="n"/>
      <c r="B923" s="26" t="n"/>
      <c r="C923" s="26" t="n"/>
      <c r="D923" s="40" t="n"/>
      <c r="E923" s="29" t="n"/>
      <c r="F923" s="29" t="n"/>
      <c r="G923" s="29" t="n"/>
      <c r="H923" s="28">
        <f>IF(B923="","",IF(B923="קנייה",-(D923*E923+G923),IF(B923="מכירה",D923*E923-G923,IF(B923="דיבידנד",F923-G923,IF(B923="הפקדה",F923-G923,IF(B923="משיכה",-F923-G923,-G923))))))</f>
        <v/>
      </c>
      <c r="I923" s="28">
        <f>IF(B923="קנייה",D923*E923+G923,0)</f>
        <v/>
      </c>
      <c r="J923" s="41">
        <f>IF(B923="מכירה",D923*E923-G923-D923*IFERROR(SUMIFS($I$5:I923,$C$5:C923,C923)/SUMIFS($D$5:D923,$C$5:C923,C923,$B$5:B923,"קנייה"),0),0)</f>
        <v/>
      </c>
      <c r="K923" s="26" t="n"/>
    </row>
    <row r="924">
      <c r="A924" s="39" t="n"/>
      <c r="B924" s="26" t="n"/>
      <c r="C924" s="26" t="n"/>
      <c r="D924" s="40" t="n"/>
      <c r="E924" s="29" t="n"/>
      <c r="F924" s="29" t="n"/>
      <c r="G924" s="29" t="n"/>
      <c r="H924" s="28">
        <f>IF(B924="","",IF(B924="קנייה",-(D924*E924+G924),IF(B924="מכירה",D924*E924-G924,IF(B924="דיבידנד",F924-G924,IF(B924="הפקדה",F924-G924,IF(B924="משיכה",-F924-G924,-G924))))))</f>
        <v/>
      </c>
      <c r="I924" s="28">
        <f>IF(B924="קנייה",D924*E924+G924,0)</f>
        <v/>
      </c>
      <c r="J924" s="41">
        <f>IF(B924="מכירה",D924*E924-G924-D924*IFERROR(SUMIFS($I$5:I924,$C$5:C924,C924)/SUMIFS($D$5:D924,$C$5:C924,C924,$B$5:B924,"קנייה"),0),0)</f>
        <v/>
      </c>
      <c r="K924" s="26" t="n"/>
    </row>
    <row r="925">
      <c r="A925" s="39" t="n"/>
      <c r="B925" s="26" t="n"/>
      <c r="C925" s="26" t="n"/>
      <c r="D925" s="40" t="n"/>
      <c r="E925" s="29" t="n"/>
      <c r="F925" s="29" t="n"/>
      <c r="G925" s="29" t="n"/>
      <c r="H925" s="28">
        <f>IF(B925="","",IF(B925="קנייה",-(D925*E925+G925),IF(B925="מכירה",D925*E925-G925,IF(B925="דיבידנד",F925-G925,IF(B925="הפקדה",F925-G925,IF(B925="משיכה",-F925-G925,-G925))))))</f>
        <v/>
      </c>
      <c r="I925" s="28">
        <f>IF(B925="קנייה",D925*E925+G925,0)</f>
        <v/>
      </c>
      <c r="J925" s="41">
        <f>IF(B925="מכירה",D925*E925-G925-D925*IFERROR(SUMIFS($I$5:I925,$C$5:C925,C925)/SUMIFS($D$5:D925,$C$5:C925,C925,$B$5:B925,"קנייה"),0),0)</f>
        <v/>
      </c>
      <c r="K925" s="26" t="n"/>
    </row>
    <row r="926">
      <c r="A926" s="39" t="n"/>
      <c r="B926" s="26" t="n"/>
      <c r="C926" s="26" t="n"/>
      <c r="D926" s="40" t="n"/>
      <c r="E926" s="29" t="n"/>
      <c r="F926" s="29" t="n"/>
      <c r="G926" s="29" t="n"/>
      <c r="H926" s="28">
        <f>IF(B926="","",IF(B926="קנייה",-(D926*E926+G926),IF(B926="מכירה",D926*E926-G926,IF(B926="דיבידנד",F926-G926,IF(B926="הפקדה",F926-G926,IF(B926="משיכה",-F926-G926,-G926))))))</f>
        <v/>
      </c>
      <c r="I926" s="28">
        <f>IF(B926="קנייה",D926*E926+G926,0)</f>
        <v/>
      </c>
      <c r="J926" s="41">
        <f>IF(B926="מכירה",D926*E926-G926-D926*IFERROR(SUMIFS($I$5:I926,$C$5:C926,C926)/SUMIFS($D$5:D926,$C$5:C926,C926,$B$5:B926,"קנייה"),0),0)</f>
        <v/>
      </c>
      <c r="K926" s="26" t="n"/>
    </row>
    <row r="927">
      <c r="A927" s="39" t="n"/>
      <c r="B927" s="26" t="n"/>
      <c r="C927" s="26" t="n"/>
      <c r="D927" s="40" t="n"/>
      <c r="E927" s="29" t="n"/>
      <c r="F927" s="29" t="n"/>
      <c r="G927" s="29" t="n"/>
      <c r="H927" s="28">
        <f>IF(B927="","",IF(B927="קנייה",-(D927*E927+G927),IF(B927="מכירה",D927*E927-G927,IF(B927="דיבידנד",F927-G927,IF(B927="הפקדה",F927-G927,IF(B927="משיכה",-F927-G927,-G927))))))</f>
        <v/>
      </c>
      <c r="I927" s="28">
        <f>IF(B927="קנייה",D927*E927+G927,0)</f>
        <v/>
      </c>
      <c r="J927" s="41">
        <f>IF(B927="מכירה",D927*E927-G927-D927*IFERROR(SUMIFS($I$5:I927,$C$5:C927,C927)/SUMIFS($D$5:D927,$C$5:C927,C927,$B$5:B927,"קנייה"),0),0)</f>
        <v/>
      </c>
      <c r="K927" s="26" t="n"/>
    </row>
    <row r="928">
      <c r="A928" s="39" t="n"/>
      <c r="B928" s="26" t="n"/>
      <c r="C928" s="26" t="n"/>
      <c r="D928" s="40" t="n"/>
      <c r="E928" s="29" t="n"/>
      <c r="F928" s="29" t="n"/>
      <c r="G928" s="29" t="n"/>
      <c r="H928" s="28">
        <f>IF(B928="","",IF(B928="קנייה",-(D928*E928+G928),IF(B928="מכירה",D928*E928-G928,IF(B928="דיבידנד",F928-G928,IF(B928="הפקדה",F928-G928,IF(B928="משיכה",-F928-G928,-G928))))))</f>
        <v/>
      </c>
      <c r="I928" s="28">
        <f>IF(B928="קנייה",D928*E928+G928,0)</f>
        <v/>
      </c>
      <c r="J928" s="41">
        <f>IF(B928="מכירה",D928*E928-G928-D928*IFERROR(SUMIFS($I$5:I928,$C$5:C928,C928)/SUMIFS($D$5:D928,$C$5:C928,C928,$B$5:B928,"קנייה"),0),0)</f>
        <v/>
      </c>
      <c r="K928" s="26" t="n"/>
    </row>
    <row r="929">
      <c r="A929" s="39" t="n"/>
      <c r="B929" s="26" t="n"/>
      <c r="C929" s="26" t="n"/>
      <c r="D929" s="40" t="n"/>
      <c r="E929" s="29" t="n"/>
      <c r="F929" s="29" t="n"/>
      <c r="G929" s="29" t="n"/>
      <c r="H929" s="28">
        <f>IF(B929="","",IF(B929="קנייה",-(D929*E929+G929),IF(B929="מכירה",D929*E929-G929,IF(B929="דיבידנד",F929-G929,IF(B929="הפקדה",F929-G929,IF(B929="משיכה",-F929-G929,-G929))))))</f>
        <v/>
      </c>
      <c r="I929" s="28">
        <f>IF(B929="קנייה",D929*E929+G929,0)</f>
        <v/>
      </c>
      <c r="J929" s="41">
        <f>IF(B929="מכירה",D929*E929-G929-D929*IFERROR(SUMIFS($I$5:I929,$C$5:C929,C929)/SUMIFS($D$5:D929,$C$5:C929,C929,$B$5:B929,"קנייה"),0),0)</f>
        <v/>
      </c>
      <c r="K929" s="26" t="n"/>
    </row>
    <row r="930">
      <c r="A930" s="39" t="n"/>
      <c r="B930" s="26" t="n"/>
      <c r="C930" s="26" t="n"/>
      <c r="D930" s="40" t="n"/>
      <c r="E930" s="29" t="n"/>
      <c r="F930" s="29" t="n"/>
      <c r="G930" s="29" t="n"/>
      <c r="H930" s="28">
        <f>IF(B930="","",IF(B930="קנייה",-(D930*E930+G930),IF(B930="מכירה",D930*E930-G930,IF(B930="דיבידנד",F930-G930,IF(B930="הפקדה",F930-G930,IF(B930="משיכה",-F930-G930,-G930))))))</f>
        <v/>
      </c>
      <c r="I930" s="28">
        <f>IF(B930="קנייה",D930*E930+G930,0)</f>
        <v/>
      </c>
      <c r="J930" s="41">
        <f>IF(B930="מכירה",D930*E930-G930-D930*IFERROR(SUMIFS($I$5:I930,$C$5:C930,C930)/SUMIFS($D$5:D930,$C$5:C930,C930,$B$5:B930,"קנייה"),0),0)</f>
        <v/>
      </c>
      <c r="K930" s="26" t="n"/>
    </row>
    <row r="931">
      <c r="A931" s="39" t="n"/>
      <c r="B931" s="26" t="n"/>
      <c r="C931" s="26" t="n"/>
      <c r="D931" s="40" t="n"/>
      <c r="E931" s="29" t="n"/>
      <c r="F931" s="29" t="n"/>
      <c r="G931" s="29" t="n"/>
      <c r="H931" s="28">
        <f>IF(B931="","",IF(B931="קנייה",-(D931*E931+G931),IF(B931="מכירה",D931*E931-G931,IF(B931="דיבידנד",F931-G931,IF(B931="הפקדה",F931-G931,IF(B931="משיכה",-F931-G931,-G931))))))</f>
        <v/>
      </c>
      <c r="I931" s="28">
        <f>IF(B931="קנייה",D931*E931+G931,0)</f>
        <v/>
      </c>
      <c r="J931" s="41">
        <f>IF(B931="מכירה",D931*E931-G931-D931*IFERROR(SUMIFS($I$5:I931,$C$5:C931,C931)/SUMIFS($D$5:D931,$C$5:C931,C931,$B$5:B931,"קנייה"),0),0)</f>
        <v/>
      </c>
      <c r="K931" s="26" t="n"/>
    </row>
    <row r="932">
      <c r="A932" s="39" t="n"/>
      <c r="B932" s="26" t="n"/>
      <c r="C932" s="26" t="n"/>
      <c r="D932" s="40" t="n"/>
      <c r="E932" s="29" t="n"/>
      <c r="F932" s="29" t="n"/>
      <c r="G932" s="29" t="n"/>
      <c r="H932" s="28">
        <f>IF(B932="","",IF(B932="קנייה",-(D932*E932+G932),IF(B932="מכירה",D932*E932-G932,IF(B932="דיבידנד",F932-G932,IF(B932="הפקדה",F932-G932,IF(B932="משיכה",-F932-G932,-G932))))))</f>
        <v/>
      </c>
      <c r="I932" s="28">
        <f>IF(B932="קנייה",D932*E932+G932,0)</f>
        <v/>
      </c>
      <c r="J932" s="41">
        <f>IF(B932="מכירה",D932*E932-G932-D932*IFERROR(SUMIFS($I$5:I932,$C$5:C932,C932)/SUMIFS($D$5:D932,$C$5:C932,C932,$B$5:B932,"קנייה"),0),0)</f>
        <v/>
      </c>
      <c r="K932" s="26" t="n"/>
    </row>
    <row r="933">
      <c r="A933" s="39" t="n"/>
      <c r="B933" s="26" t="n"/>
      <c r="C933" s="26" t="n"/>
      <c r="D933" s="40" t="n"/>
      <c r="E933" s="29" t="n"/>
      <c r="F933" s="29" t="n"/>
      <c r="G933" s="29" t="n"/>
      <c r="H933" s="28">
        <f>IF(B933="","",IF(B933="קנייה",-(D933*E933+G933),IF(B933="מכירה",D933*E933-G933,IF(B933="דיבידנד",F933-G933,IF(B933="הפקדה",F933-G933,IF(B933="משיכה",-F933-G933,-G933))))))</f>
        <v/>
      </c>
      <c r="I933" s="28">
        <f>IF(B933="קנייה",D933*E933+G933,0)</f>
        <v/>
      </c>
      <c r="J933" s="41">
        <f>IF(B933="מכירה",D933*E933-G933-D933*IFERROR(SUMIFS($I$5:I933,$C$5:C933,C933)/SUMIFS($D$5:D933,$C$5:C933,C933,$B$5:B933,"קנייה"),0),0)</f>
        <v/>
      </c>
      <c r="K933" s="26" t="n"/>
    </row>
    <row r="934">
      <c r="A934" s="39" t="n"/>
      <c r="B934" s="26" t="n"/>
      <c r="C934" s="26" t="n"/>
      <c r="D934" s="40" t="n"/>
      <c r="E934" s="29" t="n"/>
      <c r="F934" s="29" t="n"/>
      <c r="G934" s="29" t="n"/>
      <c r="H934" s="28">
        <f>IF(B934="","",IF(B934="קנייה",-(D934*E934+G934),IF(B934="מכירה",D934*E934-G934,IF(B934="דיבידנד",F934-G934,IF(B934="הפקדה",F934-G934,IF(B934="משיכה",-F934-G934,-G934))))))</f>
        <v/>
      </c>
      <c r="I934" s="28">
        <f>IF(B934="קנייה",D934*E934+G934,0)</f>
        <v/>
      </c>
      <c r="J934" s="41">
        <f>IF(B934="מכירה",D934*E934-G934-D934*IFERROR(SUMIFS($I$5:I934,$C$5:C934,C934)/SUMIFS($D$5:D934,$C$5:C934,C934,$B$5:B934,"קנייה"),0),0)</f>
        <v/>
      </c>
      <c r="K934" s="26" t="n"/>
    </row>
    <row r="935">
      <c r="A935" s="39" t="n"/>
      <c r="B935" s="26" t="n"/>
      <c r="C935" s="26" t="n"/>
      <c r="D935" s="40" t="n"/>
      <c r="E935" s="29" t="n"/>
      <c r="F935" s="29" t="n"/>
      <c r="G935" s="29" t="n"/>
      <c r="H935" s="28">
        <f>IF(B935="","",IF(B935="קנייה",-(D935*E935+G935),IF(B935="מכירה",D935*E935-G935,IF(B935="דיבידנד",F935-G935,IF(B935="הפקדה",F935-G935,IF(B935="משיכה",-F935-G935,-G935))))))</f>
        <v/>
      </c>
      <c r="I935" s="28">
        <f>IF(B935="קנייה",D935*E935+G935,0)</f>
        <v/>
      </c>
      <c r="J935" s="41">
        <f>IF(B935="מכירה",D935*E935-G935-D935*IFERROR(SUMIFS($I$5:I935,$C$5:C935,C935)/SUMIFS($D$5:D935,$C$5:C935,C935,$B$5:B935,"קנייה"),0),0)</f>
        <v/>
      </c>
      <c r="K935" s="26" t="n"/>
    </row>
    <row r="936">
      <c r="A936" s="39" t="n"/>
      <c r="B936" s="26" t="n"/>
      <c r="C936" s="26" t="n"/>
      <c r="D936" s="40" t="n"/>
      <c r="E936" s="29" t="n"/>
      <c r="F936" s="29" t="n"/>
      <c r="G936" s="29" t="n"/>
      <c r="H936" s="28">
        <f>IF(B936="","",IF(B936="קנייה",-(D936*E936+G936),IF(B936="מכירה",D936*E936-G936,IF(B936="דיבידנד",F936-G936,IF(B936="הפקדה",F936-G936,IF(B936="משיכה",-F936-G936,-G936))))))</f>
        <v/>
      </c>
      <c r="I936" s="28">
        <f>IF(B936="קנייה",D936*E936+G936,0)</f>
        <v/>
      </c>
      <c r="J936" s="41">
        <f>IF(B936="מכירה",D936*E936-G936-D936*IFERROR(SUMIFS($I$5:I936,$C$5:C936,C936)/SUMIFS($D$5:D936,$C$5:C936,C936,$B$5:B936,"קנייה"),0),0)</f>
        <v/>
      </c>
      <c r="K936" s="26" t="n"/>
    </row>
    <row r="937">
      <c r="A937" s="39" t="n"/>
      <c r="B937" s="26" t="n"/>
      <c r="C937" s="26" t="n"/>
      <c r="D937" s="40" t="n"/>
      <c r="E937" s="29" t="n"/>
      <c r="F937" s="29" t="n"/>
      <c r="G937" s="29" t="n"/>
      <c r="H937" s="28">
        <f>IF(B937="","",IF(B937="קנייה",-(D937*E937+G937),IF(B937="מכירה",D937*E937-G937,IF(B937="דיבידנד",F937-G937,IF(B937="הפקדה",F937-G937,IF(B937="משיכה",-F937-G937,-G937))))))</f>
        <v/>
      </c>
      <c r="I937" s="28">
        <f>IF(B937="קנייה",D937*E937+G937,0)</f>
        <v/>
      </c>
      <c r="J937" s="41">
        <f>IF(B937="מכירה",D937*E937-G937-D937*IFERROR(SUMIFS($I$5:I937,$C$5:C937,C937)/SUMIFS($D$5:D937,$C$5:C937,C937,$B$5:B937,"קנייה"),0),0)</f>
        <v/>
      </c>
      <c r="K937" s="26" t="n"/>
    </row>
    <row r="938">
      <c r="A938" s="39" t="n"/>
      <c r="B938" s="26" t="n"/>
      <c r="C938" s="26" t="n"/>
      <c r="D938" s="40" t="n"/>
      <c r="E938" s="29" t="n"/>
      <c r="F938" s="29" t="n"/>
      <c r="G938" s="29" t="n"/>
      <c r="H938" s="28">
        <f>IF(B938="","",IF(B938="קנייה",-(D938*E938+G938),IF(B938="מכירה",D938*E938-G938,IF(B938="דיבידנד",F938-G938,IF(B938="הפקדה",F938-G938,IF(B938="משיכה",-F938-G938,-G938))))))</f>
        <v/>
      </c>
      <c r="I938" s="28">
        <f>IF(B938="קנייה",D938*E938+G938,0)</f>
        <v/>
      </c>
      <c r="J938" s="41">
        <f>IF(B938="מכירה",D938*E938-G938-D938*IFERROR(SUMIFS($I$5:I938,$C$5:C938,C938)/SUMIFS($D$5:D938,$C$5:C938,C938,$B$5:B938,"קנייה"),0),0)</f>
        <v/>
      </c>
      <c r="K938" s="26" t="n"/>
    </row>
    <row r="939">
      <c r="A939" s="39" t="n"/>
      <c r="B939" s="26" t="n"/>
      <c r="C939" s="26" t="n"/>
      <c r="D939" s="40" t="n"/>
      <c r="E939" s="29" t="n"/>
      <c r="F939" s="29" t="n"/>
      <c r="G939" s="29" t="n"/>
      <c r="H939" s="28">
        <f>IF(B939="","",IF(B939="קנייה",-(D939*E939+G939),IF(B939="מכירה",D939*E939-G939,IF(B939="דיבידנד",F939-G939,IF(B939="הפקדה",F939-G939,IF(B939="משיכה",-F939-G939,-G939))))))</f>
        <v/>
      </c>
      <c r="I939" s="28">
        <f>IF(B939="קנייה",D939*E939+G939,0)</f>
        <v/>
      </c>
      <c r="J939" s="41">
        <f>IF(B939="מכירה",D939*E939-G939-D939*IFERROR(SUMIFS($I$5:I939,$C$5:C939,C939)/SUMIFS($D$5:D939,$C$5:C939,C939,$B$5:B939,"קנייה"),0),0)</f>
        <v/>
      </c>
      <c r="K939" s="26" t="n"/>
    </row>
    <row r="940">
      <c r="A940" s="39" t="n"/>
      <c r="B940" s="26" t="n"/>
      <c r="C940" s="26" t="n"/>
      <c r="D940" s="40" t="n"/>
      <c r="E940" s="29" t="n"/>
      <c r="F940" s="29" t="n"/>
      <c r="G940" s="29" t="n"/>
      <c r="H940" s="28">
        <f>IF(B940="","",IF(B940="קנייה",-(D940*E940+G940),IF(B940="מכירה",D940*E940-G940,IF(B940="דיבידנד",F940-G940,IF(B940="הפקדה",F940-G940,IF(B940="משיכה",-F940-G940,-G940))))))</f>
        <v/>
      </c>
      <c r="I940" s="28">
        <f>IF(B940="קנייה",D940*E940+G940,0)</f>
        <v/>
      </c>
      <c r="J940" s="41">
        <f>IF(B940="מכירה",D940*E940-G940-D940*IFERROR(SUMIFS($I$5:I940,$C$5:C940,C940)/SUMIFS($D$5:D940,$C$5:C940,C940,$B$5:B940,"קנייה"),0),0)</f>
        <v/>
      </c>
      <c r="K940" s="26" t="n"/>
    </row>
    <row r="941">
      <c r="A941" s="39" t="n"/>
      <c r="B941" s="26" t="n"/>
      <c r="C941" s="26" t="n"/>
      <c r="D941" s="40" t="n"/>
      <c r="E941" s="29" t="n"/>
      <c r="F941" s="29" t="n"/>
      <c r="G941" s="29" t="n"/>
      <c r="H941" s="28">
        <f>IF(B941="","",IF(B941="קנייה",-(D941*E941+G941),IF(B941="מכירה",D941*E941-G941,IF(B941="דיבידנד",F941-G941,IF(B941="הפקדה",F941-G941,IF(B941="משיכה",-F941-G941,-G941))))))</f>
        <v/>
      </c>
      <c r="I941" s="28">
        <f>IF(B941="קנייה",D941*E941+G941,0)</f>
        <v/>
      </c>
      <c r="J941" s="41">
        <f>IF(B941="מכירה",D941*E941-G941-D941*IFERROR(SUMIFS($I$5:I941,$C$5:C941,C941)/SUMIFS($D$5:D941,$C$5:C941,C941,$B$5:B941,"קנייה"),0),0)</f>
        <v/>
      </c>
      <c r="K941" s="26" t="n"/>
    </row>
    <row r="942">
      <c r="A942" s="39" t="n"/>
      <c r="B942" s="26" t="n"/>
      <c r="C942" s="26" t="n"/>
      <c r="D942" s="40" t="n"/>
      <c r="E942" s="29" t="n"/>
      <c r="F942" s="29" t="n"/>
      <c r="G942" s="29" t="n"/>
      <c r="H942" s="28">
        <f>IF(B942="","",IF(B942="קנייה",-(D942*E942+G942),IF(B942="מכירה",D942*E942-G942,IF(B942="דיבידנד",F942-G942,IF(B942="הפקדה",F942-G942,IF(B942="משיכה",-F942-G942,-G942))))))</f>
        <v/>
      </c>
      <c r="I942" s="28">
        <f>IF(B942="קנייה",D942*E942+G942,0)</f>
        <v/>
      </c>
      <c r="J942" s="41">
        <f>IF(B942="מכירה",D942*E942-G942-D942*IFERROR(SUMIFS($I$5:I942,$C$5:C942,C942)/SUMIFS($D$5:D942,$C$5:C942,C942,$B$5:B942,"קנייה"),0),0)</f>
        <v/>
      </c>
      <c r="K942" s="26" t="n"/>
    </row>
    <row r="943">
      <c r="A943" s="39" t="n"/>
      <c r="B943" s="26" t="n"/>
      <c r="C943" s="26" t="n"/>
      <c r="D943" s="40" t="n"/>
      <c r="E943" s="29" t="n"/>
      <c r="F943" s="29" t="n"/>
      <c r="G943" s="29" t="n"/>
      <c r="H943" s="28">
        <f>IF(B943="","",IF(B943="קנייה",-(D943*E943+G943),IF(B943="מכירה",D943*E943-G943,IF(B943="דיבידנד",F943-G943,IF(B943="הפקדה",F943-G943,IF(B943="משיכה",-F943-G943,-G943))))))</f>
        <v/>
      </c>
      <c r="I943" s="28">
        <f>IF(B943="קנייה",D943*E943+G943,0)</f>
        <v/>
      </c>
      <c r="J943" s="41">
        <f>IF(B943="מכירה",D943*E943-G943-D943*IFERROR(SUMIFS($I$5:I943,$C$5:C943,C943)/SUMIFS($D$5:D943,$C$5:C943,C943,$B$5:B943,"קנייה"),0),0)</f>
        <v/>
      </c>
      <c r="K943" s="26" t="n"/>
    </row>
    <row r="944">
      <c r="A944" s="39" t="n"/>
      <c r="B944" s="26" t="n"/>
      <c r="C944" s="26" t="n"/>
      <c r="D944" s="40" t="n"/>
      <c r="E944" s="29" t="n"/>
      <c r="F944" s="29" t="n"/>
      <c r="G944" s="29" t="n"/>
      <c r="H944" s="28">
        <f>IF(B944="","",IF(B944="קנייה",-(D944*E944+G944),IF(B944="מכירה",D944*E944-G944,IF(B944="דיבידנד",F944-G944,IF(B944="הפקדה",F944-G944,IF(B944="משיכה",-F944-G944,-G944))))))</f>
        <v/>
      </c>
      <c r="I944" s="28">
        <f>IF(B944="קנייה",D944*E944+G944,0)</f>
        <v/>
      </c>
      <c r="J944" s="41">
        <f>IF(B944="מכירה",D944*E944-G944-D944*IFERROR(SUMIFS($I$5:I944,$C$5:C944,C944)/SUMIFS($D$5:D944,$C$5:C944,C944,$B$5:B944,"קנייה"),0),0)</f>
        <v/>
      </c>
      <c r="K944" s="26" t="n"/>
    </row>
    <row r="945">
      <c r="A945" s="39" t="n"/>
      <c r="B945" s="26" t="n"/>
      <c r="C945" s="26" t="n"/>
      <c r="D945" s="40" t="n"/>
      <c r="E945" s="29" t="n"/>
      <c r="F945" s="29" t="n"/>
      <c r="G945" s="29" t="n"/>
      <c r="H945" s="28">
        <f>IF(B945="","",IF(B945="קנייה",-(D945*E945+G945),IF(B945="מכירה",D945*E945-G945,IF(B945="דיבידנד",F945-G945,IF(B945="הפקדה",F945-G945,IF(B945="משיכה",-F945-G945,-G945))))))</f>
        <v/>
      </c>
      <c r="I945" s="28">
        <f>IF(B945="קנייה",D945*E945+G945,0)</f>
        <v/>
      </c>
      <c r="J945" s="41">
        <f>IF(B945="מכירה",D945*E945-G945-D945*IFERROR(SUMIFS($I$5:I945,$C$5:C945,C945)/SUMIFS($D$5:D945,$C$5:C945,C945,$B$5:B945,"קנייה"),0),0)</f>
        <v/>
      </c>
      <c r="K945" s="26" t="n"/>
    </row>
    <row r="946">
      <c r="A946" s="39" t="n"/>
      <c r="B946" s="26" t="n"/>
      <c r="C946" s="26" t="n"/>
      <c r="D946" s="40" t="n"/>
      <c r="E946" s="29" t="n"/>
      <c r="F946" s="29" t="n"/>
      <c r="G946" s="29" t="n"/>
      <c r="H946" s="28">
        <f>IF(B946="","",IF(B946="קנייה",-(D946*E946+G946),IF(B946="מכירה",D946*E946-G946,IF(B946="דיבידנד",F946-G946,IF(B946="הפקדה",F946-G946,IF(B946="משיכה",-F946-G946,-G946))))))</f>
        <v/>
      </c>
      <c r="I946" s="28">
        <f>IF(B946="קנייה",D946*E946+G946,0)</f>
        <v/>
      </c>
      <c r="J946" s="41">
        <f>IF(B946="מכירה",D946*E946-G946-D946*IFERROR(SUMIFS($I$5:I946,$C$5:C946,C946)/SUMIFS($D$5:D946,$C$5:C946,C946,$B$5:B946,"קנייה"),0),0)</f>
        <v/>
      </c>
      <c r="K946" s="26" t="n"/>
    </row>
    <row r="947">
      <c r="A947" s="39" t="n"/>
      <c r="B947" s="26" t="n"/>
      <c r="C947" s="26" t="n"/>
      <c r="D947" s="40" t="n"/>
      <c r="E947" s="29" t="n"/>
      <c r="F947" s="29" t="n"/>
      <c r="G947" s="29" t="n"/>
      <c r="H947" s="28">
        <f>IF(B947="","",IF(B947="קנייה",-(D947*E947+G947),IF(B947="מכירה",D947*E947-G947,IF(B947="דיבידנד",F947-G947,IF(B947="הפקדה",F947-G947,IF(B947="משיכה",-F947-G947,-G947))))))</f>
        <v/>
      </c>
      <c r="I947" s="28">
        <f>IF(B947="קנייה",D947*E947+G947,0)</f>
        <v/>
      </c>
      <c r="J947" s="41">
        <f>IF(B947="מכירה",D947*E947-G947-D947*IFERROR(SUMIFS($I$5:I947,$C$5:C947,C947)/SUMIFS($D$5:D947,$C$5:C947,C947,$B$5:B947,"קנייה"),0),0)</f>
        <v/>
      </c>
      <c r="K947" s="26" t="n"/>
    </row>
    <row r="948">
      <c r="A948" s="39" t="n"/>
      <c r="B948" s="26" t="n"/>
      <c r="C948" s="26" t="n"/>
      <c r="D948" s="40" t="n"/>
      <c r="E948" s="29" t="n"/>
      <c r="F948" s="29" t="n"/>
      <c r="G948" s="29" t="n"/>
      <c r="H948" s="28">
        <f>IF(B948="","",IF(B948="קנייה",-(D948*E948+G948),IF(B948="מכירה",D948*E948-G948,IF(B948="דיבידנד",F948-G948,IF(B948="הפקדה",F948-G948,IF(B948="משיכה",-F948-G948,-G948))))))</f>
        <v/>
      </c>
      <c r="I948" s="28">
        <f>IF(B948="קנייה",D948*E948+G948,0)</f>
        <v/>
      </c>
      <c r="J948" s="41">
        <f>IF(B948="מכירה",D948*E948-G948-D948*IFERROR(SUMIFS($I$5:I948,$C$5:C948,C948)/SUMIFS($D$5:D948,$C$5:C948,C948,$B$5:B948,"קנייה"),0),0)</f>
        <v/>
      </c>
      <c r="K948" s="26" t="n"/>
    </row>
    <row r="949">
      <c r="A949" s="39" t="n"/>
      <c r="B949" s="26" t="n"/>
      <c r="C949" s="26" t="n"/>
      <c r="D949" s="40" t="n"/>
      <c r="E949" s="29" t="n"/>
      <c r="F949" s="29" t="n"/>
      <c r="G949" s="29" t="n"/>
      <c r="H949" s="28">
        <f>IF(B949="","",IF(B949="קנייה",-(D949*E949+G949),IF(B949="מכירה",D949*E949-G949,IF(B949="דיבידנד",F949-G949,IF(B949="הפקדה",F949-G949,IF(B949="משיכה",-F949-G949,-G949))))))</f>
        <v/>
      </c>
      <c r="I949" s="28">
        <f>IF(B949="קנייה",D949*E949+G949,0)</f>
        <v/>
      </c>
      <c r="J949" s="41">
        <f>IF(B949="מכירה",D949*E949-G949-D949*IFERROR(SUMIFS($I$5:I949,$C$5:C949,C949)/SUMIFS($D$5:D949,$C$5:C949,C949,$B$5:B949,"קנייה"),0),0)</f>
        <v/>
      </c>
      <c r="K949" s="26" t="n"/>
    </row>
    <row r="950">
      <c r="A950" s="39" t="n"/>
      <c r="B950" s="26" t="n"/>
      <c r="C950" s="26" t="n"/>
      <c r="D950" s="40" t="n"/>
      <c r="E950" s="29" t="n"/>
      <c r="F950" s="29" t="n"/>
      <c r="G950" s="29" t="n"/>
      <c r="H950" s="28">
        <f>IF(B950="","",IF(B950="קנייה",-(D950*E950+G950),IF(B950="מכירה",D950*E950-G950,IF(B950="דיבידנד",F950-G950,IF(B950="הפקדה",F950-G950,IF(B950="משיכה",-F950-G950,-G950))))))</f>
        <v/>
      </c>
      <c r="I950" s="28">
        <f>IF(B950="קנייה",D950*E950+G950,0)</f>
        <v/>
      </c>
      <c r="J950" s="41">
        <f>IF(B950="מכירה",D950*E950-G950-D950*IFERROR(SUMIFS($I$5:I950,$C$5:C950,C950)/SUMIFS($D$5:D950,$C$5:C950,C950,$B$5:B950,"קנייה"),0),0)</f>
        <v/>
      </c>
      <c r="K950" s="26" t="n"/>
    </row>
    <row r="951">
      <c r="A951" s="39" t="n"/>
      <c r="B951" s="26" t="n"/>
      <c r="C951" s="26" t="n"/>
      <c r="D951" s="40" t="n"/>
      <c r="E951" s="29" t="n"/>
      <c r="F951" s="29" t="n"/>
      <c r="G951" s="29" t="n"/>
      <c r="H951" s="28">
        <f>IF(B951="","",IF(B951="קנייה",-(D951*E951+G951),IF(B951="מכירה",D951*E951-G951,IF(B951="דיבידנד",F951-G951,IF(B951="הפקדה",F951-G951,IF(B951="משיכה",-F951-G951,-G951))))))</f>
        <v/>
      </c>
      <c r="I951" s="28">
        <f>IF(B951="קנייה",D951*E951+G951,0)</f>
        <v/>
      </c>
      <c r="J951" s="41">
        <f>IF(B951="מכירה",D951*E951-G951-D951*IFERROR(SUMIFS($I$5:I951,$C$5:C951,C951)/SUMIFS($D$5:D951,$C$5:C951,C951,$B$5:B951,"קנייה"),0),0)</f>
        <v/>
      </c>
      <c r="K951" s="26" t="n"/>
    </row>
    <row r="952">
      <c r="A952" s="39" t="n"/>
      <c r="B952" s="26" t="n"/>
      <c r="C952" s="26" t="n"/>
      <c r="D952" s="40" t="n"/>
      <c r="E952" s="29" t="n"/>
      <c r="F952" s="29" t="n"/>
      <c r="G952" s="29" t="n"/>
      <c r="H952" s="28">
        <f>IF(B952="","",IF(B952="קנייה",-(D952*E952+G952),IF(B952="מכירה",D952*E952-G952,IF(B952="דיבידנד",F952-G952,IF(B952="הפקדה",F952-G952,IF(B952="משיכה",-F952-G952,-G952))))))</f>
        <v/>
      </c>
      <c r="I952" s="28">
        <f>IF(B952="קנייה",D952*E952+G952,0)</f>
        <v/>
      </c>
      <c r="J952" s="41">
        <f>IF(B952="מכירה",D952*E952-G952-D952*IFERROR(SUMIFS($I$5:I952,$C$5:C952,C952)/SUMIFS($D$5:D952,$C$5:C952,C952,$B$5:B952,"קנייה"),0),0)</f>
        <v/>
      </c>
      <c r="K952" s="26" t="n"/>
    </row>
    <row r="953">
      <c r="A953" s="39" t="n"/>
      <c r="B953" s="26" t="n"/>
      <c r="C953" s="26" t="n"/>
      <c r="D953" s="40" t="n"/>
      <c r="E953" s="29" t="n"/>
      <c r="F953" s="29" t="n"/>
      <c r="G953" s="29" t="n"/>
      <c r="H953" s="28">
        <f>IF(B953="","",IF(B953="קנייה",-(D953*E953+G953),IF(B953="מכירה",D953*E953-G953,IF(B953="דיבידנד",F953-G953,IF(B953="הפקדה",F953-G953,IF(B953="משיכה",-F953-G953,-G953))))))</f>
        <v/>
      </c>
      <c r="I953" s="28">
        <f>IF(B953="קנייה",D953*E953+G953,0)</f>
        <v/>
      </c>
      <c r="J953" s="41">
        <f>IF(B953="מכירה",D953*E953-G953-D953*IFERROR(SUMIFS($I$5:I953,$C$5:C953,C953)/SUMIFS($D$5:D953,$C$5:C953,C953,$B$5:B953,"קנייה"),0),0)</f>
        <v/>
      </c>
      <c r="K953" s="26" t="n"/>
    </row>
    <row r="954">
      <c r="A954" s="39" t="n"/>
      <c r="B954" s="26" t="n"/>
      <c r="C954" s="26" t="n"/>
      <c r="D954" s="40" t="n"/>
      <c r="E954" s="29" t="n"/>
      <c r="F954" s="29" t="n"/>
      <c r="G954" s="29" t="n"/>
      <c r="H954" s="28">
        <f>IF(B954="","",IF(B954="קנייה",-(D954*E954+G954),IF(B954="מכירה",D954*E954-G954,IF(B954="דיבידנד",F954-G954,IF(B954="הפקדה",F954-G954,IF(B954="משיכה",-F954-G954,-G954))))))</f>
        <v/>
      </c>
      <c r="I954" s="28">
        <f>IF(B954="קנייה",D954*E954+G954,0)</f>
        <v/>
      </c>
      <c r="J954" s="41">
        <f>IF(B954="מכירה",D954*E954-G954-D954*IFERROR(SUMIFS($I$5:I954,$C$5:C954,C954)/SUMIFS($D$5:D954,$C$5:C954,C954,$B$5:B954,"קנייה"),0),0)</f>
        <v/>
      </c>
      <c r="K954" s="26" t="n"/>
    </row>
    <row r="955">
      <c r="A955" s="39" t="n"/>
      <c r="B955" s="26" t="n"/>
      <c r="C955" s="26" t="n"/>
      <c r="D955" s="40" t="n"/>
      <c r="E955" s="29" t="n"/>
      <c r="F955" s="29" t="n"/>
      <c r="G955" s="29" t="n"/>
      <c r="H955" s="28">
        <f>IF(B955="","",IF(B955="קנייה",-(D955*E955+G955),IF(B955="מכירה",D955*E955-G955,IF(B955="דיבידנד",F955-G955,IF(B955="הפקדה",F955-G955,IF(B955="משיכה",-F955-G955,-G955))))))</f>
        <v/>
      </c>
      <c r="I955" s="28">
        <f>IF(B955="קנייה",D955*E955+G955,0)</f>
        <v/>
      </c>
      <c r="J955" s="41">
        <f>IF(B955="מכירה",D955*E955-G955-D955*IFERROR(SUMIFS($I$5:I955,$C$5:C955,C955)/SUMIFS($D$5:D955,$C$5:C955,C955,$B$5:B955,"קנייה"),0),0)</f>
        <v/>
      </c>
      <c r="K955" s="26" t="n"/>
    </row>
    <row r="956">
      <c r="A956" s="39" t="n"/>
      <c r="B956" s="26" t="n"/>
      <c r="C956" s="26" t="n"/>
      <c r="D956" s="40" t="n"/>
      <c r="E956" s="29" t="n"/>
      <c r="F956" s="29" t="n"/>
      <c r="G956" s="29" t="n"/>
      <c r="H956" s="28">
        <f>IF(B956="","",IF(B956="קנייה",-(D956*E956+G956),IF(B956="מכירה",D956*E956-G956,IF(B956="דיבידנד",F956-G956,IF(B956="הפקדה",F956-G956,IF(B956="משיכה",-F956-G956,-G956))))))</f>
        <v/>
      </c>
      <c r="I956" s="28">
        <f>IF(B956="קנייה",D956*E956+G956,0)</f>
        <v/>
      </c>
      <c r="J956" s="41">
        <f>IF(B956="מכירה",D956*E956-G956-D956*IFERROR(SUMIFS($I$5:I956,$C$5:C956,C956)/SUMIFS($D$5:D956,$C$5:C956,C956,$B$5:B956,"קנייה"),0),0)</f>
        <v/>
      </c>
      <c r="K956" s="26" t="n"/>
    </row>
    <row r="957">
      <c r="A957" s="39" t="n"/>
      <c r="B957" s="26" t="n"/>
      <c r="C957" s="26" t="n"/>
      <c r="D957" s="40" t="n"/>
      <c r="E957" s="29" t="n"/>
      <c r="F957" s="29" t="n"/>
      <c r="G957" s="29" t="n"/>
      <c r="H957" s="28">
        <f>IF(B957="","",IF(B957="קנייה",-(D957*E957+G957),IF(B957="מכירה",D957*E957-G957,IF(B957="דיבידנד",F957-G957,IF(B957="הפקדה",F957-G957,IF(B957="משיכה",-F957-G957,-G957))))))</f>
        <v/>
      </c>
      <c r="I957" s="28">
        <f>IF(B957="קנייה",D957*E957+G957,0)</f>
        <v/>
      </c>
      <c r="J957" s="41">
        <f>IF(B957="מכירה",D957*E957-G957-D957*IFERROR(SUMIFS($I$5:I957,$C$5:C957,C957)/SUMIFS($D$5:D957,$C$5:C957,C957,$B$5:B957,"קנייה"),0),0)</f>
        <v/>
      </c>
      <c r="K957" s="26" t="n"/>
    </row>
    <row r="958">
      <c r="A958" s="39" t="n"/>
      <c r="B958" s="26" t="n"/>
      <c r="C958" s="26" t="n"/>
      <c r="D958" s="40" t="n"/>
      <c r="E958" s="29" t="n"/>
      <c r="F958" s="29" t="n"/>
      <c r="G958" s="29" t="n"/>
      <c r="H958" s="28">
        <f>IF(B958="","",IF(B958="קנייה",-(D958*E958+G958),IF(B958="מכירה",D958*E958-G958,IF(B958="דיבידנד",F958-G958,IF(B958="הפקדה",F958-G958,IF(B958="משיכה",-F958-G958,-G958))))))</f>
        <v/>
      </c>
      <c r="I958" s="28">
        <f>IF(B958="קנייה",D958*E958+G958,0)</f>
        <v/>
      </c>
      <c r="J958" s="41">
        <f>IF(B958="מכירה",D958*E958-G958-D958*IFERROR(SUMIFS($I$5:I958,$C$5:C958,C958)/SUMIFS($D$5:D958,$C$5:C958,C958,$B$5:B958,"קנייה"),0),0)</f>
        <v/>
      </c>
      <c r="K958" s="26" t="n"/>
    </row>
    <row r="959">
      <c r="A959" s="39" t="n"/>
      <c r="B959" s="26" t="n"/>
      <c r="C959" s="26" t="n"/>
      <c r="D959" s="40" t="n"/>
      <c r="E959" s="29" t="n"/>
      <c r="F959" s="29" t="n"/>
      <c r="G959" s="29" t="n"/>
      <c r="H959" s="28">
        <f>IF(B959="","",IF(B959="קנייה",-(D959*E959+G959),IF(B959="מכירה",D959*E959-G959,IF(B959="דיבידנד",F959-G959,IF(B959="הפקדה",F959-G959,IF(B959="משיכה",-F959-G959,-G959))))))</f>
        <v/>
      </c>
      <c r="I959" s="28">
        <f>IF(B959="קנייה",D959*E959+G959,0)</f>
        <v/>
      </c>
      <c r="J959" s="41">
        <f>IF(B959="מכירה",D959*E959-G959-D959*IFERROR(SUMIFS($I$5:I959,$C$5:C959,C959)/SUMIFS($D$5:D959,$C$5:C959,C959,$B$5:B959,"קנייה"),0),0)</f>
        <v/>
      </c>
      <c r="K959" s="26" t="n"/>
    </row>
    <row r="960">
      <c r="A960" s="39" t="n"/>
      <c r="B960" s="26" t="n"/>
      <c r="C960" s="26" t="n"/>
      <c r="D960" s="40" t="n"/>
      <c r="E960" s="29" t="n"/>
      <c r="F960" s="29" t="n"/>
      <c r="G960" s="29" t="n"/>
      <c r="H960" s="28">
        <f>IF(B960="","",IF(B960="קנייה",-(D960*E960+G960),IF(B960="מכירה",D960*E960-G960,IF(B960="דיבידנד",F960-G960,IF(B960="הפקדה",F960-G960,IF(B960="משיכה",-F960-G960,-G960))))))</f>
        <v/>
      </c>
      <c r="I960" s="28">
        <f>IF(B960="קנייה",D960*E960+G960,0)</f>
        <v/>
      </c>
      <c r="J960" s="41">
        <f>IF(B960="מכירה",D960*E960-G960-D960*IFERROR(SUMIFS($I$5:I960,$C$5:C960,C960)/SUMIFS($D$5:D960,$C$5:C960,C960,$B$5:B960,"קנייה"),0),0)</f>
        <v/>
      </c>
      <c r="K960" s="26" t="n"/>
    </row>
    <row r="961">
      <c r="A961" s="39" t="n"/>
      <c r="B961" s="26" t="n"/>
      <c r="C961" s="26" t="n"/>
      <c r="D961" s="40" t="n"/>
      <c r="E961" s="29" t="n"/>
      <c r="F961" s="29" t="n"/>
      <c r="G961" s="29" t="n"/>
      <c r="H961" s="28">
        <f>IF(B961="","",IF(B961="קנייה",-(D961*E961+G961),IF(B961="מכירה",D961*E961-G961,IF(B961="דיבידנד",F961-G961,IF(B961="הפקדה",F961-G961,IF(B961="משיכה",-F961-G961,-G961))))))</f>
        <v/>
      </c>
      <c r="I961" s="28">
        <f>IF(B961="קנייה",D961*E961+G961,0)</f>
        <v/>
      </c>
      <c r="J961" s="41">
        <f>IF(B961="מכירה",D961*E961-G961-D961*IFERROR(SUMIFS($I$5:I961,$C$5:C961,C961)/SUMIFS($D$5:D961,$C$5:C961,C961,$B$5:B961,"קנייה"),0),0)</f>
        <v/>
      </c>
      <c r="K961" s="26" t="n"/>
    </row>
    <row r="962">
      <c r="A962" s="39" t="n"/>
      <c r="B962" s="26" t="n"/>
      <c r="C962" s="26" t="n"/>
      <c r="D962" s="40" t="n"/>
      <c r="E962" s="29" t="n"/>
      <c r="F962" s="29" t="n"/>
      <c r="G962" s="29" t="n"/>
      <c r="H962" s="28">
        <f>IF(B962="","",IF(B962="קנייה",-(D962*E962+G962),IF(B962="מכירה",D962*E962-G962,IF(B962="דיבידנד",F962-G962,IF(B962="הפקדה",F962-G962,IF(B962="משיכה",-F962-G962,-G962))))))</f>
        <v/>
      </c>
      <c r="I962" s="28">
        <f>IF(B962="קנייה",D962*E962+G962,0)</f>
        <v/>
      </c>
      <c r="J962" s="41">
        <f>IF(B962="מכירה",D962*E962-G962-D962*IFERROR(SUMIFS($I$5:I962,$C$5:C962,C962)/SUMIFS($D$5:D962,$C$5:C962,C962,$B$5:B962,"קנייה"),0),0)</f>
        <v/>
      </c>
      <c r="K962" s="26" t="n"/>
    </row>
    <row r="963">
      <c r="A963" s="39" t="n"/>
      <c r="B963" s="26" t="n"/>
      <c r="C963" s="26" t="n"/>
      <c r="D963" s="40" t="n"/>
      <c r="E963" s="29" t="n"/>
      <c r="F963" s="29" t="n"/>
      <c r="G963" s="29" t="n"/>
      <c r="H963" s="28">
        <f>IF(B963="","",IF(B963="קנייה",-(D963*E963+G963),IF(B963="מכירה",D963*E963-G963,IF(B963="דיבידנד",F963-G963,IF(B963="הפקדה",F963-G963,IF(B963="משיכה",-F963-G963,-G963))))))</f>
        <v/>
      </c>
      <c r="I963" s="28">
        <f>IF(B963="קנייה",D963*E963+G963,0)</f>
        <v/>
      </c>
      <c r="J963" s="41">
        <f>IF(B963="מכירה",D963*E963-G963-D963*IFERROR(SUMIFS($I$5:I963,$C$5:C963,C963)/SUMIFS($D$5:D963,$C$5:C963,C963,$B$5:B963,"קנייה"),0),0)</f>
        <v/>
      </c>
      <c r="K963" s="26" t="n"/>
    </row>
    <row r="964">
      <c r="A964" s="39" t="n"/>
      <c r="B964" s="26" t="n"/>
      <c r="C964" s="26" t="n"/>
      <c r="D964" s="40" t="n"/>
      <c r="E964" s="29" t="n"/>
      <c r="F964" s="29" t="n"/>
      <c r="G964" s="29" t="n"/>
      <c r="H964" s="28">
        <f>IF(B964="","",IF(B964="קנייה",-(D964*E964+G964),IF(B964="מכירה",D964*E964-G964,IF(B964="דיבידנד",F964-G964,IF(B964="הפקדה",F964-G964,IF(B964="משיכה",-F964-G964,-G964))))))</f>
        <v/>
      </c>
      <c r="I964" s="28">
        <f>IF(B964="קנייה",D964*E964+G964,0)</f>
        <v/>
      </c>
      <c r="J964" s="41">
        <f>IF(B964="מכירה",D964*E964-G964-D964*IFERROR(SUMIFS($I$5:I964,$C$5:C964,C964)/SUMIFS($D$5:D964,$C$5:C964,C964,$B$5:B964,"קנייה"),0),0)</f>
        <v/>
      </c>
      <c r="K964" s="26" t="n"/>
    </row>
    <row r="965">
      <c r="A965" s="39" t="n"/>
      <c r="B965" s="26" t="n"/>
      <c r="C965" s="26" t="n"/>
      <c r="D965" s="40" t="n"/>
      <c r="E965" s="29" t="n"/>
      <c r="F965" s="29" t="n"/>
      <c r="G965" s="29" t="n"/>
      <c r="H965" s="28">
        <f>IF(B965="","",IF(B965="קנייה",-(D965*E965+G965),IF(B965="מכירה",D965*E965-G965,IF(B965="דיבידנד",F965-G965,IF(B965="הפקדה",F965-G965,IF(B965="משיכה",-F965-G965,-G965))))))</f>
        <v/>
      </c>
      <c r="I965" s="28">
        <f>IF(B965="קנייה",D965*E965+G965,0)</f>
        <v/>
      </c>
      <c r="J965" s="41">
        <f>IF(B965="מכירה",D965*E965-G965-D965*IFERROR(SUMIFS($I$5:I965,$C$5:C965,C965)/SUMIFS($D$5:D965,$C$5:C965,C965,$B$5:B965,"קנייה"),0),0)</f>
        <v/>
      </c>
      <c r="K965" s="26" t="n"/>
    </row>
    <row r="966">
      <c r="A966" s="39" t="n"/>
      <c r="B966" s="26" t="n"/>
      <c r="C966" s="26" t="n"/>
      <c r="D966" s="40" t="n"/>
      <c r="E966" s="29" t="n"/>
      <c r="F966" s="29" t="n"/>
      <c r="G966" s="29" t="n"/>
      <c r="H966" s="28">
        <f>IF(B966="","",IF(B966="קנייה",-(D966*E966+G966),IF(B966="מכירה",D966*E966-G966,IF(B966="דיבידנד",F966-G966,IF(B966="הפקדה",F966-G966,IF(B966="משיכה",-F966-G966,-G966))))))</f>
        <v/>
      </c>
      <c r="I966" s="28">
        <f>IF(B966="קנייה",D966*E966+G966,0)</f>
        <v/>
      </c>
      <c r="J966" s="41">
        <f>IF(B966="מכירה",D966*E966-G966-D966*IFERROR(SUMIFS($I$5:I966,$C$5:C966,C966)/SUMIFS($D$5:D966,$C$5:C966,C966,$B$5:B966,"קנייה"),0),0)</f>
        <v/>
      </c>
      <c r="K966" s="26" t="n"/>
    </row>
    <row r="967">
      <c r="A967" s="39" t="n"/>
      <c r="B967" s="26" t="n"/>
      <c r="C967" s="26" t="n"/>
      <c r="D967" s="40" t="n"/>
      <c r="E967" s="29" t="n"/>
      <c r="F967" s="29" t="n"/>
      <c r="G967" s="29" t="n"/>
      <c r="H967" s="28">
        <f>IF(B967="","",IF(B967="קנייה",-(D967*E967+G967),IF(B967="מכירה",D967*E967-G967,IF(B967="דיבידנד",F967-G967,IF(B967="הפקדה",F967-G967,IF(B967="משיכה",-F967-G967,-G967))))))</f>
        <v/>
      </c>
      <c r="I967" s="28">
        <f>IF(B967="קנייה",D967*E967+G967,0)</f>
        <v/>
      </c>
      <c r="J967" s="41">
        <f>IF(B967="מכירה",D967*E967-G967-D967*IFERROR(SUMIFS($I$5:I967,$C$5:C967,C967)/SUMIFS($D$5:D967,$C$5:C967,C967,$B$5:B967,"קנייה"),0),0)</f>
        <v/>
      </c>
      <c r="K967" s="26" t="n"/>
    </row>
    <row r="968">
      <c r="A968" s="39" t="n"/>
      <c r="B968" s="26" t="n"/>
      <c r="C968" s="26" t="n"/>
      <c r="D968" s="40" t="n"/>
      <c r="E968" s="29" t="n"/>
      <c r="F968" s="29" t="n"/>
      <c r="G968" s="29" t="n"/>
      <c r="H968" s="28">
        <f>IF(B968="","",IF(B968="קנייה",-(D968*E968+G968),IF(B968="מכירה",D968*E968-G968,IF(B968="דיבידנד",F968-G968,IF(B968="הפקדה",F968-G968,IF(B968="משיכה",-F968-G968,-G968))))))</f>
        <v/>
      </c>
      <c r="I968" s="28">
        <f>IF(B968="קנייה",D968*E968+G968,0)</f>
        <v/>
      </c>
      <c r="J968" s="41">
        <f>IF(B968="מכירה",D968*E968-G968-D968*IFERROR(SUMIFS($I$5:I968,$C$5:C968,C968)/SUMIFS($D$5:D968,$C$5:C968,C968,$B$5:B968,"קנייה"),0),0)</f>
        <v/>
      </c>
      <c r="K968" s="26" t="n"/>
    </row>
    <row r="969">
      <c r="A969" s="39" t="n"/>
      <c r="B969" s="26" t="n"/>
      <c r="C969" s="26" t="n"/>
      <c r="D969" s="40" t="n"/>
      <c r="E969" s="29" t="n"/>
      <c r="F969" s="29" t="n"/>
      <c r="G969" s="29" t="n"/>
      <c r="H969" s="28">
        <f>IF(B969="","",IF(B969="קנייה",-(D969*E969+G969),IF(B969="מכירה",D969*E969-G969,IF(B969="דיבידנד",F969-G969,IF(B969="הפקדה",F969-G969,IF(B969="משיכה",-F969-G969,-G969))))))</f>
        <v/>
      </c>
      <c r="I969" s="28">
        <f>IF(B969="קנייה",D969*E969+G969,0)</f>
        <v/>
      </c>
      <c r="J969" s="41">
        <f>IF(B969="מכירה",D969*E969-G969-D969*IFERROR(SUMIFS($I$5:I969,$C$5:C969,C969)/SUMIFS($D$5:D969,$C$5:C969,C969,$B$5:B969,"קנייה"),0),0)</f>
        <v/>
      </c>
      <c r="K969" s="26" t="n"/>
    </row>
    <row r="970">
      <c r="A970" s="39" t="n"/>
      <c r="B970" s="26" t="n"/>
      <c r="C970" s="26" t="n"/>
      <c r="D970" s="40" t="n"/>
      <c r="E970" s="29" t="n"/>
      <c r="F970" s="29" t="n"/>
      <c r="G970" s="29" t="n"/>
      <c r="H970" s="28">
        <f>IF(B970="","",IF(B970="קנייה",-(D970*E970+G970),IF(B970="מכירה",D970*E970-G970,IF(B970="דיבידנד",F970-G970,IF(B970="הפקדה",F970-G970,IF(B970="משיכה",-F970-G970,-G970))))))</f>
        <v/>
      </c>
      <c r="I970" s="28">
        <f>IF(B970="קנייה",D970*E970+G970,0)</f>
        <v/>
      </c>
      <c r="J970" s="41">
        <f>IF(B970="מכירה",D970*E970-G970-D970*IFERROR(SUMIFS($I$5:I970,$C$5:C970,C970)/SUMIFS($D$5:D970,$C$5:C970,C970,$B$5:B970,"קנייה"),0),0)</f>
        <v/>
      </c>
      <c r="K970" s="26" t="n"/>
    </row>
    <row r="971">
      <c r="A971" s="39" t="n"/>
      <c r="B971" s="26" t="n"/>
      <c r="C971" s="26" t="n"/>
      <c r="D971" s="40" t="n"/>
      <c r="E971" s="29" t="n"/>
      <c r="F971" s="29" t="n"/>
      <c r="G971" s="29" t="n"/>
      <c r="H971" s="28">
        <f>IF(B971="","",IF(B971="קנייה",-(D971*E971+G971),IF(B971="מכירה",D971*E971-G971,IF(B971="דיבידנד",F971-G971,IF(B971="הפקדה",F971-G971,IF(B971="משיכה",-F971-G971,-G971))))))</f>
        <v/>
      </c>
      <c r="I971" s="28">
        <f>IF(B971="קנייה",D971*E971+G971,0)</f>
        <v/>
      </c>
      <c r="J971" s="41">
        <f>IF(B971="מכירה",D971*E971-G971-D971*IFERROR(SUMIFS($I$5:I971,$C$5:C971,C971)/SUMIFS($D$5:D971,$C$5:C971,C971,$B$5:B971,"קנייה"),0),0)</f>
        <v/>
      </c>
      <c r="K971" s="26" t="n"/>
    </row>
    <row r="972">
      <c r="A972" s="39" t="n"/>
      <c r="B972" s="26" t="n"/>
      <c r="C972" s="26" t="n"/>
      <c r="D972" s="40" t="n"/>
      <c r="E972" s="29" t="n"/>
      <c r="F972" s="29" t="n"/>
      <c r="G972" s="29" t="n"/>
      <c r="H972" s="28">
        <f>IF(B972="","",IF(B972="קנייה",-(D972*E972+G972),IF(B972="מכירה",D972*E972-G972,IF(B972="דיבידנד",F972-G972,IF(B972="הפקדה",F972-G972,IF(B972="משיכה",-F972-G972,-G972))))))</f>
        <v/>
      </c>
      <c r="I972" s="28">
        <f>IF(B972="קנייה",D972*E972+G972,0)</f>
        <v/>
      </c>
      <c r="J972" s="41">
        <f>IF(B972="מכירה",D972*E972-G972-D972*IFERROR(SUMIFS($I$5:I972,$C$5:C972,C972)/SUMIFS($D$5:D972,$C$5:C972,C972,$B$5:B972,"קנייה"),0),0)</f>
        <v/>
      </c>
      <c r="K972" s="26" t="n"/>
    </row>
    <row r="973">
      <c r="A973" s="39" t="n"/>
      <c r="B973" s="26" t="n"/>
      <c r="C973" s="26" t="n"/>
      <c r="D973" s="40" t="n"/>
      <c r="E973" s="29" t="n"/>
      <c r="F973" s="29" t="n"/>
      <c r="G973" s="29" t="n"/>
      <c r="H973" s="28">
        <f>IF(B973="","",IF(B973="קנייה",-(D973*E973+G973),IF(B973="מכירה",D973*E973-G973,IF(B973="דיבידנד",F973-G973,IF(B973="הפקדה",F973-G973,IF(B973="משיכה",-F973-G973,-G973))))))</f>
        <v/>
      </c>
      <c r="I973" s="28">
        <f>IF(B973="קנייה",D973*E973+G973,0)</f>
        <v/>
      </c>
      <c r="J973" s="41">
        <f>IF(B973="מכירה",D973*E973-G973-D973*IFERROR(SUMIFS($I$5:I973,$C$5:C973,C973)/SUMIFS($D$5:D973,$C$5:C973,C973,$B$5:B973,"קנייה"),0),0)</f>
        <v/>
      </c>
      <c r="K973" s="26" t="n"/>
    </row>
    <row r="974">
      <c r="A974" s="39" t="n"/>
      <c r="B974" s="26" t="n"/>
      <c r="C974" s="26" t="n"/>
      <c r="D974" s="40" t="n"/>
      <c r="E974" s="29" t="n"/>
      <c r="F974" s="29" t="n"/>
      <c r="G974" s="29" t="n"/>
      <c r="H974" s="28">
        <f>IF(B974="","",IF(B974="קנייה",-(D974*E974+G974),IF(B974="מכירה",D974*E974-G974,IF(B974="דיבידנד",F974-G974,IF(B974="הפקדה",F974-G974,IF(B974="משיכה",-F974-G974,-G974))))))</f>
        <v/>
      </c>
      <c r="I974" s="28">
        <f>IF(B974="קנייה",D974*E974+G974,0)</f>
        <v/>
      </c>
      <c r="J974" s="41">
        <f>IF(B974="מכירה",D974*E974-G974-D974*IFERROR(SUMIFS($I$5:I974,$C$5:C974,C974)/SUMIFS($D$5:D974,$C$5:C974,C974,$B$5:B974,"קנייה"),0),0)</f>
        <v/>
      </c>
      <c r="K974" s="26" t="n"/>
    </row>
    <row r="975">
      <c r="A975" s="39" t="n"/>
      <c r="B975" s="26" t="n"/>
      <c r="C975" s="26" t="n"/>
      <c r="D975" s="40" t="n"/>
      <c r="E975" s="29" t="n"/>
      <c r="F975" s="29" t="n"/>
      <c r="G975" s="29" t="n"/>
      <c r="H975" s="28">
        <f>IF(B975="","",IF(B975="קנייה",-(D975*E975+G975),IF(B975="מכירה",D975*E975-G975,IF(B975="דיבידנד",F975-G975,IF(B975="הפקדה",F975-G975,IF(B975="משיכה",-F975-G975,-G975))))))</f>
        <v/>
      </c>
      <c r="I975" s="28">
        <f>IF(B975="קנייה",D975*E975+G975,0)</f>
        <v/>
      </c>
      <c r="J975" s="41">
        <f>IF(B975="מכירה",D975*E975-G975-D975*IFERROR(SUMIFS($I$5:I975,$C$5:C975,C975)/SUMIFS($D$5:D975,$C$5:C975,C975,$B$5:B975,"קנייה"),0),0)</f>
        <v/>
      </c>
      <c r="K975" s="26" t="n"/>
    </row>
    <row r="976">
      <c r="A976" s="39" t="n"/>
      <c r="B976" s="26" t="n"/>
      <c r="C976" s="26" t="n"/>
      <c r="D976" s="40" t="n"/>
      <c r="E976" s="29" t="n"/>
      <c r="F976" s="29" t="n"/>
      <c r="G976" s="29" t="n"/>
      <c r="H976" s="28">
        <f>IF(B976="","",IF(B976="קנייה",-(D976*E976+G976),IF(B976="מכירה",D976*E976-G976,IF(B976="דיבידנד",F976-G976,IF(B976="הפקדה",F976-G976,IF(B976="משיכה",-F976-G976,-G976))))))</f>
        <v/>
      </c>
      <c r="I976" s="28">
        <f>IF(B976="קנייה",D976*E976+G976,0)</f>
        <v/>
      </c>
      <c r="J976" s="41">
        <f>IF(B976="מכירה",D976*E976-G976-D976*IFERROR(SUMIFS($I$5:I976,$C$5:C976,C976)/SUMIFS($D$5:D976,$C$5:C976,C976,$B$5:B976,"קנייה"),0),0)</f>
        <v/>
      </c>
      <c r="K976" s="26" t="n"/>
    </row>
    <row r="977">
      <c r="A977" s="39" t="n"/>
      <c r="B977" s="26" t="n"/>
      <c r="C977" s="26" t="n"/>
      <c r="D977" s="40" t="n"/>
      <c r="E977" s="29" t="n"/>
      <c r="F977" s="29" t="n"/>
      <c r="G977" s="29" t="n"/>
      <c r="H977" s="28">
        <f>IF(B977="","",IF(B977="קנייה",-(D977*E977+G977),IF(B977="מכירה",D977*E977-G977,IF(B977="דיבידנד",F977-G977,IF(B977="הפקדה",F977-G977,IF(B977="משיכה",-F977-G977,-G977))))))</f>
        <v/>
      </c>
      <c r="I977" s="28">
        <f>IF(B977="קנייה",D977*E977+G977,0)</f>
        <v/>
      </c>
      <c r="J977" s="41">
        <f>IF(B977="מכירה",D977*E977-G977-D977*IFERROR(SUMIFS($I$5:I977,$C$5:C977,C977)/SUMIFS($D$5:D977,$C$5:C977,C977,$B$5:B977,"קנייה"),0),0)</f>
        <v/>
      </c>
      <c r="K977" s="26" t="n"/>
    </row>
    <row r="978">
      <c r="A978" s="39" t="n"/>
      <c r="B978" s="26" t="n"/>
      <c r="C978" s="26" t="n"/>
      <c r="D978" s="40" t="n"/>
      <c r="E978" s="29" t="n"/>
      <c r="F978" s="29" t="n"/>
      <c r="G978" s="29" t="n"/>
      <c r="H978" s="28">
        <f>IF(B978="","",IF(B978="קנייה",-(D978*E978+G978),IF(B978="מכירה",D978*E978-G978,IF(B978="דיבידנד",F978-G978,IF(B978="הפקדה",F978-G978,IF(B978="משיכה",-F978-G978,-G978))))))</f>
        <v/>
      </c>
      <c r="I978" s="28">
        <f>IF(B978="קנייה",D978*E978+G978,0)</f>
        <v/>
      </c>
      <c r="J978" s="41">
        <f>IF(B978="מכירה",D978*E978-G978-D978*IFERROR(SUMIFS($I$5:I978,$C$5:C978,C978)/SUMIFS($D$5:D978,$C$5:C978,C978,$B$5:B978,"קנייה"),0),0)</f>
        <v/>
      </c>
      <c r="K978" s="26" t="n"/>
    </row>
    <row r="979">
      <c r="A979" s="39" t="n"/>
      <c r="B979" s="26" t="n"/>
      <c r="C979" s="26" t="n"/>
      <c r="D979" s="40" t="n"/>
      <c r="E979" s="29" t="n"/>
      <c r="F979" s="29" t="n"/>
      <c r="G979" s="29" t="n"/>
      <c r="H979" s="28">
        <f>IF(B979="","",IF(B979="קנייה",-(D979*E979+G979),IF(B979="מכירה",D979*E979-G979,IF(B979="דיבידנד",F979-G979,IF(B979="הפקדה",F979-G979,IF(B979="משיכה",-F979-G979,-G979))))))</f>
        <v/>
      </c>
      <c r="I979" s="28">
        <f>IF(B979="קנייה",D979*E979+G979,0)</f>
        <v/>
      </c>
      <c r="J979" s="41">
        <f>IF(B979="מכירה",D979*E979-G979-D979*IFERROR(SUMIFS($I$5:I979,$C$5:C979,C979)/SUMIFS($D$5:D979,$C$5:C979,C979,$B$5:B979,"קנייה"),0),0)</f>
        <v/>
      </c>
      <c r="K979" s="26" t="n"/>
    </row>
    <row r="980">
      <c r="A980" s="39" t="n"/>
      <c r="B980" s="26" t="n"/>
      <c r="C980" s="26" t="n"/>
      <c r="D980" s="40" t="n"/>
      <c r="E980" s="29" t="n"/>
      <c r="F980" s="29" t="n"/>
      <c r="G980" s="29" t="n"/>
      <c r="H980" s="28">
        <f>IF(B980="","",IF(B980="קנייה",-(D980*E980+G980),IF(B980="מכירה",D980*E980-G980,IF(B980="דיבידנד",F980-G980,IF(B980="הפקדה",F980-G980,IF(B980="משיכה",-F980-G980,-G980))))))</f>
        <v/>
      </c>
      <c r="I980" s="28">
        <f>IF(B980="קנייה",D980*E980+G980,0)</f>
        <v/>
      </c>
      <c r="J980" s="41">
        <f>IF(B980="מכירה",D980*E980-G980-D980*IFERROR(SUMIFS($I$5:I980,$C$5:C980,C980)/SUMIFS($D$5:D980,$C$5:C980,C980,$B$5:B980,"קנייה"),0),0)</f>
        <v/>
      </c>
      <c r="K980" s="26" t="n"/>
    </row>
    <row r="981">
      <c r="A981" s="39" t="n"/>
      <c r="B981" s="26" t="n"/>
      <c r="C981" s="26" t="n"/>
      <c r="D981" s="40" t="n"/>
      <c r="E981" s="29" t="n"/>
      <c r="F981" s="29" t="n"/>
      <c r="G981" s="29" t="n"/>
      <c r="H981" s="28">
        <f>IF(B981="","",IF(B981="קנייה",-(D981*E981+G981),IF(B981="מכירה",D981*E981-G981,IF(B981="דיבידנד",F981-G981,IF(B981="הפקדה",F981-G981,IF(B981="משיכה",-F981-G981,-G981))))))</f>
        <v/>
      </c>
      <c r="I981" s="28">
        <f>IF(B981="קנייה",D981*E981+G981,0)</f>
        <v/>
      </c>
      <c r="J981" s="41">
        <f>IF(B981="מכירה",D981*E981-G981-D981*IFERROR(SUMIFS($I$5:I981,$C$5:C981,C981)/SUMIFS($D$5:D981,$C$5:C981,C981,$B$5:B981,"קנייה"),0),0)</f>
        <v/>
      </c>
      <c r="K981" s="26" t="n"/>
    </row>
    <row r="982">
      <c r="A982" s="39" t="n"/>
      <c r="B982" s="26" t="n"/>
      <c r="C982" s="26" t="n"/>
      <c r="D982" s="40" t="n"/>
      <c r="E982" s="29" t="n"/>
      <c r="F982" s="29" t="n"/>
      <c r="G982" s="29" t="n"/>
      <c r="H982" s="28">
        <f>IF(B982="","",IF(B982="קנייה",-(D982*E982+G982),IF(B982="מכירה",D982*E982-G982,IF(B982="דיבידנד",F982-G982,IF(B982="הפקדה",F982-G982,IF(B982="משיכה",-F982-G982,-G982))))))</f>
        <v/>
      </c>
      <c r="I982" s="28">
        <f>IF(B982="קנייה",D982*E982+G982,0)</f>
        <v/>
      </c>
      <c r="J982" s="41">
        <f>IF(B982="מכירה",D982*E982-G982-D982*IFERROR(SUMIFS($I$5:I982,$C$5:C982,C982)/SUMIFS($D$5:D982,$C$5:C982,C982,$B$5:B982,"קנייה"),0),0)</f>
        <v/>
      </c>
      <c r="K982" s="26" t="n"/>
    </row>
    <row r="983">
      <c r="A983" s="39" t="n"/>
      <c r="B983" s="26" t="n"/>
      <c r="C983" s="26" t="n"/>
      <c r="D983" s="40" t="n"/>
      <c r="E983" s="29" t="n"/>
      <c r="F983" s="29" t="n"/>
      <c r="G983" s="29" t="n"/>
      <c r="H983" s="28">
        <f>IF(B983="","",IF(B983="קנייה",-(D983*E983+G983),IF(B983="מכירה",D983*E983-G983,IF(B983="דיבידנד",F983-G983,IF(B983="הפקדה",F983-G983,IF(B983="משיכה",-F983-G983,-G983))))))</f>
        <v/>
      </c>
      <c r="I983" s="28">
        <f>IF(B983="קנייה",D983*E983+G983,0)</f>
        <v/>
      </c>
      <c r="J983" s="41">
        <f>IF(B983="מכירה",D983*E983-G983-D983*IFERROR(SUMIFS($I$5:I983,$C$5:C983,C983)/SUMIFS($D$5:D983,$C$5:C983,C983,$B$5:B983,"קנייה"),0),0)</f>
        <v/>
      </c>
      <c r="K983" s="26" t="n"/>
    </row>
    <row r="984">
      <c r="A984" s="39" t="n"/>
      <c r="B984" s="26" t="n"/>
      <c r="C984" s="26" t="n"/>
      <c r="D984" s="40" t="n"/>
      <c r="E984" s="29" t="n"/>
      <c r="F984" s="29" t="n"/>
      <c r="G984" s="29" t="n"/>
      <c r="H984" s="28">
        <f>IF(B984="","",IF(B984="קנייה",-(D984*E984+G984),IF(B984="מכירה",D984*E984-G984,IF(B984="דיבידנד",F984-G984,IF(B984="הפקדה",F984-G984,IF(B984="משיכה",-F984-G984,-G984))))))</f>
        <v/>
      </c>
      <c r="I984" s="28">
        <f>IF(B984="קנייה",D984*E984+G984,0)</f>
        <v/>
      </c>
      <c r="J984" s="41">
        <f>IF(B984="מכירה",D984*E984-G984-D984*IFERROR(SUMIFS($I$5:I984,$C$5:C984,C984)/SUMIFS($D$5:D984,$C$5:C984,C984,$B$5:B984,"קנייה"),0),0)</f>
        <v/>
      </c>
      <c r="K984" s="26" t="n"/>
    </row>
    <row r="985">
      <c r="A985" s="39" t="n"/>
      <c r="B985" s="26" t="n"/>
      <c r="C985" s="26" t="n"/>
      <c r="D985" s="40" t="n"/>
      <c r="E985" s="29" t="n"/>
      <c r="F985" s="29" t="n"/>
      <c r="G985" s="29" t="n"/>
      <c r="H985" s="28">
        <f>IF(B985="","",IF(B985="קנייה",-(D985*E985+G985),IF(B985="מכירה",D985*E985-G985,IF(B985="דיבידנד",F985-G985,IF(B985="הפקדה",F985-G985,IF(B985="משיכה",-F985-G985,-G985))))))</f>
        <v/>
      </c>
      <c r="I985" s="28">
        <f>IF(B985="קנייה",D985*E985+G985,0)</f>
        <v/>
      </c>
      <c r="J985" s="41">
        <f>IF(B985="מכירה",D985*E985-G985-D985*IFERROR(SUMIFS($I$5:I985,$C$5:C985,C985)/SUMIFS($D$5:D985,$C$5:C985,C985,$B$5:B985,"קנייה"),0),0)</f>
        <v/>
      </c>
      <c r="K985" s="26" t="n"/>
    </row>
    <row r="986">
      <c r="A986" s="39" t="n"/>
      <c r="B986" s="26" t="n"/>
      <c r="C986" s="26" t="n"/>
      <c r="D986" s="40" t="n"/>
      <c r="E986" s="29" t="n"/>
      <c r="F986" s="29" t="n"/>
      <c r="G986" s="29" t="n"/>
      <c r="H986" s="28">
        <f>IF(B986="","",IF(B986="קנייה",-(D986*E986+G986),IF(B986="מכירה",D986*E986-G986,IF(B986="דיבידנד",F986-G986,IF(B986="הפקדה",F986-G986,IF(B986="משיכה",-F986-G986,-G986))))))</f>
        <v/>
      </c>
      <c r="I986" s="28">
        <f>IF(B986="קנייה",D986*E986+G986,0)</f>
        <v/>
      </c>
      <c r="J986" s="41">
        <f>IF(B986="מכירה",D986*E986-G986-D986*IFERROR(SUMIFS($I$5:I986,$C$5:C986,C986)/SUMIFS($D$5:D986,$C$5:C986,C986,$B$5:B986,"קנייה"),0),0)</f>
        <v/>
      </c>
      <c r="K986" s="26" t="n"/>
    </row>
    <row r="987">
      <c r="A987" s="39" t="n"/>
      <c r="B987" s="26" t="n"/>
      <c r="C987" s="26" t="n"/>
      <c r="D987" s="40" t="n"/>
      <c r="E987" s="29" t="n"/>
      <c r="F987" s="29" t="n"/>
      <c r="G987" s="29" t="n"/>
      <c r="H987" s="28">
        <f>IF(B987="","",IF(B987="קנייה",-(D987*E987+G987),IF(B987="מכירה",D987*E987-G987,IF(B987="דיבידנד",F987-G987,IF(B987="הפקדה",F987-G987,IF(B987="משיכה",-F987-G987,-G987))))))</f>
        <v/>
      </c>
      <c r="I987" s="28">
        <f>IF(B987="קנייה",D987*E987+G987,0)</f>
        <v/>
      </c>
      <c r="J987" s="41">
        <f>IF(B987="מכירה",D987*E987-G987-D987*IFERROR(SUMIFS($I$5:I987,$C$5:C987,C987)/SUMIFS($D$5:D987,$C$5:C987,C987,$B$5:B987,"קנייה"),0),0)</f>
        <v/>
      </c>
      <c r="K987" s="26" t="n"/>
    </row>
    <row r="988">
      <c r="A988" s="39" t="n"/>
      <c r="B988" s="26" t="n"/>
      <c r="C988" s="26" t="n"/>
      <c r="D988" s="40" t="n"/>
      <c r="E988" s="29" t="n"/>
      <c r="F988" s="29" t="n"/>
      <c r="G988" s="29" t="n"/>
      <c r="H988" s="28">
        <f>IF(B988="","",IF(B988="קנייה",-(D988*E988+G988),IF(B988="מכירה",D988*E988-G988,IF(B988="דיבידנד",F988-G988,IF(B988="הפקדה",F988-G988,IF(B988="משיכה",-F988-G988,-G988))))))</f>
        <v/>
      </c>
      <c r="I988" s="28">
        <f>IF(B988="קנייה",D988*E988+G988,0)</f>
        <v/>
      </c>
      <c r="J988" s="41">
        <f>IF(B988="מכירה",D988*E988-G988-D988*IFERROR(SUMIFS($I$5:I988,$C$5:C988,C988)/SUMIFS($D$5:D988,$C$5:C988,C988,$B$5:B988,"קנייה"),0),0)</f>
        <v/>
      </c>
      <c r="K988" s="26" t="n"/>
    </row>
    <row r="989">
      <c r="A989" s="39" t="n"/>
      <c r="B989" s="26" t="n"/>
      <c r="C989" s="26" t="n"/>
      <c r="D989" s="40" t="n"/>
      <c r="E989" s="29" t="n"/>
      <c r="F989" s="29" t="n"/>
      <c r="G989" s="29" t="n"/>
      <c r="H989" s="28">
        <f>IF(B989="","",IF(B989="קנייה",-(D989*E989+G989),IF(B989="מכירה",D989*E989-G989,IF(B989="דיבידנד",F989-G989,IF(B989="הפקדה",F989-G989,IF(B989="משיכה",-F989-G989,-G989))))))</f>
        <v/>
      </c>
      <c r="I989" s="28">
        <f>IF(B989="קנייה",D989*E989+G989,0)</f>
        <v/>
      </c>
      <c r="J989" s="41">
        <f>IF(B989="מכירה",D989*E989-G989-D989*IFERROR(SUMIFS($I$5:I989,$C$5:C989,C989)/SUMIFS($D$5:D989,$C$5:C989,C989,$B$5:B989,"קנייה"),0),0)</f>
        <v/>
      </c>
      <c r="K989" s="26" t="n"/>
    </row>
    <row r="990">
      <c r="A990" s="39" t="n"/>
      <c r="B990" s="26" t="n"/>
      <c r="C990" s="26" t="n"/>
      <c r="D990" s="40" t="n"/>
      <c r="E990" s="29" t="n"/>
      <c r="F990" s="29" t="n"/>
      <c r="G990" s="29" t="n"/>
      <c r="H990" s="28">
        <f>IF(B990="","",IF(B990="קנייה",-(D990*E990+G990),IF(B990="מכירה",D990*E990-G990,IF(B990="דיבידנד",F990-G990,IF(B990="הפקדה",F990-G990,IF(B990="משיכה",-F990-G990,-G990))))))</f>
        <v/>
      </c>
      <c r="I990" s="28">
        <f>IF(B990="קנייה",D990*E990+G990,0)</f>
        <v/>
      </c>
      <c r="J990" s="41">
        <f>IF(B990="מכירה",D990*E990-G990-D990*IFERROR(SUMIFS($I$5:I990,$C$5:C990,C990)/SUMIFS($D$5:D990,$C$5:C990,C990,$B$5:B990,"קנייה"),0),0)</f>
        <v/>
      </c>
      <c r="K990" s="26" t="n"/>
    </row>
    <row r="991">
      <c r="A991" s="39" t="n"/>
      <c r="B991" s="26" t="n"/>
      <c r="C991" s="26" t="n"/>
      <c r="D991" s="40" t="n"/>
      <c r="E991" s="29" t="n"/>
      <c r="F991" s="29" t="n"/>
      <c r="G991" s="29" t="n"/>
      <c r="H991" s="28">
        <f>IF(B991="","",IF(B991="קנייה",-(D991*E991+G991),IF(B991="מכירה",D991*E991-G991,IF(B991="דיבידנד",F991-G991,IF(B991="הפקדה",F991-G991,IF(B991="משיכה",-F991-G991,-G991))))))</f>
        <v/>
      </c>
      <c r="I991" s="28">
        <f>IF(B991="קנייה",D991*E991+G991,0)</f>
        <v/>
      </c>
      <c r="J991" s="41">
        <f>IF(B991="מכירה",D991*E991-G991-D991*IFERROR(SUMIFS($I$5:I991,$C$5:C991,C991)/SUMIFS($D$5:D991,$C$5:C991,C991,$B$5:B991,"קנייה"),0),0)</f>
        <v/>
      </c>
      <c r="K991" s="26" t="n"/>
    </row>
    <row r="992">
      <c r="A992" s="39" t="n"/>
      <c r="B992" s="26" t="n"/>
      <c r="C992" s="26" t="n"/>
      <c r="D992" s="40" t="n"/>
      <c r="E992" s="29" t="n"/>
      <c r="F992" s="29" t="n"/>
      <c r="G992" s="29" t="n"/>
      <c r="H992" s="28">
        <f>IF(B992="","",IF(B992="קנייה",-(D992*E992+G992),IF(B992="מכירה",D992*E992-G992,IF(B992="דיבידנד",F992-G992,IF(B992="הפקדה",F992-G992,IF(B992="משיכה",-F992-G992,-G992))))))</f>
        <v/>
      </c>
      <c r="I992" s="28">
        <f>IF(B992="קנייה",D992*E992+G992,0)</f>
        <v/>
      </c>
      <c r="J992" s="41">
        <f>IF(B992="מכירה",D992*E992-G992-D992*IFERROR(SUMIFS($I$5:I992,$C$5:C992,C992)/SUMIFS($D$5:D992,$C$5:C992,C992,$B$5:B992,"קנייה"),0),0)</f>
        <v/>
      </c>
      <c r="K992" s="26" t="n"/>
    </row>
    <row r="993">
      <c r="A993" s="39" t="n"/>
      <c r="B993" s="26" t="n"/>
      <c r="C993" s="26" t="n"/>
      <c r="D993" s="40" t="n"/>
      <c r="E993" s="29" t="n"/>
      <c r="F993" s="29" t="n"/>
      <c r="G993" s="29" t="n"/>
      <c r="H993" s="28">
        <f>IF(B993="","",IF(B993="קנייה",-(D993*E993+G993),IF(B993="מכירה",D993*E993-G993,IF(B993="דיבידנד",F993-G993,IF(B993="הפקדה",F993-G993,IF(B993="משיכה",-F993-G993,-G993))))))</f>
        <v/>
      </c>
      <c r="I993" s="28">
        <f>IF(B993="קנייה",D993*E993+G993,0)</f>
        <v/>
      </c>
      <c r="J993" s="41">
        <f>IF(B993="מכירה",D993*E993-G993-D993*IFERROR(SUMIFS($I$5:I993,$C$5:C993,C993)/SUMIFS($D$5:D993,$C$5:C993,C993,$B$5:B993,"קנייה"),0),0)</f>
        <v/>
      </c>
      <c r="K993" s="26" t="n"/>
    </row>
    <row r="994">
      <c r="A994" s="39" t="n"/>
      <c r="B994" s="26" t="n"/>
      <c r="C994" s="26" t="n"/>
      <c r="D994" s="40" t="n"/>
      <c r="E994" s="29" t="n"/>
      <c r="F994" s="29" t="n"/>
      <c r="G994" s="29" t="n"/>
      <c r="H994" s="28">
        <f>IF(B994="","",IF(B994="קנייה",-(D994*E994+G994),IF(B994="מכירה",D994*E994-G994,IF(B994="דיבידנד",F994-G994,IF(B994="הפקדה",F994-G994,IF(B994="משיכה",-F994-G994,-G994))))))</f>
        <v/>
      </c>
      <c r="I994" s="28">
        <f>IF(B994="קנייה",D994*E994+G994,0)</f>
        <v/>
      </c>
      <c r="J994" s="41">
        <f>IF(B994="מכירה",D994*E994-G994-D994*IFERROR(SUMIFS($I$5:I994,$C$5:C994,C994)/SUMIFS($D$5:D994,$C$5:C994,C994,$B$5:B994,"קנייה"),0),0)</f>
        <v/>
      </c>
      <c r="K994" s="26" t="n"/>
    </row>
    <row r="995">
      <c r="A995" s="39" t="n"/>
      <c r="B995" s="26" t="n"/>
      <c r="C995" s="26" t="n"/>
      <c r="D995" s="40" t="n"/>
      <c r="E995" s="29" t="n"/>
      <c r="F995" s="29" t="n"/>
      <c r="G995" s="29" t="n"/>
      <c r="H995" s="28">
        <f>IF(B995="","",IF(B995="קנייה",-(D995*E995+G995),IF(B995="מכירה",D995*E995-G995,IF(B995="דיבידנד",F995-G995,IF(B995="הפקדה",F995-G995,IF(B995="משיכה",-F995-G995,-G995))))))</f>
        <v/>
      </c>
      <c r="I995" s="28">
        <f>IF(B995="קנייה",D995*E995+G995,0)</f>
        <v/>
      </c>
      <c r="J995" s="41">
        <f>IF(B995="מכירה",D995*E995-G995-D995*IFERROR(SUMIFS($I$5:I995,$C$5:C995,C995)/SUMIFS($D$5:D995,$C$5:C995,C995,$B$5:B995,"קנייה"),0),0)</f>
        <v/>
      </c>
      <c r="K995" s="26" t="n"/>
    </row>
    <row r="996">
      <c r="A996" s="39" t="n"/>
      <c r="B996" s="26" t="n"/>
      <c r="C996" s="26" t="n"/>
      <c r="D996" s="40" t="n"/>
      <c r="E996" s="29" t="n"/>
      <c r="F996" s="29" t="n"/>
      <c r="G996" s="29" t="n"/>
      <c r="H996" s="28">
        <f>IF(B996="","",IF(B996="קנייה",-(D996*E996+G996),IF(B996="מכירה",D996*E996-G996,IF(B996="דיבידנד",F996-G996,IF(B996="הפקדה",F996-G996,IF(B996="משיכה",-F996-G996,-G996))))))</f>
        <v/>
      </c>
      <c r="I996" s="28">
        <f>IF(B996="קנייה",D996*E996+G996,0)</f>
        <v/>
      </c>
      <c r="J996" s="41">
        <f>IF(B996="מכירה",D996*E996-G996-D996*IFERROR(SUMIFS($I$5:I996,$C$5:C996,C996)/SUMIFS($D$5:D996,$C$5:C996,C996,$B$5:B996,"קנייה"),0),0)</f>
        <v/>
      </c>
      <c r="K996" s="26" t="n"/>
    </row>
    <row r="997">
      <c r="A997" s="39" t="n"/>
      <c r="B997" s="26" t="n"/>
      <c r="C997" s="26" t="n"/>
      <c r="D997" s="40" t="n"/>
      <c r="E997" s="29" t="n"/>
      <c r="F997" s="29" t="n"/>
      <c r="G997" s="29" t="n"/>
      <c r="H997" s="28">
        <f>IF(B997="","",IF(B997="קנייה",-(D997*E997+G997),IF(B997="מכירה",D997*E997-G997,IF(B997="דיבידנד",F997-G997,IF(B997="הפקדה",F997-G997,IF(B997="משיכה",-F997-G997,-G997))))))</f>
        <v/>
      </c>
      <c r="I997" s="28">
        <f>IF(B997="קנייה",D997*E997+G997,0)</f>
        <v/>
      </c>
      <c r="J997" s="41">
        <f>IF(B997="מכירה",D997*E997-G997-D997*IFERROR(SUMIFS($I$5:I997,$C$5:C997,C997)/SUMIFS($D$5:D997,$C$5:C997,C997,$B$5:B997,"קנייה"),0),0)</f>
        <v/>
      </c>
      <c r="K997" s="26" t="n"/>
    </row>
    <row r="998">
      <c r="A998" s="39" t="n"/>
      <c r="B998" s="26" t="n"/>
      <c r="C998" s="26" t="n"/>
      <c r="D998" s="40" t="n"/>
      <c r="E998" s="29" t="n"/>
      <c r="F998" s="29" t="n"/>
      <c r="G998" s="29" t="n"/>
      <c r="H998" s="28">
        <f>IF(B998="","",IF(B998="קנייה",-(D998*E998+G998),IF(B998="מכירה",D998*E998-G998,IF(B998="דיבידנד",F998-G998,IF(B998="הפקדה",F998-G998,IF(B998="משיכה",-F998-G998,-G998))))))</f>
        <v/>
      </c>
      <c r="I998" s="28">
        <f>IF(B998="קנייה",D998*E998+G998,0)</f>
        <v/>
      </c>
      <c r="J998" s="41">
        <f>IF(B998="מכירה",D998*E998-G998-D998*IFERROR(SUMIFS($I$5:I998,$C$5:C998,C998)/SUMIFS($D$5:D998,$C$5:C998,C998,$B$5:B998,"קנייה"),0),0)</f>
        <v/>
      </c>
      <c r="K998" s="26" t="n"/>
    </row>
    <row r="999">
      <c r="A999" s="39" t="n"/>
      <c r="B999" s="26" t="n"/>
      <c r="C999" s="26" t="n"/>
      <c r="D999" s="40" t="n"/>
      <c r="E999" s="29" t="n"/>
      <c r="F999" s="29" t="n"/>
      <c r="G999" s="29" t="n"/>
      <c r="H999" s="28">
        <f>IF(B999="","",IF(B999="קנייה",-(D999*E999+G999),IF(B999="מכירה",D999*E999-G999,IF(B999="דיבידנד",F999-G999,IF(B999="הפקדה",F999-G999,IF(B999="משיכה",-F999-G999,-G999))))))</f>
        <v/>
      </c>
      <c r="I999" s="28">
        <f>IF(B999="קנייה",D999*E999+G999,0)</f>
        <v/>
      </c>
      <c r="J999" s="41">
        <f>IF(B999="מכירה",D999*E999-G999-D999*IFERROR(SUMIFS($I$5:I999,$C$5:C999,C999)/SUMIFS($D$5:D999,$C$5:C999,C999,$B$5:B999,"קנייה"),0),0)</f>
        <v/>
      </c>
      <c r="K999" s="26" t="n"/>
    </row>
    <row r="1000">
      <c r="A1000" s="39" t="n"/>
      <c r="B1000" s="26" t="n"/>
      <c r="C1000" s="26" t="n"/>
      <c r="D1000" s="40" t="n"/>
      <c r="E1000" s="29" t="n"/>
      <c r="F1000" s="29" t="n"/>
      <c r="G1000" s="29" t="n"/>
      <c r="H1000" s="28">
        <f>IF(B1000="","",IF(B1000="קנייה",-(D1000*E1000+G1000),IF(B1000="מכירה",D1000*E1000-G1000,IF(B1000="דיבידנד",F1000-G1000,IF(B1000="הפקדה",F1000-G1000,IF(B1000="משיכה",-F1000-G1000,-G1000))))))</f>
        <v/>
      </c>
      <c r="I1000" s="28">
        <f>IF(B1000="קנייה",D1000*E1000+G1000,0)</f>
        <v/>
      </c>
      <c r="J1000" s="41">
        <f>IF(B1000="מכירה",D1000*E1000-G1000-D1000*IFERROR(SUMIFS($I$5:I1000,$C$5:C1000,C1000)/SUMIFS($D$5:D1000,$C$5:C1000,C1000,$B$5:B1000,"קנייה"),0),0)</f>
        <v/>
      </c>
      <c r="K1000" s="26" t="n"/>
    </row>
    <row r="1001">
      <c r="A1001" s="39" t="n"/>
      <c r="B1001" s="26" t="n"/>
      <c r="C1001" s="26" t="n"/>
      <c r="D1001" s="40" t="n"/>
      <c r="E1001" s="29" t="n"/>
      <c r="F1001" s="29" t="n"/>
      <c r="G1001" s="29" t="n"/>
      <c r="H1001" s="28">
        <f>IF(B1001="","",IF(B1001="קנייה",-(D1001*E1001+G1001),IF(B1001="מכירה",D1001*E1001-G1001,IF(B1001="דיבידנד",F1001-G1001,IF(B1001="הפקדה",F1001-G1001,IF(B1001="משיכה",-F1001-G1001,-G1001))))))</f>
        <v/>
      </c>
      <c r="I1001" s="28">
        <f>IF(B1001="קנייה",D1001*E1001+G1001,0)</f>
        <v/>
      </c>
      <c r="J1001" s="41">
        <f>IF(B1001="מכירה",D1001*E1001-G1001-D1001*IFERROR(SUMIFS($I$5:I1001,$C$5:C1001,C1001)/SUMIFS($D$5:D1001,$C$5:C1001,C1001,$B$5:B1001,"קנייה"),0),0)</f>
        <v/>
      </c>
      <c r="K1001" s="26" t="n"/>
    </row>
    <row r="1002">
      <c r="A1002" s="39" t="n"/>
      <c r="B1002" s="26" t="n"/>
      <c r="C1002" s="26" t="n"/>
      <c r="D1002" s="40" t="n"/>
      <c r="E1002" s="29" t="n"/>
      <c r="F1002" s="29" t="n"/>
      <c r="G1002" s="29" t="n"/>
      <c r="H1002" s="28">
        <f>IF(B1002="","",IF(B1002="קנייה",-(D1002*E1002+G1002),IF(B1002="מכירה",D1002*E1002-G1002,IF(B1002="דיבידנד",F1002-G1002,IF(B1002="הפקדה",F1002-G1002,IF(B1002="משיכה",-F1002-G1002,-G1002))))))</f>
        <v/>
      </c>
      <c r="I1002" s="28">
        <f>IF(B1002="קנייה",D1002*E1002+G1002,0)</f>
        <v/>
      </c>
      <c r="J1002" s="41">
        <f>IF(B1002="מכירה",D1002*E1002-G1002-D1002*IFERROR(SUMIFS($I$5:I1002,$C$5:C1002,C1002)/SUMIFS($D$5:D1002,$C$5:C1002,C1002,$B$5:B1002,"קנייה"),0),0)</f>
        <v/>
      </c>
      <c r="K1002" s="26" t="n"/>
    </row>
    <row r="1003">
      <c r="A1003" s="39" t="n"/>
      <c r="B1003" s="26" t="n"/>
      <c r="C1003" s="26" t="n"/>
      <c r="D1003" s="40" t="n"/>
      <c r="E1003" s="29" t="n"/>
      <c r="F1003" s="29" t="n"/>
      <c r="G1003" s="29" t="n"/>
      <c r="H1003" s="28">
        <f>IF(B1003="","",IF(B1003="קנייה",-(D1003*E1003+G1003),IF(B1003="מכירה",D1003*E1003-G1003,IF(B1003="דיבידנד",F1003-G1003,IF(B1003="הפקדה",F1003-G1003,IF(B1003="משיכה",-F1003-G1003,-G1003))))))</f>
        <v/>
      </c>
      <c r="I1003" s="28">
        <f>IF(B1003="קנייה",D1003*E1003+G1003,0)</f>
        <v/>
      </c>
      <c r="J1003" s="41">
        <f>IF(B1003="מכירה",D1003*E1003-G1003-D1003*IFERROR(SUMIFS($I$5:I1003,$C$5:C1003,C1003)/SUMIFS($D$5:D1003,$C$5:C1003,C1003,$B$5:B1003,"קנייה"),0),0)</f>
        <v/>
      </c>
      <c r="K1003" s="26" t="n"/>
    </row>
    <row r="1004">
      <c r="A1004" s="39" t="n"/>
      <c r="B1004" s="26" t="n"/>
      <c r="C1004" s="26" t="n"/>
      <c r="D1004" s="40" t="n"/>
      <c r="E1004" s="29" t="n"/>
      <c r="F1004" s="29" t="n"/>
      <c r="G1004" s="29" t="n"/>
      <c r="H1004" s="28">
        <f>IF(B1004="","",IF(B1004="קנייה",-(D1004*E1004+G1004),IF(B1004="מכירה",D1004*E1004-G1004,IF(B1004="דיבידנד",F1004-G1004,IF(B1004="הפקדה",F1004-G1004,IF(B1004="משיכה",-F1004-G1004,-G1004))))))</f>
        <v/>
      </c>
      <c r="I1004" s="28">
        <f>IF(B1004="קנייה",D1004*E1004+G1004,0)</f>
        <v/>
      </c>
      <c r="J1004" s="41">
        <f>IF(B1004="מכירה",D1004*E1004-G1004-D1004*IFERROR(SUMIFS($I$5:I1004,$C$5:C1004,C1004)/SUMIFS($D$5:D1004,$C$5:C1004,C1004,$B$5:B1004,"קנייה"),0),0)</f>
        <v/>
      </c>
      <c r="K1004" s="26" t="n"/>
    </row>
  </sheetData>
  <mergeCells count="2">
    <mergeCell ref="A2:K2"/>
    <mergeCell ref="A1:K1"/>
  </mergeCells>
  <conditionalFormatting sqref="J5:J1004">
    <cfRule type="cellIs" priority="1" operator="greaterThan" dxfId="5">
      <formula>0</formula>
    </cfRule>
  </conditionalFormatting>
  <conditionalFormatting sqref="A5:K1004">
    <cfRule type="expression" priority="2" dxfId="10">
      <formula>$B5="מכירה"</formula>
    </cfRule>
    <cfRule type="expression" priority="3" dxfId="11">
      <formula>$B5="דיבידנד"</formula>
    </cfRule>
  </conditionalFormatting>
  <dataValidations count="1">
    <dataValidation sqref="B5:B1004" showDropDown="0" showInputMessage="0" showErrorMessage="1" allowBlank="1" errorTitle="סוג לא חוקי" error="בחר מהרשימה" type="list">
      <formula1>"קנייה,מכירה,דיבידנד,הפקדה,משיכה,עמלה"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/>
  </sheetPr>
  <dimension ref="A1:R44"/>
  <sheetViews>
    <sheetView showGridLines="0" rightToLeft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11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1" customWidth="1" min="11" max="11"/>
    <col width="11" customWidth="1" min="12" max="12"/>
    <col width="13" customWidth="1" min="13" max="13"/>
    <col width="9" customWidth="1" min="14" max="14"/>
    <col width="10" customWidth="1" min="15" max="15"/>
    <col width="12" customWidth="1" min="16" max="16"/>
    <col width="12" customWidth="1" min="17" max="17"/>
    <col width="16" customWidth="1" min="18" max="18"/>
  </cols>
  <sheetData>
    <row r="1" ht="34" customHeight="1">
      <c r="A1" s="1" t="inlineStr">
        <is>
          <t>👁️ רשימת מעקב ותכנון כניסות</t>
        </is>
      </c>
    </row>
    <row r="2" ht="20" customHeight="1">
      <c r="A2" s="2" t="inlineStr">
        <is>
          <t>הגדר כניסה, סטופ ויעדים — המערכת מחשבת גודל פוזיציה לפי מדיניות הסיכון.</t>
        </is>
      </c>
    </row>
    <row r="4" ht="36" customHeight="1">
      <c r="A4" s="22" t="inlineStr">
        <is>
          <t>טיקר</t>
        </is>
      </c>
      <c r="B4" s="22" t="inlineStr">
        <is>
          <t>שם</t>
        </is>
      </c>
      <c r="C4" s="22" t="inlineStr">
        <is>
          <t>סטאפ / סיבה</t>
        </is>
      </c>
      <c r="D4" s="22" t="inlineStr">
        <is>
          <t>מחיר ידני $</t>
        </is>
      </c>
      <c r="E4" s="23" t="inlineStr">
        <is>
          <t>מחיר $</t>
        </is>
      </c>
      <c r="F4" s="22" t="inlineStr">
        <is>
          <t>כניסה $</t>
        </is>
      </c>
      <c r="G4" s="22" t="inlineStr">
        <is>
          <t>סטופ $</t>
        </is>
      </c>
      <c r="H4" s="22" t="inlineStr">
        <is>
          <t>יעד 1 $</t>
        </is>
      </c>
      <c r="I4" s="22" t="inlineStr">
        <is>
          <t>יעד 2 $</t>
        </is>
      </c>
      <c r="J4" s="23" t="inlineStr">
        <is>
          <t>סיכון למניה $</t>
        </is>
      </c>
      <c r="K4" s="23" t="inlineStr">
        <is>
          <t>סיכוי:סיכון
(יעד 1)</t>
        </is>
      </c>
      <c r="L4" s="23" t="inlineStr">
        <is>
          <t>כמות מניות
לפי סיכון</t>
        </is>
      </c>
      <c r="M4" s="23" t="inlineStr">
        <is>
          <t>גודל פוזיציה $</t>
        </is>
      </c>
      <c r="N4" s="23" t="inlineStr">
        <is>
          <t>% מהתיק</t>
        </is>
      </c>
      <c r="O4" s="23" t="inlineStr">
        <is>
          <t>מרחק לכניסה</t>
        </is>
      </c>
      <c r="P4" s="23" t="inlineStr">
        <is>
          <t>רווח ביעד 1 $</t>
        </is>
      </c>
      <c r="Q4" s="23" t="inlineStr">
        <is>
          <t>הפסד בסטופ $</t>
        </is>
      </c>
      <c r="R4" s="23" t="inlineStr">
        <is>
          <t>סטטוס</t>
        </is>
      </c>
    </row>
    <row r="5">
      <c r="A5" s="25" t="inlineStr">
        <is>
          <t>AMZN</t>
        </is>
      </c>
      <c r="B5" s="26" t="inlineStr">
        <is>
          <t>Amazon</t>
        </is>
      </c>
      <c r="C5" s="26" t="inlineStr">
        <is>
          <t>תיקון לממוצע 50</t>
        </is>
      </c>
      <c r="D5" s="29" t="n">
        <v>228</v>
      </c>
      <c r="E5" s="28">
        <f>IF(A5="","",IFERROR(GOOGLEFINANCE(A5),D5))</f>
        <v/>
      </c>
      <c r="F5" s="29" t="n">
        <v>225</v>
      </c>
      <c r="G5" s="29" t="n">
        <v>214</v>
      </c>
      <c r="H5" s="29" t="n">
        <v>250</v>
      </c>
      <c r="I5" s="29" t="n">
        <v>270</v>
      </c>
      <c r="J5" s="28">
        <f>IF(OR(F5="",G5="",F5&lt;=G5),"",F5-G5)</f>
        <v/>
      </c>
      <c r="K5" s="42">
        <f>IF(OR(J5="",H5=""),"",(H5-F5)/J5)</f>
        <v/>
      </c>
      <c r="L5" s="43">
        <f>IF(J5="","",MIN(ROUNDDOWN(Equity*RiskPct/J5,0),ROUNDDOWN(Equity*MaxPos/F5,0),ROUNDDOWN(MAX(0,Cash)/F5,0)))</f>
        <v/>
      </c>
      <c r="M5" s="30">
        <f>IF(L5="","",L5*F5)</f>
        <v/>
      </c>
      <c r="N5" s="31">
        <f>IF(OR(M5="",Equity=0),"",M5/Equity)</f>
        <v/>
      </c>
      <c r="O5" s="31">
        <f>IF(OR(E5="",F5=""),"",E5/F5-1)</f>
        <v/>
      </c>
      <c r="P5" s="30">
        <f>IF(OR(L5="",H5=""),"",L5*(H5-F5))</f>
        <v/>
      </c>
      <c r="Q5" s="30">
        <f>IF(L5="","",-L5*J5)</f>
        <v/>
      </c>
      <c r="R5" s="34">
        <f>IF(OR(A5="",F5=""),"",IF(E5&lt;=G5,"⛔ מתחת לסטופ",IF(E5&lt;=F5*(1+EntryZone),IF(AND(K5&lt;&gt;"",K5&lt;2),"🟡 באזור — R:R נמוך","🟢 באזור כניסה"),"⏳ ממתין")))</f>
        <v/>
      </c>
    </row>
    <row r="6">
      <c r="A6" s="25" t="inlineStr">
        <is>
          <t>GOOGL</t>
        </is>
      </c>
      <c r="B6" s="26" t="inlineStr">
        <is>
          <t>Alphabet</t>
        </is>
      </c>
      <c r="C6" s="26" t="inlineStr">
        <is>
          <t>פריצת שיא 20 יום</t>
        </is>
      </c>
      <c r="D6" s="29" t="n">
        <v>245</v>
      </c>
      <c r="E6" s="28">
        <f>IF(A6="","",IFERROR(GOOGLEFINANCE(A6),D6))</f>
        <v/>
      </c>
      <c r="F6" s="29" t="n">
        <v>240</v>
      </c>
      <c r="G6" s="29" t="n">
        <v>228</v>
      </c>
      <c r="H6" s="29" t="n">
        <v>270</v>
      </c>
      <c r="I6" s="29" t="n">
        <v>290</v>
      </c>
      <c r="J6" s="28">
        <f>IF(OR(F6="",G6="",F6&lt;=G6),"",F6-G6)</f>
        <v/>
      </c>
      <c r="K6" s="42">
        <f>IF(OR(J6="",H6=""),"",(H6-F6)/J6)</f>
        <v/>
      </c>
      <c r="L6" s="43">
        <f>IF(J6="","",MIN(ROUNDDOWN(Equity*RiskPct/J6,0),ROUNDDOWN(Equity*MaxPos/F6,0),ROUNDDOWN(MAX(0,Cash)/F6,0)))</f>
        <v/>
      </c>
      <c r="M6" s="30">
        <f>IF(L6="","",L6*F6)</f>
        <v/>
      </c>
      <c r="N6" s="31">
        <f>IF(OR(M6="",Equity=0),"",M6/Equity)</f>
        <v/>
      </c>
      <c r="O6" s="31">
        <f>IF(OR(E6="",F6=""),"",E6/F6-1)</f>
        <v/>
      </c>
      <c r="P6" s="30">
        <f>IF(OR(L6="",H6=""),"",L6*(H6-F6))</f>
        <v/>
      </c>
      <c r="Q6" s="30">
        <f>IF(L6="","",-L6*J6)</f>
        <v/>
      </c>
      <c r="R6" s="34">
        <f>IF(OR(A6="",F6=""),"",IF(E6&lt;=G6,"⛔ מתחת לסטופ",IF(E6&lt;=F6*(1+EntryZone),IF(AND(K6&lt;&gt;"",K6&lt;2),"🟡 באזור — R:R נמוך","🟢 באזור כניסה"),"⏳ ממתין")))</f>
        <v/>
      </c>
    </row>
    <row r="7">
      <c r="A7" s="25" t="n"/>
      <c r="B7" s="26" t="n"/>
      <c r="C7" s="26" t="n"/>
      <c r="D7" s="29" t="n"/>
      <c r="E7" s="28">
        <f>IF(A7="","",IFERROR(GOOGLEFINANCE(A7),D7))</f>
        <v/>
      </c>
      <c r="F7" s="29" t="n"/>
      <c r="G7" s="29" t="n"/>
      <c r="H7" s="29" t="n"/>
      <c r="I7" s="29" t="n"/>
      <c r="J7" s="28">
        <f>IF(OR(F7="",G7="",F7&lt;=G7),"",F7-G7)</f>
        <v/>
      </c>
      <c r="K7" s="42">
        <f>IF(OR(J7="",H7=""),"",(H7-F7)/J7)</f>
        <v/>
      </c>
      <c r="L7" s="43">
        <f>IF(J7="","",MIN(ROUNDDOWN(Equity*RiskPct/J7,0),ROUNDDOWN(Equity*MaxPos/F7,0),ROUNDDOWN(MAX(0,Cash)/F7,0)))</f>
        <v/>
      </c>
      <c r="M7" s="30">
        <f>IF(L7="","",L7*F7)</f>
        <v/>
      </c>
      <c r="N7" s="31">
        <f>IF(OR(M7="",Equity=0),"",M7/Equity)</f>
        <v/>
      </c>
      <c r="O7" s="31">
        <f>IF(OR(E7="",F7=""),"",E7/F7-1)</f>
        <v/>
      </c>
      <c r="P7" s="30">
        <f>IF(OR(L7="",H7=""),"",L7*(H7-F7))</f>
        <v/>
      </c>
      <c r="Q7" s="30">
        <f>IF(L7="","",-L7*J7)</f>
        <v/>
      </c>
      <c r="R7" s="34">
        <f>IF(OR(A7="",F7=""),"",IF(E7&lt;=G7,"⛔ מתחת לסטופ",IF(E7&lt;=F7*(1+EntryZone),IF(AND(K7&lt;&gt;"",K7&lt;2),"🟡 באזור — R:R נמוך","🟢 באזור כניסה"),"⏳ ממתין")))</f>
        <v/>
      </c>
    </row>
    <row r="8">
      <c r="A8" s="25" t="n"/>
      <c r="B8" s="26" t="n"/>
      <c r="C8" s="26" t="n"/>
      <c r="D8" s="29" t="n"/>
      <c r="E8" s="28">
        <f>IF(A8="","",IFERROR(GOOGLEFINANCE(A8),D8))</f>
        <v/>
      </c>
      <c r="F8" s="29" t="n"/>
      <c r="G8" s="29" t="n"/>
      <c r="H8" s="29" t="n"/>
      <c r="I8" s="29" t="n"/>
      <c r="J8" s="28">
        <f>IF(OR(F8="",G8="",F8&lt;=G8),"",F8-G8)</f>
        <v/>
      </c>
      <c r="K8" s="42">
        <f>IF(OR(J8="",H8=""),"",(H8-F8)/J8)</f>
        <v/>
      </c>
      <c r="L8" s="43">
        <f>IF(J8="","",MIN(ROUNDDOWN(Equity*RiskPct/J8,0),ROUNDDOWN(Equity*MaxPos/F8,0),ROUNDDOWN(MAX(0,Cash)/F8,0)))</f>
        <v/>
      </c>
      <c r="M8" s="30">
        <f>IF(L8="","",L8*F8)</f>
        <v/>
      </c>
      <c r="N8" s="31">
        <f>IF(OR(M8="",Equity=0),"",M8/Equity)</f>
        <v/>
      </c>
      <c r="O8" s="31">
        <f>IF(OR(E8="",F8=""),"",E8/F8-1)</f>
        <v/>
      </c>
      <c r="P8" s="30">
        <f>IF(OR(L8="",H8=""),"",L8*(H8-F8))</f>
        <v/>
      </c>
      <c r="Q8" s="30">
        <f>IF(L8="","",-L8*J8)</f>
        <v/>
      </c>
      <c r="R8" s="34">
        <f>IF(OR(A8="",F8=""),"",IF(E8&lt;=G8,"⛔ מתחת לסטופ",IF(E8&lt;=F8*(1+EntryZone),IF(AND(K8&lt;&gt;"",K8&lt;2),"🟡 באזור — R:R נמוך","🟢 באזור כניסה"),"⏳ ממתין")))</f>
        <v/>
      </c>
    </row>
    <row r="9">
      <c r="A9" s="25" t="n"/>
      <c r="B9" s="26" t="n"/>
      <c r="C9" s="26" t="n"/>
      <c r="D9" s="29" t="n"/>
      <c r="E9" s="28">
        <f>IF(A9="","",IFERROR(GOOGLEFINANCE(A9),D9))</f>
        <v/>
      </c>
      <c r="F9" s="29" t="n"/>
      <c r="G9" s="29" t="n"/>
      <c r="H9" s="29" t="n"/>
      <c r="I9" s="29" t="n"/>
      <c r="J9" s="28">
        <f>IF(OR(F9="",G9="",F9&lt;=G9),"",F9-G9)</f>
        <v/>
      </c>
      <c r="K9" s="42">
        <f>IF(OR(J9="",H9=""),"",(H9-F9)/J9)</f>
        <v/>
      </c>
      <c r="L9" s="43">
        <f>IF(J9="","",MIN(ROUNDDOWN(Equity*RiskPct/J9,0),ROUNDDOWN(Equity*MaxPos/F9,0),ROUNDDOWN(MAX(0,Cash)/F9,0)))</f>
        <v/>
      </c>
      <c r="M9" s="30">
        <f>IF(L9="","",L9*F9)</f>
        <v/>
      </c>
      <c r="N9" s="31">
        <f>IF(OR(M9="",Equity=0),"",M9/Equity)</f>
        <v/>
      </c>
      <c r="O9" s="31">
        <f>IF(OR(E9="",F9=""),"",E9/F9-1)</f>
        <v/>
      </c>
      <c r="P9" s="30">
        <f>IF(OR(L9="",H9=""),"",L9*(H9-F9))</f>
        <v/>
      </c>
      <c r="Q9" s="30">
        <f>IF(L9="","",-L9*J9)</f>
        <v/>
      </c>
      <c r="R9" s="34">
        <f>IF(OR(A9="",F9=""),"",IF(E9&lt;=G9,"⛔ מתחת לסטופ",IF(E9&lt;=F9*(1+EntryZone),IF(AND(K9&lt;&gt;"",K9&lt;2),"🟡 באזור — R:R נמוך","🟢 באזור כניסה"),"⏳ ממתין")))</f>
        <v/>
      </c>
    </row>
    <row r="10">
      <c r="A10" s="25" t="n"/>
      <c r="B10" s="26" t="n"/>
      <c r="C10" s="26" t="n"/>
      <c r="D10" s="29" t="n"/>
      <c r="E10" s="28">
        <f>IF(A10="","",IFERROR(GOOGLEFINANCE(A10),D10))</f>
        <v/>
      </c>
      <c r="F10" s="29" t="n"/>
      <c r="G10" s="29" t="n"/>
      <c r="H10" s="29" t="n"/>
      <c r="I10" s="29" t="n"/>
      <c r="J10" s="28">
        <f>IF(OR(F10="",G10="",F10&lt;=G10),"",F10-G10)</f>
        <v/>
      </c>
      <c r="K10" s="42">
        <f>IF(OR(J10="",H10=""),"",(H10-F10)/J10)</f>
        <v/>
      </c>
      <c r="L10" s="43">
        <f>IF(J10="","",MIN(ROUNDDOWN(Equity*RiskPct/J10,0),ROUNDDOWN(Equity*MaxPos/F10,0),ROUNDDOWN(MAX(0,Cash)/F10,0)))</f>
        <v/>
      </c>
      <c r="M10" s="30">
        <f>IF(L10="","",L10*F10)</f>
        <v/>
      </c>
      <c r="N10" s="31">
        <f>IF(OR(M10="",Equity=0),"",M10/Equity)</f>
        <v/>
      </c>
      <c r="O10" s="31">
        <f>IF(OR(E10="",F10=""),"",E10/F10-1)</f>
        <v/>
      </c>
      <c r="P10" s="30">
        <f>IF(OR(L10="",H10=""),"",L10*(H10-F10))</f>
        <v/>
      </c>
      <c r="Q10" s="30">
        <f>IF(L10="","",-L10*J10)</f>
        <v/>
      </c>
      <c r="R10" s="34">
        <f>IF(OR(A10="",F10=""),"",IF(E10&lt;=G10,"⛔ מתחת לסטופ",IF(E10&lt;=F10*(1+EntryZone),IF(AND(K10&lt;&gt;"",K10&lt;2),"🟡 באזור — R:R נמוך","🟢 באזור כניסה"),"⏳ ממתין")))</f>
        <v/>
      </c>
    </row>
    <row r="11">
      <c r="A11" s="25" t="n"/>
      <c r="B11" s="26" t="n"/>
      <c r="C11" s="26" t="n"/>
      <c r="D11" s="29" t="n"/>
      <c r="E11" s="28">
        <f>IF(A11="","",IFERROR(GOOGLEFINANCE(A11),D11))</f>
        <v/>
      </c>
      <c r="F11" s="29" t="n"/>
      <c r="G11" s="29" t="n"/>
      <c r="H11" s="29" t="n"/>
      <c r="I11" s="29" t="n"/>
      <c r="J11" s="28">
        <f>IF(OR(F11="",G11="",F11&lt;=G11),"",F11-G11)</f>
        <v/>
      </c>
      <c r="K11" s="42">
        <f>IF(OR(J11="",H11=""),"",(H11-F11)/J11)</f>
        <v/>
      </c>
      <c r="L11" s="43">
        <f>IF(J11="","",MIN(ROUNDDOWN(Equity*RiskPct/J11,0),ROUNDDOWN(Equity*MaxPos/F11,0),ROUNDDOWN(MAX(0,Cash)/F11,0)))</f>
        <v/>
      </c>
      <c r="M11" s="30">
        <f>IF(L11="","",L11*F11)</f>
        <v/>
      </c>
      <c r="N11" s="31">
        <f>IF(OR(M11="",Equity=0),"",M11/Equity)</f>
        <v/>
      </c>
      <c r="O11" s="31">
        <f>IF(OR(E11="",F11=""),"",E11/F11-1)</f>
        <v/>
      </c>
      <c r="P11" s="30">
        <f>IF(OR(L11="",H11=""),"",L11*(H11-F11))</f>
        <v/>
      </c>
      <c r="Q11" s="30">
        <f>IF(L11="","",-L11*J11)</f>
        <v/>
      </c>
      <c r="R11" s="34">
        <f>IF(OR(A11="",F11=""),"",IF(E11&lt;=G11,"⛔ מתחת לסטופ",IF(E11&lt;=F11*(1+EntryZone),IF(AND(K11&lt;&gt;"",K11&lt;2),"🟡 באזור — R:R נמוך","🟢 באזור כניסה"),"⏳ ממתין")))</f>
        <v/>
      </c>
    </row>
    <row r="12">
      <c r="A12" s="25" t="n"/>
      <c r="B12" s="26" t="n"/>
      <c r="C12" s="26" t="n"/>
      <c r="D12" s="29" t="n"/>
      <c r="E12" s="28">
        <f>IF(A12="","",IFERROR(GOOGLEFINANCE(A12),D12))</f>
        <v/>
      </c>
      <c r="F12" s="29" t="n"/>
      <c r="G12" s="29" t="n"/>
      <c r="H12" s="29" t="n"/>
      <c r="I12" s="29" t="n"/>
      <c r="J12" s="28">
        <f>IF(OR(F12="",G12="",F12&lt;=G12),"",F12-G12)</f>
        <v/>
      </c>
      <c r="K12" s="42">
        <f>IF(OR(J12="",H12=""),"",(H12-F12)/J12)</f>
        <v/>
      </c>
      <c r="L12" s="43">
        <f>IF(J12="","",MIN(ROUNDDOWN(Equity*RiskPct/J12,0),ROUNDDOWN(Equity*MaxPos/F12,0),ROUNDDOWN(MAX(0,Cash)/F12,0)))</f>
        <v/>
      </c>
      <c r="M12" s="30">
        <f>IF(L12="","",L12*F12)</f>
        <v/>
      </c>
      <c r="N12" s="31">
        <f>IF(OR(M12="",Equity=0),"",M12/Equity)</f>
        <v/>
      </c>
      <c r="O12" s="31">
        <f>IF(OR(E12="",F12=""),"",E12/F12-1)</f>
        <v/>
      </c>
      <c r="P12" s="30">
        <f>IF(OR(L12="",H12=""),"",L12*(H12-F12))</f>
        <v/>
      </c>
      <c r="Q12" s="30">
        <f>IF(L12="","",-L12*J12)</f>
        <v/>
      </c>
      <c r="R12" s="34">
        <f>IF(OR(A12="",F12=""),"",IF(E12&lt;=G12,"⛔ מתחת לסטופ",IF(E12&lt;=F12*(1+EntryZone),IF(AND(K12&lt;&gt;"",K12&lt;2),"🟡 באזור — R:R נמוך","🟢 באזור כניסה"),"⏳ ממתין")))</f>
        <v/>
      </c>
    </row>
    <row r="13">
      <c r="A13" s="25" t="n"/>
      <c r="B13" s="26" t="n"/>
      <c r="C13" s="26" t="n"/>
      <c r="D13" s="29" t="n"/>
      <c r="E13" s="28">
        <f>IF(A13="","",IFERROR(GOOGLEFINANCE(A13),D13))</f>
        <v/>
      </c>
      <c r="F13" s="29" t="n"/>
      <c r="G13" s="29" t="n"/>
      <c r="H13" s="29" t="n"/>
      <c r="I13" s="29" t="n"/>
      <c r="J13" s="28">
        <f>IF(OR(F13="",G13="",F13&lt;=G13),"",F13-G13)</f>
        <v/>
      </c>
      <c r="K13" s="42">
        <f>IF(OR(J13="",H13=""),"",(H13-F13)/J13)</f>
        <v/>
      </c>
      <c r="L13" s="43">
        <f>IF(J13="","",MIN(ROUNDDOWN(Equity*RiskPct/J13,0),ROUNDDOWN(Equity*MaxPos/F13,0),ROUNDDOWN(MAX(0,Cash)/F13,0)))</f>
        <v/>
      </c>
      <c r="M13" s="30">
        <f>IF(L13="","",L13*F13)</f>
        <v/>
      </c>
      <c r="N13" s="31">
        <f>IF(OR(M13="",Equity=0),"",M13/Equity)</f>
        <v/>
      </c>
      <c r="O13" s="31">
        <f>IF(OR(E13="",F13=""),"",E13/F13-1)</f>
        <v/>
      </c>
      <c r="P13" s="30">
        <f>IF(OR(L13="",H13=""),"",L13*(H13-F13))</f>
        <v/>
      </c>
      <c r="Q13" s="30">
        <f>IF(L13="","",-L13*J13)</f>
        <v/>
      </c>
      <c r="R13" s="34">
        <f>IF(OR(A13="",F13=""),"",IF(E13&lt;=G13,"⛔ מתחת לסטופ",IF(E13&lt;=F13*(1+EntryZone),IF(AND(K13&lt;&gt;"",K13&lt;2),"🟡 באזור — R:R נמוך","🟢 באזור כניסה"),"⏳ ממתין")))</f>
        <v/>
      </c>
    </row>
    <row r="14">
      <c r="A14" s="25" t="n"/>
      <c r="B14" s="26" t="n"/>
      <c r="C14" s="26" t="n"/>
      <c r="D14" s="29" t="n"/>
      <c r="E14" s="28">
        <f>IF(A14="","",IFERROR(GOOGLEFINANCE(A14),D14))</f>
        <v/>
      </c>
      <c r="F14" s="29" t="n"/>
      <c r="G14" s="29" t="n"/>
      <c r="H14" s="29" t="n"/>
      <c r="I14" s="29" t="n"/>
      <c r="J14" s="28">
        <f>IF(OR(F14="",G14="",F14&lt;=G14),"",F14-G14)</f>
        <v/>
      </c>
      <c r="K14" s="42">
        <f>IF(OR(J14="",H14=""),"",(H14-F14)/J14)</f>
        <v/>
      </c>
      <c r="L14" s="43">
        <f>IF(J14="","",MIN(ROUNDDOWN(Equity*RiskPct/J14,0),ROUNDDOWN(Equity*MaxPos/F14,0),ROUNDDOWN(MAX(0,Cash)/F14,0)))</f>
        <v/>
      </c>
      <c r="M14" s="30">
        <f>IF(L14="","",L14*F14)</f>
        <v/>
      </c>
      <c r="N14" s="31">
        <f>IF(OR(M14="",Equity=0),"",M14/Equity)</f>
        <v/>
      </c>
      <c r="O14" s="31">
        <f>IF(OR(E14="",F14=""),"",E14/F14-1)</f>
        <v/>
      </c>
      <c r="P14" s="30">
        <f>IF(OR(L14="",H14=""),"",L14*(H14-F14))</f>
        <v/>
      </c>
      <c r="Q14" s="30">
        <f>IF(L14="","",-L14*J14)</f>
        <v/>
      </c>
      <c r="R14" s="34">
        <f>IF(OR(A14="",F14=""),"",IF(E14&lt;=G14,"⛔ מתחת לסטופ",IF(E14&lt;=F14*(1+EntryZone),IF(AND(K14&lt;&gt;"",K14&lt;2),"🟡 באזור — R:R נמוך","🟢 באזור כניסה"),"⏳ ממתין")))</f>
        <v/>
      </c>
    </row>
    <row r="15">
      <c r="A15" s="25" t="n"/>
      <c r="B15" s="26" t="n"/>
      <c r="C15" s="26" t="n"/>
      <c r="D15" s="29" t="n"/>
      <c r="E15" s="28">
        <f>IF(A15="","",IFERROR(GOOGLEFINANCE(A15),D15))</f>
        <v/>
      </c>
      <c r="F15" s="29" t="n"/>
      <c r="G15" s="29" t="n"/>
      <c r="H15" s="29" t="n"/>
      <c r="I15" s="29" t="n"/>
      <c r="J15" s="28">
        <f>IF(OR(F15="",G15="",F15&lt;=G15),"",F15-G15)</f>
        <v/>
      </c>
      <c r="K15" s="42">
        <f>IF(OR(J15="",H15=""),"",(H15-F15)/J15)</f>
        <v/>
      </c>
      <c r="L15" s="43">
        <f>IF(J15="","",MIN(ROUNDDOWN(Equity*RiskPct/J15,0),ROUNDDOWN(Equity*MaxPos/F15,0),ROUNDDOWN(MAX(0,Cash)/F15,0)))</f>
        <v/>
      </c>
      <c r="M15" s="30">
        <f>IF(L15="","",L15*F15)</f>
        <v/>
      </c>
      <c r="N15" s="31">
        <f>IF(OR(M15="",Equity=0),"",M15/Equity)</f>
        <v/>
      </c>
      <c r="O15" s="31">
        <f>IF(OR(E15="",F15=""),"",E15/F15-1)</f>
        <v/>
      </c>
      <c r="P15" s="30">
        <f>IF(OR(L15="",H15=""),"",L15*(H15-F15))</f>
        <v/>
      </c>
      <c r="Q15" s="30">
        <f>IF(L15="","",-L15*J15)</f>
        <v/>
      </c>
      <c r="R15" s="34">
        <f>IF(OR(A15="",F15=""),"",IF(E15&lt;=G15,"⛔ מתחת לסטופ",IF(E15&lt;=F15*(1+EntryZone),IF(AND(K15&lt;&gt;"",K15&lt;2),"🟡 באזור — R:R נמוך","🟢 באזור כניסה"),"⏳ ממתין")))</f>
        <v/>
      </c>
    </row>
    <row r="16">
      <c r="A16" s="25" t="n"/>
      <c r="B16" s="26" t="n"/>
      <c r="C16" s="26" t="n"/>
      <c r="D16" s="29" t="n"/>
      <c r="E16" s="28">
        <f>IF(A16="","",IFERROR(GOOGLEFINANCE(A16),D16))</f>
        <v/>
      </c>
      <c r="F16" s="29" t="n"/>
      <c r="G16" s="29" t="n"/>
      <c r="H16" s="29" t="n"/>
      <c r="I16" s="29" t="n"/>
      <c r="J16" s="28">
        <f>IF(OR(F16="",G16="",F16&lt;=G16),"",F16-G16)</f>
        <v/>
      </c>
      <c r="K16" s="42">
        <f>IF(OR(J16="",H16=""),"",(H16-F16)/J16)</f>
        <v/>
      </c>
      <c r="L16" s="43">
        <f>IF(J16="","",MIN(ROUNDDOWN(Equity*RiskPct/J16,0),ROUNDDOWN(Equity*MaxPos/F16,0),ROUNDDOWN(MAX(0,Cash)/F16,0)))</f>
        <v/>
      </c>
      <c r="M16" s="30">
        <f>IF(L16="","",L16*F16)</f>
        <v/>
      </c>
      <c r="N16" s="31">
        <f>IF(OR(M16="",Equity=0),"",M16/Equity)</f>
        <v/>
      </c>
      <c r="O16" s="31">
        <f>IF(OR(E16="",F16=""),"",E16/F16-1)</f>
        <v/>
      </c>
      <c r="P16" s="30">
        <f>IF(OR(L16="",H16=""),"",L16*(H16-F16))</f>
        <v/>
      </c>
      <c r="Q16" s="30">
        <f>IF(L16="","",-L16*J16)</f>
        <v/>
      </c>
      <c r="R16" s="34">
        <f>IF(OR(A16="",F16=""),"",IF(E16&lt;=G16,"⛔ מתחת לסטופ",IF(E16&lt;=F16*(1+EntryZone),IF(AND(K16&lt;&gt;"",K16&lt;2),"🟡 באזור — R:R נמוך","🟢 באזור כניסה"),"⏳ ממתין")))</f>
        <v/>
      </c>
    </row>
    <row r="17">
      <c r="A17" s="25" t="n"/>
      <c r="B17" s="26" t="n"/>
      <c r="C17" s="26" t="n"/>
      <c r="D17" s="29" t="n"/>
      <c r="E17" s="28">
        <f>IF(A17="","",IFERROR(GOOGLEFINANCE(A17),D17))</f>
        <v/>
      </c>
      <c r="F17" s="29" t="n"/>
      <c r="G17" s="29" t="n"/>
      <c r="H17" s="29" t="n"/>
      <c r="I17" s="29" t="n"/>
      <c r="J17" s="28">
        <f>IF(OR(F17="",G17="",F17&lt;=G17),"",F17-G17)</f>
        <v/>
      </c>
      <c r="K17" s="42">
        <f>IF(OR(J17="",H17=""),"",(H17-F17)/J17)</f>
        <v/>
      </c>
      <c r="L17" s="43">
        <f>IF(J17="","",MIN(ROUNDDOWN(Equity*RiskPct/J17,0),ROUNDDOWN(Equity*MaxPos/F17,0),ROUNDDOWN(MAX(0,Cash)/F17,0)))</f>
        <v/>
      </c>
      <c r="M17" s="30">
        <f>IF(L17="","",L17*F17)</f>
        <v/>
      </c>
      <c r="N17" s="31">
        <f>IF(OR(M17="",Equity=0),"",M17/Equity)</f>
        <v/>
      </c>
      <c r="O17" s="31">
        <f>IF(OR(E17="",F17=""),"",E17/F17-1)</f>
        <v/>
      </c>
      <c r="P17" s="30">
        <f>IF(OR(L17="",H17=""),"",L17*(H17-F17))</f>
        <v/>
      </c>
      <c r="Q17" s="30">
        <f>IF(L17="","",-L17*J17)</f>
        <v/>
      </c>
      <c r="R17" s="34">
        <f>IF(OR(A17="",F17=""),"",IF(E17&lt;=G17,"⛔ מתחת לסטופ",IF(E17&lt;=F17*(1+EntryZone),IF(AND(K17&lt;&gt;"",K17&lt;2),"🟡 באזור — R:R נמוך","🟢 באזור כניסה"),"⏳ ממתין")))</f>
        <v/>
      </c>
    </row>
    <row r="18">
      <c r="A18" s="25" t="n"/>
      <c r="B18" s="26" t="n"/>
      <c r="C18" s="26" t="n"/>
      <c r="D18" s="29" t="n"/>
      <c r="E18" s="28">
        <f>IF(A18="","",IFERROR(GOOGLEFINANCE(A18),D18))</f>
        <v/>
      </c>
      <c r="F18" s="29" t="n"/>
      <c r="G18" s="29" t="n"/>
      <c r="H18" s="29" t="n"/>
      <c r="I18" s="29" t="n"/>
      <c r="J18" s="28">
        <f>IF(OR(F18="",G18="",F18&lt;=G18),"",F18-G18)</f>
        <v/>
      </c>
      <c r="K18" s="42">
        <f>IF(OR(J18="",H18=""),"",(H18-F18)/J18)</f>
        <v/>
      </c>
      <c r="L18" s="43">
        <f>IF(J18="","",MIN(ROUNDDOWN(Equity*RiskPct/J18,0),ROUNDDOWN(Equity*MaxPos/F18,0),ROUNDDOWN(MAX(0,Cash)/F18,0)))</f>
        <v/>
      </c>
      <c r="M18" s="30">
        <f>IF(L18="","",L18*F18)</f>
        <v/>
      </c>
      <c r="N18" s="31">
        <f>IF(OR(M18="",Equity=0),"",M18/Equity)</f>
        <v/>
      </c>
      <c r="O18" s="31">
        <f>IF(OR(E18="",F18=""),"",E18/F18-1)</f>
        <v/>
      </c>
      <c r="P18" s="30">
        <f>IF(OR(L18="",H18=""),"",L18*(H18-F18))</f>
        <v/>
      </c>
      <c r="Q18" s="30">
        <f>IF(L18="","",-L18*J18)</f>
        <v/>
      </c>
      <c r="R18" s="34">
        <f>IF(OR(A18="",F18=""),"",IF(E18&lt;=G18,"⛔ מתחת לסטופ",IF(E18&lt;=F18*(1+EntryZone),IF(AND(K18&lt;&gt;"",K18&lt;2),"🟡 באזור — R:R נמוך","🟢 באזור כניסה"),"⏳ ממתין")))</f>
        <v/>
      </c>
    </row>
    <row r="19">
      <c r="A19" s="25" t="n"/>
      <c r="B19" s="26" t="n"/>
      <c r="C19" s="26" t="n"/>
      <c r="D19" s="29" t="n"/>
      <c r="E19" s="28">
        <f>IF(A19="","",IFERROR(GOOGLEFINANCE(A19),D19))</f>
        <v/>
      </c>
      <c r="F19" s="29" t="n"/>
      <c r="G19" s="29" t="n"/>
      <c r="H19" s="29" t="n"/>
      <c r="I19" s="29" t="n"/>
      <c r="J19" s="28">
        <f>IF(OR(F19="",G19="",F19&lt;=G19),"",F19-G19)</f>
        <v/>
      </c>
      <c r="K19" s="42">
        <f>IF(OR(J19="",H19=""),"",(H19-F19)/J19)</f>
        <v/>
      </c>
      <c r="L19" s="43">
        <f>IF(J19="","",MIN(ROUNDDOWN(Equity*RiskPct/J19,0),ROUNDDOWN(Equity*MaxPos/F19,0),ROUNDDOWN(MAX(0,Cash)/F19,0)))</f>
        <v/>
      </c>
      <c r="M19" s="30">
        <f>IF(L19="","",L19*F19)</f>
        <v/>
      </c>
      <c r="N19" s="31">
        <f>IF(OR(M19="",Equity=0),"",M19/Equity)</f>
        <v/>
      </c>
      <c r="O19" s="31">
        <f>IF(OR(E19="",F19=""),"",E19/F19-1)</f>
        <v/>
      </c>
      <c r="P19" s="30">
        <f>IF(OR(L19="",H19=""),"",L19*(H19-F19))</f>
        <v/>
      </c>
      <c r="Q19" s="30">
        <f>IF(L19="","",-L19*J19)</f>
        <v/>
      </c>
      <c r="R19" s="34">
        <f>IF(OR(A19="",F19=""),"",IF(E19&lt;=G19,"⛔ מתחת לסטופ",IF(E19&lt;=F19*(1+EntryZone),IF(AND(K19&lt;&gt;"",K19&lt;2),"🟡 באזור — R:R נמוך","🟢 באזור כניסה"),"⏳ ממתין")))</f>
        <v/>
      </c>
    </row>
    <row r="20">
      <c r="A20" s="25" t="n"/>
      <c r="B20" s="26" t="n"/>
      <c r="C20" s="26" t="n"/>
      <c r="D20" s="29" t="n"/>
      <c r="E20" s="28">
        <f>IF(A20="","",IFERROR(GOOGLEFINANCE(A20),D20))</f>
        <v/>
      </c>
      <c r="F20" s="29" t="n"/>
      <c r="G20" s="29" t="n"/>
      <c r="H20" s="29" t="n"/>
      <c r="I20" s="29" t="n"/>
      <c r="J20" s="28">
        <f>IF(OR(F20="",G20="",F20&lt;=G20),"",F20-G20)</f>
        <v/>
      </c>
      <c r="K20" s="42">
        <f>IF(OR(J20="",H20=""),"",(H20-F20)/J20)</f>
        <v/>
      </c>
      <c r="L20" s="43">
        <f>IF(J20="","",MIN(ROUNDDOWN(Equity*RiskPct/J20,0),ROUNDDOWN(Equity*MaxPos/F20,0),ROUNDDOWN(MAX(0,Cash)/F20,0)))</f>
        <v/>
      </c>
      <c r="M20" s="30">
        <f>IF(L20="","",L20*F20)</f>
        <v/>
      </c>
      <c r="N20" s="31">
        <f>IF(OR(M20="",Equity=0),"",M20/Equity)</f>
        <v/>
      </c>
      <c r="O20" s="31">
        <f>IF(OR(E20="",F20=""),"",E20/F20-1)</f>
        <v/>
      </c>
      <c r="P20" s="30">
        <f>IF(OR(L20="",H20=""),"",L20*(H20-F20))</f>
        <v/>
      </c>
      <c r="Q20" s="30">
        <f>IF(L20="","",-L20*J20)</f>
        <v/>
      </c>
      <c r="R20" s="34">
        <f>IF(OR(A20="",F20=""),"",IF(E20&lt;=G20,"⛔ מתחת לסטופ",IF(E20&lt;=F20*(1+EntryZone),IF(AND(K20&lt;&gt;"",K20&lt;2),"🟡 באזור — R:R נמוך","🟢 באזור כניסה"),"⏳ ממתין")))</f>
        <v/>
      </c>
    </row>
    <row r="21">
      <c r="A21" s="25" t="n"/>
      <c r="B21" s="26" t="n"/>
      <c r="C21" s="26" t="n"/>
      <c r="D21" s="29" t="n"/>
      <c r="E21" s="28">
        <f>IF(A21="","",IFERROR(GOOGLEFINANCE(A21),D21))</f>
        <v/>
      </c>
      <c r="F21" s="29" t="n"/>
      <c r="G21" s="29" t="n"/>
      <c r="H21" s="29" t="n"/>
      <c r="I21" s="29" t="n"/>
      <c r="J21" s="28">
        <f>IF(OR(F21="",G21="",F21&lt;=G21),"",F21-G21)</f>
        <v/>
      </c>
      <c r="K21" s="42">
        <f>IF(OR(J21="",H21=""),"",(H21-F21)/J21)</f>
        <v/>
      </c>
      <c r="L21" s="43">
        <f>IF(J21="","",MIN(ROUNDDOWN(Equity*RiskPct/J21,0),ROUNDDOWN(Equity*MaxPos/F21,0),ROUNDDOWN(MAX(0,Cash)/F21,0)))</f>
        <v/>
      </c>
      <c r="M21" s="30">
        <f>IF(L21="","",L21*F21)</f>
        <v/>
      </c>
      <c r="N21" s="31">
        <f>IF(OR(M21="",Equity=0),"",M21/Equity)</f>
        <v/>
      </c>
      <c r="O21" s="31">
        <f>IF(OR(E21="",F21=""),"",E21/F21-1)</f>
        <v/>
      </c>
      <c r="P21" s="30">
        <f>IF(OR(L21="",H21=""),"",L21*(H21-F21))</f>
        <v/>
      </c>
      <c r="Q21" s="30">
        <f>IF(L21="","",-L21*J21)</f>
        <v/>
      </c>
      <c r="R21" s="34">
        <f>IF(OR(A21="",F21=""),"",IF(E21&lt;=G21,"⛔ מתחת לסטופ",IF(E21&lt;=F21*(1+EntryZone),IF(AND(K21&lt;&gt;"",K21&lt;2),"🟡 באזור — R:R נמוך","🟢 באזור כניסה"),"⏳ ממתין")))</f>
        <v/>
      </c>
    </row>
    <row r="22">
      <c r="A22" s="25" t="n"/>
      <c r="B22" s="26" t="n"/>
      <c r="C22" s="26" t="n"/>
      <c r="D22" s="29" t="n"/>
      <c r="E22" s="28">
        <f>IF(A22="","",IFERROR(GOOGLEFINANCE(A22),D22))</f>
        <v/>
      </c>
      <c r="F22" s="29" t="n"/>
      <c r="G22" s="29" t="n"/>
      <c r="H22" s="29" t="n"/>
      <c r="I22" s="29" t="n"/>
      <c r="J22" s="28">
        <f>IF(OR(F22="",G22="",F22&lt;=G22),"",F22-G22)</f>
        <v/>
      </c>
      <c r="K22" s="42">
        <f>IF(OR(J22="",H22=""),"",(H22-F22)/J22)</f>
        <v/>
      </c>
      <c r="L22" s="43">
        <f>IF(J22="","",MIN(ROUNDDOWN(Equity*RiskPct/J22,0),ROUNDDOWN(Equity*MaxPos/F22,0),ROUNDDOWN(MAX(0,Cash)/F22,0)))</f>
        <v/>
      </c>
      <c r="M22" s="30">
        <f>IF(L22="","",L22*F22)</f>
        <v/>
      </c>
      <c r="N22" s="31">
        <f>IF(OR(M22="",Equity=0),"",M22/Equity)</f>
        <v/>
      </c>
      <c r="O22" s="31">
        <f>IF(OR(E22="",F22=""),"",E22/F22-1)</f>
        <v/>
      </c>
      <c r="P22" s="30">
        <f>IF(OR(L22="",H22=""),"",L22*(H22-F22))</f>
        <v/>
      </c>
      <c r="Q22" s="30">
        <f>IF(L22="","",-L22*J22)</f>
        <v/>
      </c>
      <c r="R22" s="34">
        <f>IF(OR(A22="",F22=""),"",IF(E22&lt;=G22,"⛔ מתחת לסטופ",IF(E22&lt;=F22*(1+EntryZone),IF(AND(K22&lt;&gt;"",K22&lt;2),"🟡 באזור — R:R נמוך","🟢 באזור כניסה"),"⏳ ממתין")))</f>
        <v/>
      </c>
    </row>
    <row r="23">
      <c r="A23" s="25" t="n"/>
      <c r="B23" s="26" t="n"/>
      <c r="C23" s="26" t="n"/>
      <c r="D23" s="29" t="n"/>
      <c r="E23" s="28">
        <f>IF(A23="","",IFERROR(GOOGLEFINANCE(A23),D23))</f>
        <v/>
      </c>
      <c r="F23" s="29" t="n"/>
      <c r="G23" s="29" t="n"/>
      <c r="H23" s="29" t="n"/>
      <c r="I23" s="29" t="n"/>
      <c r="J23" s="28">
        <f>IF(OR(F23="",G23="",F23&lt;=G23),"",F23-G23)</f>
        <v/>
      </c>
      <c r="K23" s="42">
        <f>IF(OR(J23="",H23=""),"",(H23-F23)/J23)</f>
        <v/>
      </c>
      <c r="L23" s="43">
        <f>IF(J23="","",MIN(ROUNDDOWN(Equity*RiskPct/J23,0),ROUNDDOWN(Equity*MaxPos/F23,0),ROUNDDOWN(MAX(0,Cash)/F23,0)))</f>
        <v/>
      </c>
      <c r="M23" s="30">
        <f>IF(L23="","",L23*F23)</f>
        <v/>
      </c>
      <c r="N23" s="31">
        <f>IF(OR(M23="",Equity=0),"",M23/Equity)</f>
        <v/>
      </c>
      <c r="O23" s="31">
        <f>IF(OR(E23="",F23=""),"",E23/F23-1)</f>
        <v/>
      </c>
      <c r="P23" s="30">
        <f>IF(OR(L23="",H23=""),"",L23*(H23-F23))</f>
        <v/>
      </c>
      <c r="Q23" s="30">
        <f>IF(L23="","",-L23*J23)</f>
        <v/>
      </c>
      <c r="R23" s="34">
        <f>IF(OR(A23="",F23=""),"",IF(E23&lt;=G23,"⛔ מתחת לסטופ",IF(E23&lt;=F23*(1+EntryZone),IF(AND(K23&lt;&gt;"",K23&lt;2),"🟡 באזור — R:R נמוך","🟢 באזור כניסה"),"⏳ ממתין")))</f>
        <v/>
      </c>
    </row>
    <row r="24">
      <c r="A24" s="25" t="n"/>
      <c r="B24" s="26" t="n"/>
      <c r="C24" s="26" t="n"/>
      <c r="D24" s="29" t="n"/>
      <c r="E24" s="28">
        <f>IF(A24="","",IFERROR(GOOGLEFINANCE(A24),D24))</f>
        <v/>
      </c>
      <c r="F24" s="29" t="n"/>
      <c r="G24" s="29" t="n"/>
      <c r="H24" s="29" t="n"/>
      <c r="I24" s="29" t="n"/>
      <c r="J24" s="28">
        <f>IF(OR(F24="",G24="",F24&lt;=G24),"",F24-G24)</f>
        <v/>
      </c>
      <c r="K24" s="42">
        <f>IF(OR(J24="",H24=""),"",(H24-F24)/J24)</f>
        <v/>
      </c>
      <c r="L24" s="43">
        <f>IF(J24="","",MIN(ROUNDDOWN(Equity*RiskPct/J24,0),ROUNDDOWN(Equity*MaxPos/F24,0),ROUNDDOWN(MAX(0,Cash)/F24,0)))</f>
        <v/>
      </c>
      <c r="M24" s="30">
        <f>IF(L24="","",L24*F24)</f>
        <v/>
      </c>
      <c r="N24" s="31">
        <f>IF(OR(M24="",Equity=0),"",M24/Equity)</f>
        <v/>
      </c>
      <c r="O24" s="31">
        <f>IF(OR(E24="",F24=""),"",E24/F24-1)</f>
        <v/>
      </c>
      <c r="P24" s="30">
        <f>IF(OR(L24="",H24=""),"",L24*(H24-F24))</f>
        <v/>
      </c>
      <c r="Q24" s="30">
        <f>IF(L24="","",-L24*J24)</f>
        <v/>
      </c>
      <c r="R24" s="34">
        <f>IF(OR(A24="",F24=""),"",IF(E24&lt;=G24,"⛔ מתחת לסטופ",IF(E24&lt;=F24*(1+EntryZone),IF(AND(K24&lt;&gt;"",K24&lt;2),"🟡 באזור — R:R נמוך","🟢 באזור כניסה"),"⏳ ממתין")))</f>
        <v/>
      </c>
    </row>
    <row r="25">
      <c r="A25" s="25" t="n"/>
      <c r="B25" s="26" t="n"/>
      <c r="C25" s="26" t="n"/>
      <c r="D25" s="29" t="n"/>
      <c r="E25" s="28">
        <f>IF(A25="","",IFERROR(GOOGLEFINANCE(A25),D25))</f>
        <v/>
      </c>
      <c r="F25" s="29" t="n"/>
      <c r="G25" s="29" t="n"/>
      <c r="H25" s="29" t="n"/>
      <c r="I25" s="29" t="n"/>
      <c r="J25" s="28">
        <f>IF(OR(F25="",G25="",F25&lt;=G25),"",F25-G25)</f>
        <v/>
      </c>
      <c r="K25" s="42">
        <f>IF(OR(J25="",H25=""),"",(H25-F25)/J25)</f>
        <v/>
      </c>
      <c r="L25" s="43">
        <f>IF(J25="","",MIN(ROUNDDOWN(Equity*RiskPct/J25,0),ROUNDDOWN(Equity*MaxPos/F25,0),ROUNDDOWN(MAX(0,Cash)/F25,0)))</f>
        <v/>
      </c>
      <c r="M25" s="30">
        <f>IF(L25="","",L25*F25)</f>
        <v/>
      </c>
      <c r="N25" s="31">
        <f>IF(OR(M25="",Equity=0),"",M25/Equity)</f>
        <v/>
      </c>
      <c r="O25" s="31">
        <f>IF(OR(E25="",F25=""),"",E25/F25-1)</f>
        <v/>
      </c>
      <c r="P25" s="30">
        <f>IF(OR(L25="",H25=""),"",L25*(H25-F25))</f>
        <v/>
      </c>
      <c r="Q25" s="30">
        <f>IF(L25="","",-L25*J25)</f>
        <v/>
      </c>
      <c r="R25" s="34">
        <f>IF(OR(A25="",F25=""),"",IF(E25&lt;=G25,"⛔ מתחת לסטופ",IF(E25&lt;=F25*(1+EntryZone),IF(AND(K25&lt;&gt;"",K25&lt;2),"🟡 באזור — R:R נמוך","🟢 באזור כניסה"),"⏳ ממתין")))</f>
        <v/>
      </c>
    </row>
    <row r="26">
      <c r="A26" s="25" t="n"/>
      <c r="B26" s="26" t="n"/>
      <c r="C26" s="26" t="n"/>
      <c r="D26" s="29" t="n"/>
      <c r="E26" s="28">
        <f>IF(A26="","",IFERROR(GOOGLEFINANCE(A26),D26))</f>
        <v/>
      </c>
      <c r="F26" s="29" t="n"/>
      <c r="G26" s="29" t="n"/>
      <c r="H26" s="29" t="n"/>
      <c r="I26" s="29" t="n"/>
      <c r="J26" s="28">
        <f>IF(OR(F26="",G26="",F26&lt;=G26),"",F26-G26)</f>
        <v/>
      </c>
      <c r="K26" s="42">
        <f>IF(OR(J26="",H26=""),"",(H26-F26)/J26)</f>
        <v/>
      </c>
      <c r="L26" s="43">
        <f>IF(J26="","",MIN(ROUNDDOWN(Equity*RiskPct/J26,0),ROUNDDOWN(Equity*MaxPos/F26,0),ROUNDDOWN(MAX(0,Cash)/F26,0)))</f>
        <v/>
      </c>
      <c r="M26" s="30">
        <f>IF(L26="","",L26*F26)</f>
        <v/>
      </c>
      <c r="N26" s="31">
        <f>IF(OR(M26="",Equity=0),"",M26/Equity)</f>
        <v/>
      </c>
      <c r="O26" s="31">
        <f>IF(OR(E26="",F26=""),"",E26/F26-1)</f>
        <v/>
      </c>
      <c r="P26" s="30">
        <f>IF(OR(L26="",H26=""),"",L26*(H26-F26))</f>
        <v/>
      </c>
      <c r="Q26" s="30">
        <f>IF(L26="","",-L26*J26)</f>
        <v/>
      </c>
      <c r="R26" s="34">
        <f>IF(OR(A26="",F26=""),"",IF(E26&lt;=G26,"⛔ מתחת לסטופ",IF(E26&lt;=F26*(1+EntryZone),IF(AND(K26&lt;&gt;"",K26&lt;2),"🟡 באזור — R:R נמוך","🟢 באזור כניסה"),"⏳ ממתין")))</f>
        <v/>
      </c>
    </row>
    <row r="27">
      <c r="A27" s="25" t="n"/>
      <c r="B27" s="26" t="n"/>
      <c r="C27" s="26" t="n"/>
      <c r="D27" s="29" t="n"/>
      <c r="E27" s="28">
        <f>IF(A27="","",IFERROR(GOOGLEFINANCE(A27),D27))</f>
        <v/>
      </c>
      <c r="F27" s="29" t="n"/>
      <c r="G27" s="29" t="n"/>
      <c r="H27" s="29" t="n"/>
      <c r="I27" s="29" t="n"/>
      <c r="J27" s="28">
        <f>IF(OR(F27="",G27="",F27&lt;=G27),"",F27-G27)</f>
        <v/>
      </c>
      <c r="K27" s="42">
        <f>IF(OR(J27="",H27=""),"",(H27-F27)/J27)</f>
        <v/>
      </c>
      <c r="L27" s="43">
        <f>IF(J27="","",MIN(ROUNDDOWN(Equity*RiskPct/J27,0),ROUNDDOWN(Equity*MaxPos/F27,0),ROUNDDOWN(MAX(0,Cash)/F27,0)))</f>
        <v/>
      </c>
      <c r="M27" s="30">
        <f>IF(L27="","",L27*F27)</f>
        <v/>
      </c>
      <c r="N27" s="31">
        <f>IF(OR(M27="",Equity=0),"",M27/Equity)</f>
        <v/>
      </c>
      <c r="O27" s="31">
        <f>IF(OR(E27="",F27=""),"",E27/F27-1)</f>
        <v/>
      </c>
      <c r="P27" s="30">
        <f>IF(OR(L27="",H27=""),"",L27*(H27-F27))</f>
        <v/>
      </c>
      <c r="Q27" s="30">
        <f>IF(L27="","",-L27*J27)</f>
        <v/>
      </c>
      <c r="R27" s="34">
        <f>IF(OR(A27="",F27=""),"",IF(E27&lt;=G27,"⛔ מתחת לסטופ",IF(E27&lt;=F27*(1+EntryZone),IF(AND(K27&lt;&gt;"",K27&lt;2),"🟡 באזור — R:R נמוך","🟢 באזור כניסה"),"⏳ ממתין")))</f>
        <v/>
      </c>
    </row>
    <row r="28">
      <c r="A28" s="25" t="n"/>
      <c r="B28" s="26" t="n"/>
      <c r="C28" s="26" t="n"/>
      <c r="D28" s="29" t="n"/>
      <c r="E28" s="28">
        <f>IF(A28="","",IFERROR(GOOGLEFINANCE(A28),D28))</f>
        <v/>
      </c>
      <c r="F28" s="29" t="n"/>
      <c r="G28" s="29" t="n"/>
      <c r="H28" s="29" t="n"/>
      <c r="I28" s="29" t="n"/>
      <c r="J28" s="28">
        <f>IF(OR(F28="",G28="",F28&lt;=G28),"",F28-G28)</f>
        <v/>
      </c>
      <c r="K28" s="42">
        <f>IF(OR(J28="",H28=""),"",(H28-F28)/J28)</f>
        <v/>
      </c>
      <c r="L28" s="43">
        <f>IF(J28="","",MIN(ROUNDDOWN(Equity*RiskPct/J28,0),ROUNDDOWN(Equity*MaxPos/F28,0),ROUNDDOWN(MAX(0,Cash)/F28,0)))</f>
        <v/>
      </c>
      <c r="M28" s="30">
        <f>IF(L28="","",L28*F28)</f>
        <v/>
      </c>
      <c r="N28" s="31">
        <f>IF(OR(M28="",Equity=0),"",M28/Equity)</f>
        <v/>
      </c>
      <c r="O28" s="31">
        <f>IF(OR(E28="",F28=""),"",E28/F28-1)</f>
        <v/>
      </c>
      <c r="P28" s="30">
        <f>IF(OR(L28="",H28=""),"",L28*(H28-F28))</f>
        <v/>
      </c>
      <c r="Q28" s="30">
        <f>IF(L28="","",-L28*J28)</f>
        <v/>
      </c>
      <c r="R28" s="34">
        <f>IF(OR(A28="",F28=""),"",IF(E28&lt;=G28,"⛔ מתחת לסטופ",IF(E28&lt;=F28*(1+EntryZone),IF(AND(K28&lt;&gt;"",K28&lt;2),"🟡 באזור — R:R נמוך","🟢 באזור כניסה"),"⏳ ממתין")))</f>
        <v/>
      </c>
    </row>
    <row r="29">
      <c r="A29" s="25" t="n"/>
      <c r="B29" s="26" t="n"/>
      <c r="C29" s="26" t="n"/>
      <c r="D29" s="29" t="n"/>
      <c r="E29" s="28">
        <f>IF(A29="","",IFERROR(GOOGLEFINANCE(A29),D29))</f>
        <v/>
      </c>
      <c r="F29" s="29" t="n"/>
      <c r="G29" s="29" t="n"/>
      <c r="H29" s="29" t="n"/>
      <c r="I29" s="29" t="n"/>
      <c r="J29" s="28">
        <f>IF(OR(F29="",G29="",F29&lt;=G29),"",F29-G29)</f>
        <v/>
      </c>
      <c r="K29" s="42">
        <f>IF(OR(J29="",H29=""),"",(H29-F29)/J29)</f>
        <v/>
      </c>
      <c r="L29" s="43">
        <f>IF(J29="","",MIN(ROUNDDOWN(Equity*RiskPct/J29,0),ROUNDDOWN(Equity*MaxPos/F29,0),ROUNDDOWN(MAX(0,Cash)/F29,0)))</f>
        <v/>
      </c>
      <c r="M29" s="30">
        <f>IF(L29="","",L29*F29)</f>
        <v/>
      </c>
      <c r="N29" s="31">
        <f>IF(OR(M29="",Equity=0),"",M29/Equity)</f>
        <v/>
      </c>
      <c r="O29" s="31">
        <f>IF(OR(E29="",F29=""),"",E29/F29-1)</f>
        <v/>
      </c>
      <c r="P29" s="30">
        <f>IF(OR(L29="",H29=""),"",L29*(H29-F29))</f>
        <v/>
      </c>
      <c r="Q29" s="30">
        <f>IF(L29="","",-L29*J29)</f>
        <v/>
      </c>
      <c r="R29" s="34">
        <f>IF(OR(A29="",F29=""),"",IF(E29&lt;=G29,"⛔ מתחת לסטופ",IF(E29&lt;=F29*(1+EntryZone),IF(AND(K29&lt;&gt;"",K29&lt;2),"🟡 באזור — R:R נמוך","🟢 באזור כניסה"),"⏳ ממתין")))</f>
        <v/>
      </c>
    </row>
    <row r="30">
      <c r="A30" s="25" t="n"/>
      <c r="B30" s="26" t="n"/>
      <c r="C30" s="26" t="n"/>
      <c r="D30" s="29" t="n"/>
      <c r="E30" s="28">
        <f>IF(A30="","",IFERROR(GOOGLEFINANCE(A30),D30))</f>
        <v/>
      </c>
      <c r="F30" s="29" t="n"/>
      <c r="G30" s="29" t="n"/>
      <c r="H30" s="29" t="n"/>
      <c r="I30" s="29" t="n"/>
      <c r="J30" s="28">
        <f>IF(OR(F30="",G30="",F30&lt;=G30),"",F30-G30)</f>
        <v/>
      </c>
      <c r="K30" s="42">
        <f>IF(OR(J30="",H30=""),"",(H30-F30)/J30)</f>
        <v/>
      </c>
      <c r="L30" s="43">
        <f>IF(J30="","",MIN(ROUNDDOWN(Equity*RiskPct/J30,0),ROUNDDOWN(Equity*MaxPos/F30,0),ROUNDDOWN(MAX(0,Cash)/F30,0)))</f>
        <v/>
      </c>
      <c r="M30" s="30">
        <f>IF(L30="","",L30*F30)</f>
        <v/>
      </c>
      <c r="N30" s="31">
        <f>IF(OR(M30="",Equity=0),"",M30/Equity)</f>
        <v/>
      </c>
      <c r="O30" s="31">
        <f>IF(OR(E30="",F30=""),"",E30/F30-1)</f>
        <v/>
      </c>
      <c r="P30" s="30">
        <f>IF(OR(L30="",H30=""),"",L30*(H30-F30))</f>
        <v/>
      </c>
      <c r="Q30" s="30">
        <f>IF(L30="","",-L30*J30)</f>
        <v/>
      </c>
      <c r="R30" s="34">
        <f>IF(OR(A30="",F30=""),"",IF(E30&lt;=G30,"⛔ מתחת לסטופ",IF(E30&lt;=F30*(1+EntryZone),IF(AND(K30&lt;&gt;"",K30&lt;2),"🟡 באזור — R:R נמוך","🟢 באזור כניסה"),"⏳ ממתין")))</f>
        <v/>
      </c>
    </row>
    <row r="31">
      <c r="A31" s="25" t="n"/>
      <c r="B31" s="26" t="n"/>
      <c r="C31" s="26" t="n"/>
      <c r="D31" s="29" t="n"/>
      <c r="E31" s="28">
        <f>IF(A31="","",IFERROR(GOOGLEFINANCE(A31),D31))</f>
        <v/>
      </c>
      <c r="F31" s="29" t="n"/>
      <c r="G31" s="29" t="n"/>
      <c r="H31" s="29" t="n"/>
      <c r="I31" s="29" t="n"/>
      <c r="J31" s="28">
        <f>IF(OR(F31="",G31="",F31&lt;=G31),"",F31-G31)</f>
        <v/>
      </c>
      <c r="K31" s="42">
        <f>IF(OR(J31="",H31=""),"",(H31-F31)/J31)</f>
        <v/>
      </c>
      <c r="L31" s="43">
        <f>IF(J31="","",MIN(ROUNDDOWN(Equity*RiskPct/J31,0),ROUNDDOWN(Equity*MaxPos/F31,0),ROUNDDOWN(MAX(0,Cash)/F31,0)))</f>
        <v/>
      </c>
      <c r="M31" s="30">
        <f>IF(L31="","",L31*F31)</f>
        <v/>
      </c>
      <c r="N31" s="31">
        <f>IF(OR(M31="",Equity=0),"",M31/Equity)</f>
        <v/>
      </c>
      <c r="O31" s="31">
        <f>IF(OR(E31="",F31=""),"",E31/F31-1)</f>
        <v/>
      </c>
      <c r="P31" s="30">
        <f>IF(OR(L31="",H31=""),"",L31*(H31-F31))</f>
        <v/>
      </c>
      <c r="Q31" s="30">
        <f>IF(L31="","",-L31*J31)</f>
        <v/>
      </c>
      <c r="R31" s="34">
        <f>IF(OR(A31="",F31=""),"",IF(E31&lt;=G31,"⛔ מתחת לסטופ",IF(E31&lt;=F31*(1+EntryZone),IF(AND(K31&lt;&gt;"",K31&lt;2),"🟡 באזור — R:R נמוך","🟢 באזור כניסה"),"⏳ ממתין")))</f>
        <v/>
      </c>
    </row>
    <row r="32">
      <c r="A32" s="25" t="n"/>
      <c r="B32" s="26" t="n"/>
      <c r="C32" s="26" t="n"/>
      <c r="D32" s="29" t="n"/>
      <c r="E32" s="28">
        <f>IF(A32="","",IFERROR(GOOGLEFINANCE(A32),D32))</f>
        <v/>
      </c>
      <c r="F32" s="29" t="n"/>
      <c r="G32" s="29" t="n"/>
      <c r="H32" s="29" t="n"/>
      <c r="I32" s="29" t="n"/>
      <c r="J32" s="28">
        <f>IF(OR(F32="",G32="",F32&lt;=G32),"",F32-G32)</f>
        <v/>
      </c>
      <c r="K32" s="42">
        <f>IF(OR(J32="",H32=""),"",(H32-F32)/J32)</f>
        <v/>
      </c>
      <c r="L32" s="43">
        <f>IF(J32="","",MIN(ROUNDDOWN(Equity*RiskPct/J32,0),ROUNDDOWN(Equity*MaxPos/F32,0),ROUNDDOWN(MAX(0,Cash)/F32,0)))</f>
        <v/>
      </c>
      <c r="M32" s="30">
        <f>IF(L32="","",L32*F32)</f>
        <v/>
      </c>
      <c r="N32" s="31">
        <f>IF(OR(M32="",Equity=0),"",M32/Equity)</f>
        <v/>
      </c>
      <c r="O32" s="31">
        <f>IF(OR(E32="",F32=""),"",E32/F32-1)</f>
        <v/>
      </c>
      <c r="P32" s="30">
        <f>IF(OR(L32="",H32=""),"",L32*(H32-F32))</f>
        <v/>
      </c>
      <c r="Q32" s="30">
        <f>IF(L32="","",-L32*J32)</f>
        <v/>
      </c>
      <c r="R32" s="34">
        <f>IF(OR(A32="",F32=""),"",IF(E32&lt;=G32,"⛔ מתחת לסטופ",IF(E32&lt;=F32*(1+EntryZone),IF(AND(K32&lt;&gt;"",K32&lt;2),"🟡 באזור — R:R נמוך","🟢 באזור כניסה"),"⏳ ממתין")))</f>
        <v/>
      </c>
    </row>
    <row r="33">
      <c r="A33" s="25" t="n"/>
      <c r="B33" s="26" t="n"/>
      <c r="C33" s="26" t="n"/>
      <c r="D33" s="29" t="n"/>
      <c r="E33" s="28">
        <f>IF(A33="","",IFERROR(GOOGLEFINANCE(A33),D33))</f>
        <v/>
      </c>
      <c r="F33" s="29" t="n"/>
      <c r="G33" s="29" t="n"/>
      <c r="H33" s="29" t="n"/>
      <c r="I33" s="29" t="n"/>
      <c r="J33" s="28">
        <f>IF(OR(F33="",G33="",F33&lt;=G33),"",F33-G33)</f>
        <v/>
      </c>
      <c r="K33" s="42">
        <f>IF(OR(J33="",H33=""),"",(H33-F33)/J33)</f>
        <v/>
      </c>
      <c r="L33" s="43">
        <f>IF(J33="","",MIN(ROUNDDOWN(Equity*RiskPct/J33,0),ROUNDDOWN(Equity*MaxPos/F33,0),ROUNDDOWN(MAX(0,Cash)/F33,0)))</f>
        <v/>
      </c>
      <c r="M33" s="30">
        <f>IF(L33="","",L33*F33)</f>
        <v/>
      </c>
      <c r="N33" s="31">
        <f>IF(OR(M33="",Equity=0),"",M33/Equity)</f>
        <v/>
      </c>
      <c r="O33" s="31">
        <f>IF(OR(E33="",F33=""),"",E33/F33-1)</f>
        <v/>
      </c>
      <c r="P33" s="30">
        <f>IF(OR(L33="",H33=""),"",L33*(H33-F33))</f>
        <v/>
      </c>
      <c r="Q33" s="30">
        <f>IF(L33="","",-L33*J33)</f>
        <v/>
      </c>
      <c r="R33" s="34">
        <f>IF(OR(A33="",F33=""),"",IF(E33&lt;=G33,"⛔ מתחת לסטופ",IF(E33&lt;=F33*(1+EntryZone),IF(AND(K33&lt;&gt;"",K33&lt;2),"🟡 באזור — R:R נמוך","🟢 באזור כניסה"),"⏳ ממתין")))</f>
        <v/>
      </c>
    </row>
    <row r="34">
      <c r="A34" s="25" t="n"/>
      <c r="B34" s="26" t="n"/>
      <c r="C34" s="26" t="n"/>
      <c r="D34" s="29" t="n"/>
      <c r="E34" s="28">
        <f>IF(A34="","",IFERROR(GOOGLEFINANCE(A34),D34))</f>
        <v/>
      </c>
      <c r="F34" s="29" t="n"/>
      <c r="G34" s="29" t="n"/>
      <c r="H34" s="29" t="n"/>
      <c r="I34" s="29" t="n"/>
      <c r="J34" s="28">
        <f>IF(OR(F34="",G34="",F34&lt;=G34),"",F34-G34)</f>
        <v/>
      </c>
      <c r="K34" s="42">
        <f>IF(OR(J34="",H34=""),"",(H34-F34)/J34)</f>
        <v/>
      </c>
      <c r="L34" s="43">
        <f>IF(J34="","",MIN(ROUNDDOWN(Equity*RiskPct/J34,0),ROUNDDOWN(Equity*MaxPos/F34,0),ROUNDDOWN(MAX(0,Cash)/F34,0)))</f>
        <v/>
      </c>
      <c r="M34" s="30">
        <f>IF(L34="","",L34*F34)</f>
        <v/>
      </c>
      <c r="N34" s="31">
        <f>IF(OR(M34="",Equity=0),"",M34/Equity)</f>
        <v/>
      </c>
      <c r="O34" s="31">
        <f>IF(OR(E34="",F34=""),"",E34/F34-1)</f>
        <v/>
      </c>
      <c r="P34" s="30">
        <f>IF(OR(L34="",H34=""),"",L34*(H34-F34))</f>
        <v/>
      </c>
      <c r="Q34" s="30">
        <f>IF(L34="","",-L34*J34)</f>
        <v/>
      </c>
      <c r="R34" s="34">
        <f>IF(OR(A34="",F34=""),"",IF(E34&lt;=G34,"⛔ מתחת לסטופ",IF(E34&lt;=F34*(1+EntryZone),IF(AND(K34&lt;&gt;"",K34&lt;2),"🟡 באזור — R:R נמוך","🟢 באזור כניסה"),"⏳ ממתין")))</f>
        <v/>
      </c>
    </row>
    <row r="35">
      <c r="A35" s="25" t="n"/>
      <c r="B35" s="26" t="n"/>
      <c r="C35" s="26" t="n"/>
      <c r="D35" s="29" t="n"/>
      <c r="E35" s="28">
        <f>IF(A35="","",IFERROR(GOOGLEFINANCE(A35),D35))</f>
        <v/>
      </c>
      <c r="F35" s="29" t="n"/>
      <c r="G35" s="29" t="n"/>
      <c r="H35" s="29" t="n"/>
      <c r="I35" s="29" t="n"/>
      <c r="J35" s="28">
        <f>IF(OR(F35="",G35="",F35&lt;=G35),"",F35-G35)</f>
        <v/>
      </c>
      <c r="K35" s="42">
        <f>IF(OR(J35="",H35=""),"",(H35-F35)/J35)</f>
        <v/>
      </c>
      <c r="L35" s="43">
        <f>IF(J35="","",MIN(ROUNDDOWN(Equity*RiskPct/J35,0),ROUNDDOWN(Equity*MaxPos/F35,0),ROUNDDOWN(MAX(0,Cash)/F35,0)))</f>
        <v/>
      </c>
      <c r="M35" s="30">
        <f>IF(L35="","",L35*F35)</f>
        <v/>
      </c>
      <c r="N35" s="31">
        <f>IF(OR(M35="",Equity=0),"",M35/Equity)</f>
        <v/>
      </c>
      <c r="O35" s="31">
        <f>IF(OR(E35="",F35=""),"",E35/F35-1)</f>
        <v/>
      </c>
      <c r="P35" s="30">
        <f>IF(OR(L35="",H35=""),"",L35*(H35-F35))</f>
        <v/>
      </c>
      <c r="Q35" s="30">
        <f>IF(L35="","",-L35*J35)</f>
        <v/>
      </c>
      <c r="R35" s="34">
        <f>IF(OR(A35="",F35=""),"",IF(E35&lt;=G35,"⛔ מתחת לסטופ",IF(E35&lt;=F35*(1+EntryZone),IF(AND(K35&lt;&gt;"",K35&lt;2),"🟡 באזור — R:R נמוך","🟢 באזור כניסה"),"⏳ ממתין")))</f>
        <v/>
      </c>
    </row>
    <row r="36">
      <c r="A36" s="25" t="n"/>
      <c r="B36" s="26" t="n"/>
      <c r="C36" s="26" t="n"/>
      <c r="D36" s="29" t="n"/>
      <c r="E36" s="28">
        <f>IF(A36="","",IFERROR(GOOGLEFINANCE(A36),D36))</f>
        <v/>
      </c>
      <c r="F36" s="29" t="n"/>
      <c r="G36" s="29" t="n"/>
      <c r="H36" s="29" t="n"/>
      <c r="I36" s="29" t="n"/>
      <c r="J36" s="28">
        <f>IF(OR(F36="",G36="",F36&lt;=G36),"",F36-G36)</f>
        <v/>
      </c>
      <c r="K36" s="42">
        <f>IF(OR(J36="",H36=""),"",(H36-F36)/J36)</f>
        <v/>
      </c>
      <c r="L36" s="43">
        <f>IF(J36="","",MIN(ROUNDDOWN(Equity*RiskPct/J36,0),ROUNDDOWN(Equity*MaxPos/F36,0),ROUNDDOWN(MAX(0,Cash)/F36,0)))</f>
        <v/>
      </c>
      <c r="M36" s="30">
        <f>IF(L36="","",L36*F36)</f>
        <v/>
      </c>
      <c r="N36" s="31">
        <f>IF(OR(M36="",Equity=0),"",M36/Equity)</f>
        <v/>
      </c>
      <c r="O36" s="31">
        <f>IF(OR(E36="",F36=""),"",E36/F36-1)</f>
        <v/>
      </c>
      <c r="P36" s="30">
        <f>IF(OR(L36="",H36=""),"",L36*(H36-F36))</f>
        <v/>
      </c>
      <c r="Q36" s="30">
        <f>IF(L36="","",-L36*J36)</f>
        <v/>
      </c>
      <c r="R36" s="34">
        <f>IF(OR(A36="",F36=""),"",IF(E36&lt;=G36,"⛔ מתחת לסטופ",IF(E36&lt;=F36*(1+EntryZone),IF(AND(K36&lt;&gt;"",K36&lt;2),"🟡 באזור — R:R נמוך","🟢 באזור כניסה"),"⏳ ממתין")))</f>
        <v/>
      </c>
    </row>
    <row r="37">
      <c r="A37" s="25" t="n"/>
      <c r="B37" s="26" t="n"/>
      <c r="C37" s="26" t="n"/>
      <c r="D37" s="29" t="n"/>
      <c r="E37" s="28">
        <f>IF(A37="","",IFERROR(GOOGLEFINANCE(A37),D37))</f>
        <v/>
      </c>
      <c r="F37" s="29" t="n"/>
      <c r="G37" s="29" t="n"/>
      <c r="H37" s="29" t="n"/>
      <c r="I37" s="29" t="n"/>
      <c r="J37" s="28">
        <f>IF(OR(F37="",G37="",F37&lt;=G37),"",F37-G37)</f>
        <v/>
      </c>
      <c r="K37" s="42">
        <f>IF(OR(J37="",H37=""),"",(H37-F37)/J37)</f>
        <v/>
      </c>
      <c r="L37" s="43">
        <f>IF(J37="","",MIN(ROUNDDOWN(Equity*RiskPct/J37,0),ROUNDDOWN(Equity*MaxPos/F37,0),ROUNDDOWN(MAX(0,Cash)/F37,0)))</f>
        <v/>
      </c>
      <c r="M37" s="30">
        <f>IF(L37="","",L37*F37)</f>
        <v/>
      </c>
      <c r="N37" s="31">
        <f>IF(OR(M37="",Equity=0),"",M37/Equity)</f>
        <v/>
      </c>
      <c r="O37" s="31">
        <f>IF(OR(E37="",F37=""),"",E37/F37-1)</f>
        <v/>
      </c>
      <c r="P37" s="30">
        <f>IF(OR(L37="",H37=""),"",L37*(H37-F37))</f>
        <v/>
      </c>
      <c r="Q37" s="30">
        <f>IF(L37="","",-L37*J37)</f>
        <v/>
      </c>
      <c r="R37" s="34">
        <f>IF(OR(A37="",F37=""),"",IF(E37&lt;=G37,"⛔ מתחת לסטופ",IF(E37&lt;=F37*(1+EntryZone),IF(AND(K37&lt;&gt;"",K37&lt;2),"🟡 באזור — R:R נמוך","🟢 באזור כניסה"),"⏳ ממתין")))</f>
        <v/>
      </c>
    </row>
    <row r="38">
      <c r="A38" s="25" t="n"/>
      <c r="B38" s="26" t="n"/>
      <c r="C38" s="26" t="n"/>
      <c r="D38" s="29" t="n"/>
      <c r="E38" s="28">
        <f>IF(A38="","",IFERROR(GOOGLEFINANCE(A38),D38))</f>
        <v/>
      </c>
      <c r="F38" s="29" t="n"/>
      <c r="G38" s="29" t="n"/>
      <c r="H38" s="29" t="n"/>
      <c r="I38" s="29" t="n"/>
      <c r="J38" s="28">
        <f>IF(OR(F38="",G38="",F38&lt;=G38),"",F38-G38)</f>
        <v/>
      </c>
      <c r="K38" s="42">
        <f>IF(OR(J38="",H38=""),"",(H38-F38)/J38)</f>
        <v/>
      </c>
      <c r="L38" s="43">
        <f>IF(J38="","",MIN(ROUNDDOWN(Equity*RiskPct/J38,0),ROUNDDOWN(Equity*MaxPos/F38,0),ROUNDDOWN(MAX(0,Cash)/F38,0)))</f>
        <v/>
      </c>
      <c r="M38" s="30">
        <f>IF(L38="","",L38*F38)</f>
        <v/>
      </c>
      <c r="N38" s="31">
        <f>IF(OR(M38="",Equity=0),"",M38/Equity)</f>
        <v/>
      </c>
      <c r="O38" s="31">
        <f>IF(OR(E38="",F38=""),"",E38/F38-1)</f>
        <v/>
      </c>
      <c r="P38" s="30">
        <f>IF(OR(L38="",H38=""),"",L38*(H38-F38))</f>
        <v/>
      </c>
      <c r="Q38" s="30">
        <f>IF(L38="","",-L38*J38)</f>
        <v/>
      </c>
      <c r="R38" s="34">
        <f>IF(OR(A38="",F38=""),"",IF(E38&lt;=G38,"⛔ מתחת לסטופ",IF(E38&lt;=F38*(1+EntryZone),IF(AND(K38&lt;&gt;"",K38&lt;2),"🟡 באזור — R:R נמוך","🟢 באזור כניסה"),"⏳ ממתין")))</f>
        <v/>
      </c>
    </row>
    <row r="39">
      <c r="A39" s="25" t="n"/>
      <c r="B39" s="26" t="n"/>
      <c r="C39" s="26" t="n"/>
      <c r="D39" s="29" t="n"/>
      <c r="E39" s="28">
        <f>IF(A39="","",IFERROR(GOOGLEFINANCE(A39),D39))</f>
        <v/>
      </c>
      <c r="F39" s="29" t="n"/>
      <c r="G39" s="29" t="n"/>
      <c r="H39" s="29" t="n"/>
      <c r="I39" s="29" t="n"/>
      <c r="J39" s="28">
        <f>IF(OR(F39="",G39="",F39&lt;=G39),"",F39-G39)</f>
        <v/>
      </c>
      <c r="K39" s="42">
        <f>IF(OR(J39="",H39=""),"",(H39-F39)/J39)</f>
        <v/>
      </c>
      <c r="L39" s="43">
        <f>IF(J39="","",MIN(ROUNDDOWN(Equity*RiskPct/J39,0),ROUNDDOWN(Equity*MaxPos/F39,0),ROUNDDOWN(MAX(0,Cash)/F39,0)))</f>
        <v/>
      </c>
      <c r="M39" s="30">
        <f>IF(L39="","",L39*F39)</f>
        <v/>
      </c>
      <c r="N39" s="31">
        <f>IF(OR(M39="",Equity=0),"",M39/Equity)</f>
        <v/>
      </c>
      <c r="O39" s="31">
        <f>IF(OR(E39="",F39=""),"",E39/F39-1)</f>
        <v/>
      </c>
      <c r="P39" s="30">
        <f>IF(OR(L39="",H39=""),"",L39*(H39-F39))</f>
        <v/>
      </c>
      <c r="Q39" s="30">
        <f>IF(L39="","",-L39*J39)</f>
        <v/>
      </c>
      <c r="R39" s="34">
        <f>IF(OR(A39="",F39=""),"",IF(E39&lt;=G39,"⛔ מתחת לסטופ",IF(E39&lt;=F39*(1+EntryZone),IF(AND(K39&lt;&gt;"",K39&lt;2),"🟡 באזור — R:R נמוך","🟢 באזור כניסה"),"⏳ ממתין")))</f>
        <v/>
      </c>
    </row>
    <row r="40">
      <c r="A40" s="25" t="n"/>
      <c r="B40" s="26" t="n"/>
      <c r="C40" s="26" t="n"/>
      <c r="D40" s="29" t="n"/>
      <c r="E40" s="28">
        <f>IF(A40="","",IFERROR(GOOGLEFINANCE(A40),D40))</f>
        <v/>
      </c>
      <c r="F40" s="29" t="n"/>
      <c r="G40" s="29" t="n"/>
      <c r="H40" s="29" t="n"/>
      <c r="I40" s="29" t="n"/>
      <c r="J40" s="28">
        <f>IF(OR(F40="",G40="",F40&lt;=G40),"",F40-G40)</f>
        <v/>
      </c>
      <c r="K40" s="42">
        <f>IF(OR(J40="",H40=""),"",(H40-F40)/J40)</f>
        <v/>
      </c>
      <c r="L40" s="43">
        <f>IF(J40="","",MIN(ROUNDDOWN(Equity*RiskPct/J40,0),ROUNDDOWN(Equity*MaxPos/F40,0),ROUNDDOWN(MAX(0,Cash)/F40,0)))</f>
        <v/>
      </c>
      <c r="M40" s="30">
        <f>IF(L40="","",L40*F40)</f>
        <v/>
      </c>
      <c r="N40" s="31">
        <f>IF(OR(M40="",Equity=0),"",M40/Equity)</f>
        <v/>
      </c>
      <c r="O40" s="31">
        <f>IF(OR(E40="",F40=""),"",E40/F40-1)</f>
        <v/>
      </c>
      <c r="P40" s="30">
        <f>IF(OR(L40="",H40=""),"",L40*(H40-F40))</f>
        <v/>
      </c>
      <c r="Q40" s="30">
        <f>IF(L40="","",-L40*J40)</f>
        <v/>
      </c>
      <c r="R40" s="34">
        <f>IF(OR(A40="",F40=""),"",IF(E40&lt;=G40,"⛔ מתחת לסטופ",IF(E40&lt;=F40*(1+EntryZone),IF(AND(K40&lt;&gt;"",K40&lt;2),"🟡 באזור — R:R נמוך","🟢 באזור כניסה"),"⏳ ממתין")))</f>
        <v/>
      </c>
    </row>
    <row r="41">
      <c r="A41" s="25" t="n"/>
      <c r="B41" s="26" t="n"/>
      <c r="C41" s="26" t="n"/>
      <c r="D41" s="29" t="n"/>
      <c r="E41" s="28">
        <f>IF(A41="","",IFERROR(GOOGLEFINANCE(A41),D41))</f>
        <v/>
      </c>
      <c r="F41" s="29" t="n"/>
      <c r="G41" s="29" t="n"/>
      <c r="H41" s="29" t="n"/>
      <c r="I41" s="29" t="n"/>
      <c r="J41" s="28">
        <f>IF(OR(F41="",G41="",F41&lt;=G41),"",F41-G41)</f>
        <v/>
      </c>
      <c r="K41" s="42">
        <f>IF(OR(J41="",H41=""),"",(H41-F41)/J41)</f>
        <v/>
      </c>
      <c r="L41" s="43">
        <f>IF(J41="","",MIN(ROUNDDOWN(Equity*RiskPct/J41,0),ROUNDDOWN(Equity*MaxPos/F41,0),ROUNDDOWN(MAX(0,Cash)/F41,0)))</f>
        <v/>
      </c>
      <c r="M41" s="30">
        <f>IF(L41="","",L41*F41)</f>
        <v/>
      </c>
      <c r="N41" s="31">
        <f>IF(OR(M41="",Equity=0),"",M41/Equity)</f>
        <v/>
      </c>
      <c r="O41" s="31">
        <f>IF(OR(E41="",F41=""),"",E41/F41-1)</f>
        <v/>
      </c>
      <c r="P41" s="30">
        <f>IF(OR(L41="",H41=""),"",L41*(H41-F41))</f>
        <v/>
      </c>
      <c r="Q41" s="30">
        <f>IF(L41="","",-L41*J41)</f>
        <v/>
      </c>
      <c r="R41" s="34">
        <f>IF(OR(A41="",F41=""),"",IF(E41&lt;=G41,"⛔ מתחת לסטופ",IF(E41&lt;=F41*(1+EntryZone),IF(AND(K41&lt;&gt;"",K41&lt;2),"🟡 באזור — R:R נמוך","🟢 באזור כניסה"),"⏳ ממתין")))</f>
        <v/>
      </c>
    </row>
    <row r="42">
      <c r="A42" s="25" t="n"/>
      <c r="B42" s="26" t="n"/>
      <c r="C42" s="26" t="n"/>
      <c r="D42" s="29" t="n"/>
      <c r="E42" s="28">
        <f>IF(A42="","",IFERROR(GOOGLEFINANCE(A42),D42))</f>
        <v/>
      </c>
      <c r="F42" s="29" t="n"/>
      <c r="G42" s="29" t="n"/>
      <c r="H42" s="29" t="n"/>
      <c r="I42" s="29" t="n"/>
      <c r="J42" s="28">
        <f>IF(OR(F42="",G42="",F42&lt;=G42),"",F42-G42)</f>
        <v/>
      </c>
      <c r="K42" s="42">
        <f>IF(OR(J42="",H42=""),"",(H42-F42)/J42)</f>
        <v/>
      </c>
      <c r="L42" s="43">
        <f>IF(J42="","",MIN(ROUNDDOWN(Equity*RiskPct/J42,0),ROUNDDOWN(Equity*MaxPos/F42,0),ROUNDDOWN(MAX(0,Cash)/F42,0)))</f>
        <v/>
      </c>
      <c r="M42" s="30">
        <f>IF(L42="","",L42*F42)</f>
        <v/>
      </c>
      <c r="N42" s="31">
        <f>IF(OR(M42="",Equity=0),"",M42/Equity)</f>
        <v/>
      </c>
      <c r="O42" s="31">
        <f>IF(OR(E42="",F42=""),"",E42/F42-1)</f>
        <v/>
      </c>
      <c r="P42" s="30">
        <f>IF(OR(L42="",H42=""),"",L42*(H42-F42))</f>
        <v/>
      </c>
      <c r="Q42" s="30">
        <f>IF(L42="","",-L42*J42)</f>
        <v/>
      </c>
      <c r="R42" s="34">
        <f>IF(OR(A42="",F42=""),"",IF(E42&lt;=G42,"⛔ מתחת לסטופ",IF(E42&lt;=F42*(1+EntryZone),IF(AND(K42&lt;&gt;"",K42&lt;2),"🟡 באזור — R:R נמוך","🟢 באזור כניסה"),"⏳ ממתין")))</f>
        <v/>
      </c>
    </row>
    <row r="43">
      <c r="A43" s="25" t="n"/>
      <c r="B43" s="26" t="n"/>
      <c r="C43" s="26" t="n"/>
      <c r="D43" s="29" t="n"/>
      <c r="E43" s="28">
        <f>IF(A43="","",IFERROR(GOOGLEFINANCE(A43),D43))</f>
        <v/>
      </c>
      <c r="F43" s="29" t="n"/>
      <c r="G43" s="29" t="n"/>
      <c r="H43" s="29" t="n"/>
      <c r="I43" s="29" t="n"/>
      <c r="J43" s="28">
        <f>IF(OR(F43="",G43="",F43&lt;=G43),"",F43-G43)</f>
        <v/>
      </c>
      <c r="K43" s="42">
        <f>IF(OR(J43="",H43=""),"",(H43-F43)/J43)</f>
        <v/>
      </c>
      <c r="L43" s="43">
        <f>IF(J43="","",MIN(ROUNDDOWN(Equity*RiskPct/J43,0),ROUNDDOWN(Equity*MaxPos/F43,0),ROUNDDOWN(MAX(0,Cash)/F43,0)))</f>
        <v/>
      </c>
      <c r="M43" s="30">
        <f>IF(L43="","",L43*F43)</f>
        <v/>
      </c>
      <c r="N43" s="31">
        <f>IF(OR(M43="",Equity=0),"",M43/Equity)</f>
        <v/>
      </c>
      <c r="O43" s="31">
        <f>IF(OR(E43="",F43=""),"",E43/F43-1)</f>
        <v/>
      </c>
      <c r="P43" s="30">
        <f>IF(OR(L43="",H43=""),"",L43*(H43-F43))</f>
        <v/>
      </c>
      <c r="Q43" s="30">
        <f>IF(L43="","",-L43*J43)</f>
        <v/>
      </c>
      <c r="R43" s="34">
        <f>IF(OR(A43="",F43=""),"",IF(E43&lt;=G43,"⛔ מתחת לסטופ",IF(E43&lt;=F43*(1+EntryZone),IF(AND(K43&lt;&gt;"",K43&lt;2),"🟡 באזור — R:R נמוך","🟢 באזור כניסה"),"⏳ ממתין")))</f>
        <v/>
      </c>
    </row>
    <row r="44">
      <c r="A44" s="25" t="n"/>
      <c r="B44" s="26" t="n"/>
      <c r="C44" s="26" t="n"/>
      <c r="D44" s="29" t="n"/>
      <c r="E44" s="28">
        <f>IF(A44="","",IFERROR(GOOGLEFINANCE(A44),D44))</f>
        <v/>
      </c>
      <c r="F44" s="29" t="n"/>
      <c r="G44" s="29" t="n"/>
      <c r="H44" s="29" t="n"/>
      <c r="I44" s="29" t="n"/>
      <c r="J44" s="28">
        <f>IF(OR(F44="",G44="",F44&lt;=G44),"",F44-G44)</f>
        <v/>
      </c>
      <c r="K44" s="42">
        <f>IF(OR(J44="",H44=""),"",(H44-F44)/J44)</f>
        <v/>
      </c>
      <c r="L44" s="43">
        <f>IF(J44="","",MIN(ROUNDDOWN(Equity*RiskPct/J44,0),ROUNDDOWN(Equity*MaxPos/F44,0),ROUNDDOWN(MAX(0,Cash)/F44,0)))</f>
        <v/>
      </c>
      <c r="M44" s="30">
        <f>IF(L44="","",L44*F44)</f>
        <v/>
      </c>
      <c r="N44" s="31">
        <f>IF(OR(M44="",Equity=0),"",M44/Equity)</f>
        <v/>
      </c>
      <c r="O44" s="31">
        <f>IF(OR(E44="",F44=""),"",E44/F44-1)</f>
        <v/>
      </c>
      <c r="P44" s="30">
        <f>IF(OR(L44="",H44=""),"",L44*(H44-F44))</f>
        <v/>
      </c>
      <c r="Q44" s="30">
        <f>IF(L44="","",-L44*J44)</f>
        <v/>
      </c>
      <c r="R44" s="34">
        <f>IF(OR(A44="",F44=""),"",IF(E44&lt;=G44,"⛔ מתחת לסטופ",IF(E44&lt;=F44*(1+EntryZone),IF(AND(K44&lt;&gt;"",K44&lt;2),"🟡 באזור — R:R נמוך","🟢 באזור כניסה"),"⏳ ממתין")))</f>
        <v/>
      </c>
    </row>
  </sheetData>
  <mergeCells count="2">
    <mergeCell ref="A2:R2"/>
    <mergeCell ref="A1:R1"/>
  </mergeCells>
  <conditionalFormatting sqref="R5:R44">
    <cfRule type="expression" priority="1" dxfId="8">
      <formula>LEFT($R5,1)="🟢"</formula>
    </cfRule>
    <cfRule type="expression" priority="2" dxfId="7">
      <formula>LEFT($R5,1)="🟡"</formula>
    </cfRule>
    <cfRule type="expression" priority="3" dxfId="2">
      <formula>LEFT($R5,1)="⛔"</formula>
    </cfRule>
  </conditionalFormatting>
  <conditionalFormatting sqref="K5:K44">
    <cfRule type="cellIs" priority="4" operator="greaterThanOrEqual" dxfId="5">
      <formula>2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F39C12"/>
    <outlinePr summaryBelow="1" summaryRight="1"/>
    <pageSetUpPr/>
  </sheetPr>
  <dimension ref="A1:O57"/>
  <sheetViews>
    <sheetView showGridLines="0" rightToLeft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1" customWidth="1" min="14" max="14"/>
    <col width="11" customWidth="1" min="15" max="15"/>
  </cols>
  <sheetData>
    <row r="1" ht="34" customHeight="1">
      <c r="A1" s="1" t="inlineStr">
        <is>
          <t>💰 לוח דיבידנדים</t>
        </is>
      </c>
    </row>
    <row r="2" ht="20" customHeight="1">
      <c r="A2" s="2" t="inlineStr">
        <is>
          <t>דיבידנדים נטו שהתקבלו לפי מניה וחודש. שנה: ראה הגדרות.</t>
        </is>
      </c>
    </row>
    <row r="3">
      <c r="A3" s="5" t="inlineStr">
        <is>
          <t>שנה:</t>
        </is>
      </c>
      <c r="B3" s="44">
        <f>DivYear</f>
        <v/>
      </c>
    </row>
    <row r="4" ht="36" customHeight="1">
      <c r="A4" s="23" t="inlineStr">
        <is>
          <t>טיקר</t>
        </is>
      </c>
      <c r="B4" s="23" t="inlineStr">
        <is>
          <t>ינו</t>
        </is>
      </c>
      <c r="C4" s="23" t="inlineStr">
        <is>
          <t>פבר</t>
        </is>
      </c>
      <c r="D4" s="23" t="inlineStr">
        <is>
          <t>מרץ</t>
        </is>
      </c>
      <c r="E4" s="23" t="inlineStr">
        <is>
          <t>אפר</t>
        </is>
      </c>
      <c r="F4" s="23" t="inlineStr">
        <is>
          <t>מאי</t>
        </is>
      </c>
      <c r="G4" s="23" t="inlineStr">
        <is>
          <t>יונ</t>
        </is>
      </c>
      <c r="H4" s="23" t="inlineStr">
        <is>
          <t>יול</t>
        </is>
      </c>
      <c r="I4" s="23" t="inlineStr">
        <is>
          <t>אוג</t>
        </is>
      </c>
      <c r="J4" s="23" t="inlineStr">
        <is>
          <t>ספט</t>
        </is>
      </c>
      <c r="K4" s="23" t="inlineStr">
        <is>
          <t>אוק</t>
        </is>
      </c>
      <c r="L4" s="23" t="inlineStr">
        <is>
          <t>נוב</t>
        </is>
      </c>
      <c r="M4" s="23" t="inlineStr">
        <is>
          <t>דצמ</t>
        </is>
      </c>
      <c r="N4" s="23" t="inlineStr">
        <is>
          <t>סה"כ שנה</t>
        </is>
      </c>
      <c r="O4" s="23" t="inlineStr">
        <is>
          <t>תשואה על עלות</t>
        </is>
      </c>
    </row>
    <row r="5">
      <c r="A5" s="45">
        <f>IF('תיק'!A5="","",'תיק'!A5)</f>
        <v/>
      </c>
      <c r="B5" s="28">
        <f>IF($A5="",0,SUMPRODUCT(('עסקאות'!$B$5:$B$1004="דיבידנד")*('עסקאות'!$C$5:$C$1004=$A5)*(YEAR('עסקאות'!$A$5:$A$1004)=DivYear)*(MONTH('עסקאות'!$A$5:$A$1004)=1)*'עסקאות'!$F$5:$F$1004))</f>
        <v/>
      </c>
      <c r="C5" s="28">
        <f>IF($A5="",0,SUMPRODUCT(('עסקאות'!$B$5:$B$1004="דיבידנד")*('עסקאות'!$C$5:$C$1004=$A5)*(YEAR('עסקאות'!$A$5:$A$1004)=DivYear)*(MONTH('עסקאות'!$A$5:$A$1004)=2)*'עסקאות'!$F$5:$F$1004))</f>
        <v/>
      </c>
      <c r="D5" s="28">
        <f>IF($A5="",0,SUMPRODUCT(('עסקאות'!$B$5:$B$1004="דיבידנד")*('עסקאות'!$C$5:$C$1004=$A5)*(YEAR('עסקאות'!$A$5:$A$1004)=DivYear)*(MONTH('עסקאות'!$A$5:$A$1004)=3)*'עסקאות'!$F$5:$F$1004))</f>
        <v/>
      </c>
      <c r="E5" s="28">
        <f>IF($A5="",0,SUMPRODUCT(('עסקאות'!$B$5:$B$1004="דיבידנד")*('עסקאות'!$C$5:$C$1004=$A5)*(YEAR('עסקאות'!$A$5:$A$1004)=DivYear)*(MONTH('עסקאות'!$A$5:$A$1004)=4)*'עסקאות'!$F$5:$F$1004))</f>
        <v/>
      </c>
      <c r="F5" s="28">
        <f>IF($A5="",0,SUMPRODUCT(('עסקאות'!$B$5:$B$1004="דיבידנד")*('עסקאות'!$C$5:$C$1004=$A5)*(YEAR('עסקאות'!$A$5:$A$1004)=DivYear)*(MONTH('עסקאות'!$A$5:$A$1004)=5)*'עסקאות'!$F$5:$F$1004))</f>
        <v/>
      </c>
      <c r="G5" s="28">
        <f>IF($A5="",0,SUMPRODUCT(('עסקאות'!$B$5:$B$1004="דיבידנד")*('עסקאות'!$C$5:$C$1004=$A5)*(YEAR('עסקאות'!$A$5:$A$1004)=DivYear)*(MONTH('עסקאות'!$A$5:$A$1004)=6)*'עסקאות'!$F$5:$F$1004))</f>
        <v/>
      </c>
      <c r="H5" s="28">
        <f>IF($A5="",0,SUMPRODUCT(('עסקאות'!$B$5:$B$1004="דיבידנד")*('עסקאות'!$C$5:$C$1004=$A5)*(YEAR('עסקאות'!$A$5:$A$1004)=DivYear)*(MONTH('עסקאות'!$A$5:$A$1004)=7)*'עסקאות'!$F$5:$F$1004))</f>
        <v/>
      </c>
      <c r="I5" s="28">
        <f>IF($A5="",0,SUMPRODUCT(('עסקאות'!$B$5:$B$1004="דיבידנד")*('עסקאות'!$C$5:$C$1004=$A5)*(YEAR('עסקאות'!$A$5:$A$1004)=DivYear)*(MONTH('עסקאות'!$A$5:$A$1004)=8)*'עסקאות'!$F$5:$F$1004))</f>
        <v/>
      </c>
      <c r="J5" s="28">
        <f>IF($A5="",0,SUMPRODUCT(('עסקאות'!$B$5:$B$1004="דיבידנד")*('עסקאות'!$C$5:$C$1004=$A5)*(YEAR('עסקאות'!$A$5:$A$1004)=DivYear)*(MONTH('עסקאות'!$A$5:$A$1004)=9)*'עסקאות'!$F$5:$F$1004))</f>
        <v/>
      </c>
      <c r="K5" s="28">
        <f>IF($A5="",0,SUMPRODUCT(('עסקאות'!$B$5:$B$1004="דיבידנד")*('עסקאות'!$C$5:$C$1004=$A5)*(YEAR('עסקאות'!$A$5:$A$1004)=DivYear)*(MONTH('עסקאות'!$A$5:$A$1004)=10)*'עסקאות'!$F$5:$F$1004))</f>
        <v/>
      </c>
      <c r="L5" s="28">
        <f>IF($A5="",0,SUMPRODUCT(('עסקאות'!$B$5:$B$1004="דיבידנד")*('עסקאות'!$C$5:$C$1004=$A5)*(YEAR('עסקאות'!$A$5:$A$1004)=DivYear)*(MONTH('עסקאות'!$A$5:$A$1004)=11)*'עסקאות'!$F$5:$F$1004))</f>
        <v/>
      </c>
      <c r="M5" s="28">
        <f>IF($A5="",0,SUMPRODUCT(('עסקאות'!$B$5:$B$1004="דיבידנד")*('עסקאות'!$C$5:$C$1004=$A5)*(YEAR('עסקאות'!$A$5:$A$1004)=DivYear)*(MONTH('עסקאות'!$A$5:$A$1004)=12)*'עסקאות'!$F$5:$F$1004))</f>
        <v/>
      </c>
      <c r="N5" s="41">
        <f>SUM(B5:M5)</f>
        <v/>
      </c>
      <c r="O5" s="31">
        <f>IF(OR(A5="",'תיק'!I5=0),"",N5/'תיק'!I5)</f>
        <v/>
      </c>
    </row>
    <row r="6">
      <c r="A6" s="45">
        <f>IF('תיק'!A6="","",'תיק'!A6)</f>
        <v/>
      </c>
      <c r="B6" s="28">
        <f>IF($A6="",0,SUMPRODUCT(('עסקאות'!$B$5:$B$1004="דיבידנד")*('עסקאות'!$C$5:$C$1004=$A6)*(YEAR('עסקאות'!$A$5:$A$1004)=DivYear)*(MONTH('עסקאות'!$A$5:$A$1004)=1)*'עסקאות'!$F$5:$F$1004))</f>
        <v/>
      </c>
      <c r="C6" s="28">
        <f>IF($A6="",0,SUMPRODUCT(('עסקאות'!$B$5:$B$1004="דיבידנד")*('עסקאות'!$C$5:$C$1004=$A6)*(YEAR('עסקאות'!$A$5:$A$1004)=DivYear)*(MONTH('עסקאות'!$A$5:$A$1004)=2)*'עסקאות'!$F$5:$F$1004))</f>
        <v/>
      </c>
      <c r="D6" s="28">
        <f>IF($A6="",0,SUMPRODUCT(('עסקאות'!$B$5:$B$1004="דיבידנד")*('עסקאות'!$C$5:$C$1004=$A6)*(YEAR('עסקאות'!$A$5:$A$1004)=DivYear)*(MONTH('עסקאות'!$A$5:$A$1004)=3)*'עסקאות'!$F$5:$F$1004))</f>
        <v/>
      </c>
      <c r="E6" s="28">
        <f>IF($A6="",0,SUMPRODUCT(('עסקאות'!$B$5:$B$1004="דיבידנד")*('עסקאות'!$C$5:$C$1004=$A6)*(YEAR('עסקאות'!$A$5:$A$1004)=DivYear)*(MONTH('עסקאות'!$A$5:$A$1004)=4)*'עסקאות'!$F$5:$F$1004))</f>
        <v/>
      </c>
      <c r="F6" s="28">
        <f>IF($A6="",0,SUMPRODUCT(('עסקאות'!$B$5:$B$1004="דיבידנד")*('עסקאות'!$C$5:$C$1004=$A6)*(YEAR('עסקאות'!$A$5:$A$1004)=DivYear)*(MONTH('עסקאות'!$A$5:$A$1004)=5)*'עסקאות'!$F$5:$F$1004))</f>
        <v/>
      </c>
      <c r="G6" s="28">
        <f>IF($A6="",0,SUMPRODUCT(('עסקאות'!$B$5:$B$1004="דיבידנד")*('עסקאות'!$C$5:$C$1004=$A6)*(YEAR('עסקאות'!$A$5:$A$1004)=DivYear)*(MONTH('עסקאות'!$A$5:$A$1004)=6)*'עסקאות'!$F$5:$F$1004))</f>
        <v/>
      </c>
      <c r="H6" s="28">
        <f>IF($A6="",0,SUMPRODUCT(('עסקאות'!$B$5:$B$1004="דיבידנד")*('עסקאות'!$C$5:$C$1004=$A6)*(YEAR('עסקאות'!$A$5:$A$1004)=DivYear)*(MONTH('עסקאות'!$A$5:$A$1004)=7)*'עסקאות'!$F$5:$F$1004))</f>
        <v/>
      </c>
      <c r="I6" s="28">
        <f>IF($A6="",0,SUMPRODUCT(('עסקאות'!$B$5:$B$1004="דיבידנד")*('עסקאות'!$C$5:$C$1004=$A6)*(YEAR('עסקאות'!$A$5:$A$1004)=DivYear)*(MONTH('עסקאות'!$A$5:$A$1004)=8)*'עסקאות'!$F$5:$F$1004))</f>
        <v/>
      </c>
      <c r="J6" s="28">
        <f>IF($A6="",0,SUMPRODUCT(('עסקאות'!$B$5:$B$1004="דיבידנד")*('עסקאות'!$C$5:$C$1004=$A6)*(YEAR('עסקאות'!$A$5:$A$1004)=DivYear)*(MONTH('עסקאות'!$A$5:$A$1004)=9)*'עסקאות'!$F$5:$F$1004))</f>
        <v/>
      </c>
      <c r="K6" s="28">
        <f>IF($A6="",0,SUMPRODUCT(('עסקאות'!$B$5:$B$1004="דיבידנד")*('עסקאות'!$C$5:$C$1004=$A6)*(YEAR('עסקאות'!$A$5:$A$1004)=DivYear)*(MONTH('עסקאות'!$A$5:$A$1004)=10)*'עסקאות'!$F$5:$F$1004))</f>
        <v/>
      </c>
      <c r="L6" s="28">
        <f>IF($A6="",0,SUMPRODUCT(('עסקאות'!$B$5:$B$1004="דיבידנד")*('עסקאות'!$C$5:$C$1004=$A6)*(YEAR('עסקאות'!$A$5:$A$1004)=DivYear)*(MONTH('עסקאות'!$A$5:$A$1004)=11)*'עסקאות'!$F$5:$F$1004))</f>
        <v/>
      </c>
      <c r="M6" s="28">
        <f>IF($A6="",0,SUMPRODUCT(('עסקאות'!$B$5:$B$1004="דיבידנד")*('עסקאות'!$C$5:$C$1004=$A6)*(YEAR('עסקאות'!$A$5:$A$1004)=DivYear)*(MONTH('עסקאות'!$A$5:$A$1004)=12)*'עסקאות'!$F$5:$F$1004))</f>
        <v/>
      </c>
      <c r="N6" s="41">
        <f>SUM(B6:M6)</f>
        <v/>
      </c>
      <c r="O6" s="31">
        <f>IF(OR(A6="",'תיק'!I6=0),"",N6/'תיק'!I6)</f>
        <v/>
      </c>
    </row>
    <row r="7">
      <c r="A7" s="45">
        <f>IF('תיק'!A7="","",'תיק'!A7)</f>
        <v/>
      </c>
      <c r="B7" s="28">
        <f>IF($A7="",0,SUMPRODUCT(('עסקאות'!$B$5:$B$1004="דיבידנד")*('עסקאות'!$C$5:$C$1004=$A7)*(YEAR('עסקאות'!$A$5:$A$1004)=DivYear)*(MONTH('עסקאות'!$A$5:$A$1004)=1)*'עסקאות'!$F$5:$F$1004))</f>
        <v/>
      </c>
      <c r="C7" s="28">
        <f>IF($A7="",0,SUMPRODUCT(('עסקאות'!$B$5:$B$1004="דיבידנד")*('עסקאות'!$C$5:$C$1004=$A7)*(YEAR('עסקאות'!$A$5:$A$1004)=DivYear)*(MONTH('עסקאות'!$A$5:$A$1004)=2)*'עסקאות'!$F$5:$F$1004))</f>
        <v/>
      </c>
      <c r="D7" s="28">
        <f>IF($A7="",0,SUMPRODUCT(('עסקאות'!$B$5:$B$1004="דיבידנד")*('עסקאות'!$C$5:$C$1004=$A7)*(YEAR('עסקאות'!$A$5:$A$1004)=DivYear)*(MONTH('עסקאות'!$A$5:$A$1004)=3)*'עסקאות'!$F$5:$F$1004))</f>
        <v/>
      </c>
      <c r="E7" s="28">
        <f>IF($A7="",0,SUMPRODUCT(('עסקאות'!$B$5:$B$1004="דיבידנד")*('עסקאות'!$C$5:$C$1004=$A7)*(YEAR('עסקאות'!$A$5:$A$1004)=DivYear)*(MONTH('עסקאות'!$A$5:$A$1004)=4)*'עסקאות'!$F$5:$F$1004))</f>
        <v/>
      </c>
      <c r="F7" s="28">
        <f>IF($A7="",0,SUMPRODUCT(('עסקאות'!$B$5:$B$1004="דיבידנד")*('עסקאות'!$C$5:$C$1004=$A7)*(YEAR('עסקאות'!$A$5:$A$1004)=DivYear)*(MONTH('עסקאות'!$A$5:$A$1004)=5)*'עסקאות'!$F$5:$F$1004))</f>
        <v/>
      </c>
      <c r="G7" s="28">
        <f>IF($A7="",0,SUMPRODUCT(('עסקאות'!$B$5:$B$1004="דיבידנד")*('עסקאות'!$C$5:$C$1004=$A7)*(YEAR('עסקאות'!$A$5:$A$1004)=DivYear)*(MONTH('עסקאות'!$A$5:$A$1004)=6)*'עסקאות'!$F$5:$F$1004))</f>
        <v/>
      </c>
      <c r="H7" s="28">
        <f>IF($A7="",0,SUMPRODUCT(('עסקאות'!$B$5:$B$1004="דיבידנד")*('עסקאות'!$C$5:$C$1004=$A7)*(YEAR('עסקאות'!$A$5:$A$1004)=DivYear)*(MONTH('עסקאות'!$A$5:$A$1004)=7)*'עסקאות'!$F$5:$F$1004))</f>
        <v/>
      </c>
      <c r="I7" s="28">
        <f>IF($A7="",0,SUMPRODUCT(('עסקאות'!$B$5:$B$1004="דיבידנד")*('עסקאות'!$C$5:$C$1004=$A7)*(YEAR('עסקאות'!$A$5:$A$1004)=DivYear)*(MONTH('עסקאות'!$A$5:$A$1004)=8)*'עסקאות'!$F$5:$F$1004))</f>
        <v/>
      </c>
      <c r="J7" s="28">
        <f>IF($A7="",0,SUMPRODUCT(('עסקאות'!$B$5:$B$1004="דיבידנד")*('עסקאות'!$C$5:$C$1004=$A7)*(YEAR('עסקאות'!$A$5:$A$1004)=DivYear)*(MONTH('עסקאות'!$A$5:$A$1004)=9)*'עסקאות'!$F$5:$F$1004))</f>
        <v/>
      </c>
      <c r="K7" s="28">
        <f>IF($A7="",0,SUMPRODUCT(('עסקאות'!$B$5:$B$1004="דיבידנד")*('עסקאות'!$C$5:$C$1004=$A7)*(YEAR('עסקאות'!$A$5:$A$1004)=DivYear)*(MONTH('עסקאות'!$A$5:$A$1004)=10)*'עסקאות'!$F$5:$F$1004))</f>
        <v/>
      </c>
      <c r="L7" s="28">
        <f>IF($A7="",0,SUMPRODUCT(('עסקאות'!$B$5:$B$1004="דיבידנד")*('עסקאות'!$C$5:$C$1004=$A7)*(YEAR('עסקאות'!$A$5:$A$1004)=DivYear)*(MONTH('עסקאות'!$A$5:$A$1004)=11)*'עסקאות'!$F$5:$F$1004))</f>
        <v/>
      </c>
      <c r="M7" s="28">
        <f>IF($A7="",0,SUMPRODUCT(('עסקאות'!$B$5:$B$1004="דיבידנד")*('עסקאות'!$C$5:$C$1004=$A7)*(YEAR('עסקאות'!$A$5:$A$1004)=DivYear)*(MONTH('עסקאות'!$A$5:$A$1004)=12)*'עסקאות'!$F$5:$F$1004))</f>
        <v/>
      </c>
      <c r="N7" s="41">
        <f>SUM(B7:M7)</f>
        <v/>
      </c>
      <c r="O7" s="31">
        <f>IF(OR(A7="",'תיק'!I7=0),"",N7/'תיק'!I7)</f>
        <v/>
      </c>
    </row>
    <row r="8">
      <c r="A8" s="45">
        <f>IF('תיק'!A8="","",'תיק'!A8)</f>
        <v/>
      </c>
      <c r="B8" s="28">
        <f>IF($A8="",0,SUMPRODUCT(('עסקאות'!$B$5:$B$1004="דיבידנד")*('עסקאות'!$C$5:$C$1004=$A8)*(YEAR('עסקאות'!$A$5:$A$1004)=DivYear)*(MONTH('עסקאות'!$A$5:$A$1004)=1)*'עסקאות'!$F$5:$F$1004))</f>
        <v/>
      </c>
      <c r="C8" s="28">
        <f>IF($A8="",0,SUMPRODUCT(('עסקאות'!$B$5:$B$1004="דיבידנד")*('עסקאות'!$C$5:$C$1004=$A8)*(YEAR('עסקאות'!$A$5:$A$1004)=DivYear)*(MONTH('עסקאות'!$A$5:$A$1004)=2)*'עסקאות'!$F$5:$F$1004))</f>
        <v/>
      </c>
      <c r="D8" s="28">
        <f>IF($A8="",0,SUMPRODUCT(('עסקאות'!$B$5:$B$1004="דיבידנד")*('עסקאות'!$C$5:$C$1004=$A8)*(YEAR('עסקאות'!$A$5:$A$1004)=DivYear)*(MONTH('עסקאות'!$A$5:$A$1004)=3)*'עסקאות'!$F$5:$F$1004))</f>
        <v/>
      </c>
      <c r="E8" s="28">
        <f>IF($A8="",0,SUMPRODUCT(('עסקאות'!$B$5:$B$1004="דיבידנד")*('עסקאות'!$C$5:$C$1004=$A8)*(YEAR('עסקאות'!$A$5:$A$1004)=DivYear)*(MONTH('עסקאות'!$A$5:$A$1004)=4)*'עסקאות'!$F$5:$F$1004))</f>
        <v/>
      </c>
      <c r="F8" s="28">
        <f>IF($A8="",0,SUMPRODUCT(('עסקאות'!$B$5:$B$1004="דיבידנד")*('עסקאות'!$C$5:$C$1004=$A8)*(YEAR('עסקאות'!$A$5:$A$1004)=DivYear)*(MONTH('עסקאות'!$A$5:$A$1004)=5)*'עסקאות'!$F$5:$F$1004))</f>
        <v/>
      </c>
      <c r="G8" s="28">
        <f>IF($A8="",0,SUMPRODUCT(('עסקאות'!$B$5:$B$1004="דיבידנד")*('עסקאות'!$C$5:$C$1004=$A8)*(YEAR('עסקאות'!$A$5:$A$1004)=DivYear)*(MONTH('עסקאות'!$A$5:$A$1004)=6)*'עסקאות'!$F$5:$F$1004))</f>
        <v/>
      </c>
      <c r="H8" s="28">
        <f>IF($A8="",0,SUMPRODUCT(('עסקאות'!$B$5:$B$1004="דיבידנד")*('עסקאות'!$C$5:$C$1004=$A8)*(YEAR('עסקאות'!$A$5:$A$1004)=DivYear)*(MONTH('עסקאות'!$A$5:$A$1004)=7)*'עסקאות'!$F$5:$F$1004))</f>
        <v/>
      </c>
      <c r="I8" s="28">
        <f>IF($A8="",0,SUMPRODUCT(('עסקאות'!$B$5:$B$1004="דיבידנד")*('עסקאות'!$C$5:$C$1004=$A8)*(YEAR('עסקאות'!$A$5:$A$1004)=DivYear)*(MONTH('עסקאות'!$A$5:$A$1004)=8)*'עסקאות'!$F$5:$F$1004))</f>
        <v/>
      </c>
      <c r="J8" s="28">
        <f>IF($A8="",0,SUMPRODUCT(('עסקאות'!$B$5:$B$1004="דיבידנד")*('עסקאות'!$C$5:$C$1004=$A8)*(YEAR('עסקאות'!$A$5:$A$1004)=DivYear)*(MONTH('עסקאות'!$A$5:$A$1004)=9)*'עסקאות'!$F$5:$F$1004))</f>
        <v/>
      </c>
      <c r="K8" s="28">
        <f>IF($A8="",0,SUMPRODUCT(('עסקאות'!$B$5:$B$1004="דיבידנד")*('עסקאות'!$C$5:$C$1004=$A8)*(YEAR('עסקאות'!$A$5:$A$1004)=DivYear)*(MONTH('עסקאות'!$A$5:$A$1004)=10)*'עסקאות'!$F$5:$F$1004))</f>
        <v/>
      </c>
      <c r="L8" s="28">
        <f>IF($A8="",0,SUMPRODUCT(('עסקאות'!$B$5:$B$1004="דיבידנד")*('עסקאות'!$C$5:$C$1004=$A8)*(YEAR('עסקאות'!$A$5:$A$1004)=DivYear)*(MONTH('עסקאות'!$A$5:$A$1004)=11)*'עסקאות'!$F$5:$F$1004))</f>
        <v/>
      </c>
      <c r="M8" s="28">
        <f>IF($A8="",0,SUMPRODUCT(('עסקאות'!$B$5:$B$1004="דיבידנד")*('עסקאות'!$C$5:$C$1004=$A8)*(YEAR('עסקאות'!$A$5:$A$1004)=DivYear)*(MONTH('עסקאות'!$A$5:$A$1004)=12)*'עסקאות'!$F$5:$F$1004))</f>
        <v/>
      </c>
      <c r="N8" s="41">
        <f>SUM(B8:M8)</f>
        <v/>
      </c>
      <c r="O8" s="31">
        <f>IF(OR(A8="",'תיק'!I8=0),"",N8/'תיק'!I8)</f>
        <v/>
      </c>
    </row>
    <row r="9">
      <c r="A9" s="45">
        <f>IF('תיק'!A9="","",'תיק'!A9)</f>
        <v/>
      </c>
      <c r="B9" s="28">
        <f>IF($A9="",0,SUMPRODUCT(('עסקאות'!$B$5:$B$1004="דיבידנד")*('עסקאות'!$C$5:$C$1004=$A9)*(YEAR('עסקאות'!$A$5:$A$1004)=DivYear)*(MONTH('עסקאות'!$A$5:$A$1004)=1)*'עסקאות'!$F$5:$F$1004))</f>
        <v/>
      </c>
      <c r="C9" s="28">
        <f>IF($A9="",0,SUMPRODUCT(('עסקאות'!$B$5:$B$1004="דיבידנד")*('עסקאות'!$C$5:$C$1004=$A9)*(YEAR('עסקאות'!$A$5:$A$1004)=DivYear)*(MONTH('עסקאות'!$A$5:$A$1004)=2)*'עסקאות'!$F$5:$F$1004))</f>
        <v/>
      </c>
      <c r="D9" s="28">
        <f>IF($A9="",0,SUMPRODUCT(('עסקאות'!$B$5:$B$1004="דיבידנד")*('עסקאות'!$C$5:$C$1004=$A9)*(YEAR('עסקאות'!$A$5:$A$1004)=DivYear)*(MONTH('עסקאות'!$A$5:$A$1004)=3)*'עסקאות'!$F$5:$F$1004))</f>
        <v/>
      </c>
      <c r="E9" s="28">
        <f>IF($A9="",0,SUMPRODUCT(('עסקאות'!$B$5:$B$1004="דיבידנד")*('עסקאות'!$C$5:$C$1004=$A9)*(YEAR('עסקאות'!$A$5:$A$1004)=DivYear)*(MONTH('עסקאות'!$A$5:$A$1004)=4)*'עסקאות'!$F$5:$F$1004))</f>
        <v/>
      </c>
      <c r="F9" s="28">
        <f>IF($A9="",0,SUMPRODUCT(('עסקאות'!$B$5:$B$1004="דיבידנד")*('עסקאות'!$C$5:$C$1004=$A9)*(YEAR('עסקאות'!$A$5:$A$1004)=DivYear)*(MONTH('עסקאות'!$A$5:$A$1004)=5)*'עסקאות'!$F$5:$F$1004))</f>
        <v/>
      </c>
      <c r="G9" s="28">
        <f>IF($A9="",0,SUMPRODUCT(('עסקאות'!$B$5:$B$1004="דיבידנד")*('עסקאות'!$C$5:$C$1004=$A9)*(YEAR('עסקאות'!$A$5:$A$1004)=DivYear)*(MONTH('עסקאות'!$A$5:$A$1004)=6)*'עסקאות'!$F$5:$F$1004))</f>
        <v/>
      </c>
      <c r="H9" s="28">
        <f>IF($A9="",0,SUMPRODUCT(('עסקאות'!$B$5:$B$1004="דיבידנד")*('עסקאות'!$C$5:$C$1004=$A9)*(YEAR('עסקאות'!$A$5:$A$1004)=DivYear)*(MONTH('עסקאות'!$A$5:$A$1004)=7)*'עסקאות'!$F$5:$F$1004))</f>
        <v/>
      </c>
      <c r="I9" s="28">
        <f>IF($A9="",0,SUMPRODUCT(('עסקאות'!$B$5:$B$1004="דיבידנד")*('עסקאות'!$C$5:$C$1004=$A9)*(YEAR('עסקאות'!$A$5:$A$1004)=DivYear)*(MONTH('עסקאות'!$A$5:$A$1004)=8)*'עסקאות'!$F$5:$F$1004))</f>
        <v/>
      </c>
      <c r="J9" s="28">
        <f>IF($A9="",0,SUMPRODUCT(('עסקאות'!$B$5:$B$1004="דיבידנד")*('עסקאות'!$C$5:$C$1004=$A9)*(YEAR('עסקאות'!$A$5:$A$1004)=DivYear)*(MONTH('עסקאות'!$A$5:$A$1004)=9)*'עסקאות'!$F$5:$F$1004))</f>
        <v/>
      </c>
      <c r="K9" s="28">
        <f>IF($A9="",0,SUMPRODUCT(('עסקאות'!$B$5:$B$1004="דיבידנד")*('עסקאות'!$C$5:$C$1004=$A9)*(YEAR('עסקאות'!$A$5:$A$1004)=DivYear)*(MONTH('עסקאות'!$A$5:$A$1004)=10)*'עסקאות'!$F$5:$F$1004))</f>
        <v/>
      </c>
      <c r="L9" s="28">
        <f>IF($A9="",0,SUMPRODUCT(('עסקאות'!$B$5:$B$1004="דיבידנד")*('עסקאות'!$C$5:$C$1004=$A9)*(YEAR('עסקאות'!$A$5:$A$1004)=DivYear)*(MONTH('עסקאות'!$A$5:$A$1004)=11)*'עסקאות'!$F$5:$F$1004))</f>
        <v/>
      </c>
      <c r="M9" s="28">
        <f>IF($A9="",0,SUMPRODUCT(('עסקאות'!$B$5:$B$1004="דיבידנד")*('עסקאות'!$C$5:$C$1004=$A9)*(YEAR('עסקאות'!$A$5:$A$1004)=DivYear)*(MONTH('עסקאות'!$A$5:$A$1004)=12)*'עסקאות'!$F$5:$F$1004))</f>
        <v/>
      </c>
      <c r="N9" s="41">
        <f>SUM(B9:M9)</f>
        <v/>
      </c>
      <c r="O9" s="31">
        <f>IF(OR(A9="",'תיק'!I9=0),"",N9/'תיק'!I9)</f>
        <v/>
      </c>
    </row>
    <row r="10">
      <c r="A10" s="45">
        <f>IF('תיק'!A10="","",'תיק'!A10)</f>
        <v/>
      </c>
      <c r="B10" s="28">
        <f>IF($A10="",0,SUMPRODUCT(('עסקאות'!$B$5:$B$1004="דיבידנד")*('עסקאות'!$C$5:$C$1004=$A10)*(YEAR('עסקאות'!$A$5:$A$1004)=DivYear)*(MONTH('עסקאות'!$A$5:$A$1004)=1)*'עסקאות'!$F$5:$F$1004))</f>
        <v/>
      </c>
      <c r="C10" s="28">
        <f>IF($A10="",0,SUMPRODUCT(('עסקאות'!$B$5:$B$1004="דיבידנד")*('עסקאות'!$C$5:$C$1004=$A10)*(YEAR('עסקאות'!$A$5:$A$1004)=DivYear)*(MONTH('עסקאות'!$A$5:$A$1004)=2)*'עסקאות'!$F$5:$F$1004))</f>
        <v/>
      </c>
      <c r="D10" s="28">
        <f>IF($A10="",0,SUMPRODUCT(('עסקאות'!$B$5:$B$1004="דיבידנד")*('עסקאות'!$C$5:$C$1004=$A10)*(YEAR('עסקאות'!$A$5:$A$1004)=DivYear)*(MONTH('עסקאות'!$A$5:$A$1004)=3)*'עסקאות'!$F$5:$F$1004))</f>
        <v/>
      </c>
      <c r="E10" s="28">
        <f>IF($A10="",0,SUMPRODUCT(('עסקאות'!$B$5:$B$1004="דיבידנד")*('עסקאות'!$C$5:$C$1004=$A10)*(YEAR('עסקאות'!$A$5:$A$1004)=DivYear)*(MONTH('עסקאות'!$A$5:$A$1004)=4)*'עסקאות'!$F$5:$F$1004))</f>
        <v/>
      </c>
      <c r="F10" s="28">
        <f>IF($A10="",0,SUMPRODUCT(('עסקאות'!$B$5:$B$1004="דיבידנד")*('עסקאות'!$C$5:$C$1004=$A10)*(YEAR('עסקאות'!$A$5:$A$1004)=DivYear)*(MONTH('עסקאות'!$A$5:$A$1004)=5)*'עסקאות'!$F$5:$F$1004))</f>
        <v/>
      </c>
      <c r="G10" s="28">
        <f>IF($A10="",0,SUMPRODUCT(('עסקאות'!$B$5:$B$1004="דיבידנד")*('עסקאות'!$C$5:$C$1004=$A10)*(YEAR('עסקאות'!$A$5:$A$1004)=DivYear)*(MONTH('עסקאות'!$A$5:$A$1004)=6)*'עסקאות'!$F$5:$F$1004))</f>
        <v/>
      </c>
      <c r="H10" s="28">
        <f>IF($A10="",0,SUMPRODUCT(('עסקאות'!$B$5:$B$1004="דיבידנד")*('עסקאות'!$C$5:$C$1004=$A10)*(YEAR('עסקאות'!$A$5:$A$1004)=DivYear)*(MONTH('עסקאות'!$A$5:$A$1004)=7)*'עסקאות'!$F$5:$F$1004))</f>
        <v/>
      </c>
      <c r="I10" s="28">
        <f>IF($A10="",0,SUMPRODUCT(('עסקאות'!$B$5:$B$1004="דיבידנד")*('עסקאות'!$C$5:$C$1004=$A10)*(YEAR('עסקאות'!$A$5:$A$1004)=DivYear)*(MONTH('עסקאות'!$A$5:$A$1004)=8)*'עסקאות'!$F$5:$F$1004))</f>
        <v/>
      </c>
      <c r="J10" s="28">
        <f>IF($A10="",0,SUMPRODUCT(('עסקאות'!$B$5:$B$1004="דיבידנד")*('עסקאות'!$C$5:$C$1004=$A10)*(YEAR('עסקאות'!$A$5:$A$1004)=DivYear)*(MONTH('עסקאות'!$A$5:$A$1004)=9)*'עסקאות'!$F$5:$F$1004))</f>
        <v/>
      </c>
      <c r="K10" s="28">
        <f>IF($A10="",0,SUMPRODUCT(('עסקאות'!$B$5:$B$1004="דיבידנד")*('עסקאות'!$C$5:$C$1004=$A10)*(YEAR('עסקאות'!$A$5:$A$1004)=DivYear)*(MONTH('עסקאות'!$A$5:$A$1004)=10)*'עסקאות'!$F$5:$F$1004))</f>
        <v/>
      </c>
      <c r="L10" s="28">
        <f>IF($A10="",0,SUMPRODUCT(('עסקאות'!$B$5:$B$1004="דיבידנד")*('עסקאות'!$C$5:$C$1004=$A10)*(YEAR('עסקאות'!$A$5:$A$1004)=DivYear)*(MONTH('עסקאות'!$A$5:$A$1004)=11)*'עסקאות'!$F$5:$F$1004))</f>
        <v/>
      </c>
      <c r="M10" s="28">
        <f>IF($A10="",0,SUMPRODUCT(('עסקאות'!$B$5:$B$1004="דיבידנד")*('עסקאות'!$C$5:$C$1004=$A10)*(YEAR('עסקאות'!$A$5:$A$1004)=DivYear)*(MONTH('עסקאות'!$A$5:$A$1004)=12)*'עסקאות'!$F$5:$F$1004))</f>
        <v/>
      </c>
      <c r="N10" s="41">
        <f>SUM(B10:M10)</f>
        <v/>
      </c>
      <c r="O10" s="31">
        <f>IF(OR(A10="",'תיק'!I10=0),"",N10/'תיק'!I10)</f>
        <v/>
      </c>
    </row>
    <row r="11">
      <c r="A11" s="45">
        <f>IF('תיק'!A11="","",'תיק'!A11)</f>
        <v/>
      </c>
      <c r="B11" s="28">
        <f>IF($A11="",0,SUMPRODUCT(('עסקאות'!$B$5:$B$1004="דיבידנד")*('עסקאות'!$C$5:$C$1004=$A11)*(YEAR('עסקאות'!$A$5:$A$1004)=DivYear)*(MONTH('עסקאות'!$A$5:$A$1004)=1)*'עסקאות'!$F$5:$F$1004))</f>
        <v/>
      </c>
      <c r="C11" s="28">
        <f>IF($A11="",0,SUMPRODUCT(('עסקאות'!$B$5:$B$1004="דיבידנד")*('עסקאות'!$C$5:$C$1004=$A11)*(YEAR('עסקאות'!$A$5:$A$1004)=DivYear)*(MONTH('עסקאות'!$A$5:$A$1004)=2)*'עסקאות'!$F$5:$F$1004))</f>
        <v/>
      </c>
      <c r="D11" s="28">
        <f>IF($A11="",0,SUMPRODUCT(('עסקאות'!$B$5:$B$1004="דיבידנד")*('עסקאות'!$C$5:$C$1004=$A11)*(YEAR('עסקאות'!$A$5:$A$1004)=DivYear)*(MONTH('עסקאות'!$A$5:$A$1004)=3)*'עסקאות'!$F$5:$F$1004))</f>
        <v/>
      </c>
      <c r="E11" s="28">
        <f>IF($A11="",0,SUMPRODUCT(('עסקאות'!$B$5:$B$1004="דיבידנד")*('עסקאות'!$C$5:$C$1004=$A11)*(YEAR('עסקאות'!$A$5:$A$1004)=DivYear)*(MONTH('עסקאות'!$A$5:$A$1004)=4)*'עסקאות'!$F$5:$F$1004))</f>
        <v/>
      </c>
      <c r="F11" s="28">
        <f>IF($A11="",0,SUMPRODUCT(('עסקאות'!$B$5:$B$1004="דיבידנד")*('עסקאות'!$C$5:$C$1004=$A11)*(YEAR('עסקאות'!$A$5:$A$1004)=DivYear)*(MONTH('עסקאות'!$A$5:$A$1004)=5)*'עסקאות'!$F$5:$F$1004))</f>
        <v/>
      </c>
      <c r="G11" s="28">
        <f>IF($A11="",0,SUMPRODUCT(('עסקאות'!$B$5:$B$1004="דיבידנד")*('עסקאות'!$C$5:$C$1004=$A11)*(YEAR('עסקאות'!$A$5:$A$1004)=DivYear)*(MONTH('עסקאות'!$A$5:$A$1004)=6)*'עסקאות'!$F$5:$F$1004))</f>
        <v/>
      </c>
      <c r="H11" s="28">
        <f>IF($A11="",0,SUMPRODUCT(('עסקאות'!$B$5:$B$1004="דיבידנד")*('עסקאות'!$C$5:$C$1004=$A11)*(YEAR('עסקאות'!$A$5:$A$1004)=DivYear)*(MONTH('עסקאות'!$A$5:$A$1004)=7)*'עסקאות'!$F$5:$F$1004))</f>
        <v/>
      </c>
      <c r="I11" s="28">
        <f>IF($A11="",0,SUMPRODUCT(('עסקאות'!$B$5:$B$1004="דיבידנד")*('עסקאות'!$C$5:$C$1004=$A11)*(YEAR('עסקאות'!$A$5:$A$1004)=DivYear)*(MONTH('עסקאות'!$A$5:$A$1004)=8)*'עסקאות'!$F$5:$F$1004))</f>
        <v/>
      </c>
      <c r="J11" s="28">
        <f>IF($A11="",0,SUMPRODUCT(('עסקאות'!$B$5:$B$1004="דיבידנד")*('עסקאות'!$C$5:$C$1004=$A11)*(YEAR('עסקאות'!$A$5:$A$1004)=DivYear)*(MONTH('עסקאות'!$A$5:$A$1004)=9)*'עסקאות'!$F$5:$F$1004))</f>
        <v/>
      </c>
      <c r="K11" s="28">
        <f>IF($A11="",0,SUMPRODUCT(('עסקאות'!$B$5:$B$1004="דיבידנד")*('עסקאות'!$C$5:$C$1004=$A11)*(YEAR('עסקאות'!$A$5:$A$1004)=DivYear)*(MONTH('עסקאות'!$A$5:$A$1004)=10)*'עסקאות'!$F$5:$F$1004))</f>
        <v/>
      </c>
      <c r="L11" s="28">
        <f>IF($A11="",0,SUMPRODUCT(('עסקאות'!$B$5:$B$1004="דיבידנד")*('עסקאות'!$C$5:$C$1004=$A11)*(YEAR('עסקאות'!$A$5:$A$1004)=DivYear)*(MONTH('עסקאות'!$A$5:$A$1004)=11)*'עסקאות'!$F$5:$F$1004))</f>
        <v/>
      </c>
      <c r="M11" s="28">
        <f>IF($A11="",0,SUMPRODUCT(('עסקאות'!$B$5:$B$1004="דיבידנד")*('עסקאות'!$C$5:$C$1004=$A11)*(YEAR('עסקאות'!$A$5:$A$1004)=DivYear)*(MONTH('עסקאות'!$A$5:$A$1004)=12)*'עסקאות'!$F$5:$F$1004))</f>
        <v/>
      </c>
      <c r="N11" s="41">
        <f>SUM(B11:M11)</f>
        <v/>
      </c>
      <c r="O11" s="31">
        <f>IF(OR(A11="",'תיק'!I11=0),"",N11/'תיק'!I11)</f>
        <v/>
      </c>
    </row>
    <row r="12">
      <c r="A12" s="45">
        <f>IF('תיק'!A12="","",'תיק'!A12)</f>
        <v/>
      </c>
      <c r="B12" s="28">
        <f>IF($A12="",0,SUMPRODUCT(('עסקאות'!$B$5:$B$1004="דיבידנד")*('עסקאות'!$C$5:$C$1004=$A12)*(YEAR('עסקאות'!$A$5:$A$1004)=DivYear)*(MONTH('עסקאות'!$A$5:$A$1004)=1)*'עסקאות'!$F$5:$F$1004))</f>
        <v/>
      </c>
      <c r="C12" s="28">
        <f>IF($A12="",0,SUMPRODUCT(('עסקאות'!$B$5:$B$1004="דיבידנד")*('עסקאות'!$C$5:$C$1004=$A12)*(YEAR('עסקאות'!$A$5:$A$1004)=DivYear)*(MONTH('עסקאות'!$A$5:$A$1004)=2)*'עסקאות'!$F$5:$F$1004))</f>
        <v/>
      </c>
      <c r="D12" s="28">
        <f>IF($A12="",0,SUMPRODUCT(('עסקאות'!$B$5:$B$1004="דיבידנד")*('עסקאות'!$C$5:$C$1004=$A12)*(YEAR('עסקאות'!$A$5:$A$1004)=DivYear)*(MONTH('עסקאות'!$A$5:$A$1004)=3)*'עסקאות'!$F$5:$F$1004))</f>
        <v/>
      </c>
      <c r="E12" s="28">
        <f>IF($A12="",0,SUMPRODUCT(('עסקאות'!$B$5:$B$1004="דיבידנד")*('עסקאות'!$C$5:$C$1004=$A12)*(YEAR('עסקאות'!$A$5:$A$1004)=DivYear)*(MONTH('עסקאות'!$A$5:$A$1004)=4)*'עסקאות'!$F$5:$F$1004))</f>
        <v/>
      </c>
      <c r="F12" s="28">
        <f>IF($A12="",0,SUMPRODUCT(('עסקאות'!$B$5:$B$1004="דיבידנד")*('עסקאות'!$C$5:$C$1004=$A12)*(YEAR('עסקאות'!$A$5:$A$1004)=DivYear)*(MONTH('עסקאות'!$A$5:$A$1004)=5)*'עסקאות'!$F$5:$F$1004))</f>
        <v/>
      </c>
      <c r="G12" s="28">
        <f>IF($A12="",0,SUMPRODUCT(('עסקאות'!$B$5:$B$1004="דיבידנד")*('עסקאות'!$C$5:$C$1004=$A12)*(YEAR('עסקאות'!$A$5:$A$1004)=DivYear)*(MONTH('עסקאות'!$A$5:$A$1004)=6)*'עסקאות'!$F$5:$F$1004))</f>
        <v/>
      </c>
      <c r="H12" s="28">
        <f>IF($A12="",0,SUMPRODUCT(('עסקאות'!$B$5:$B$1004="דיבידנד")*('עסקאות'!$C$5:$C$1004=$A12)*(YEAR('עסקאות'!$A$5:$A$1004)=DivYear)*(MONTH('עסקאות'!$A$5:$A$1004)=7)*'עסקאות'!$F$5:$F$1004))</f>
        <v/>
      </c>
      <c r="I12" s="28">
        <f>IF($A12="",0,SUMPRODUCT(('עסקאות'!$B$5:$B$1004="דיבידנד")*('עסקאות'!$C$5:$C$1004=$A12)*(YEAR('עסקאות'!$A$5:$A$1004)=DivYear)*(MONTH('עסקאות'!$A$5:$A$1004)=8)*'עסקאות'!$F$5:$F$1004))</f>
        <v/>
      </c>
      <c r="J12" s="28">
        <f>IF($A12="",0,SUMPRODUCT(('עסקאות'!$B$5:$B$1004="דיבידנד")*('עסקאות'!$C$5:$C$1004=$A12)*(YEAR('עסקאות'!$A$5:$A$1004)=DivYear)*(MONTH('עסקאות'!$A$5:$A$1004)=9)*'עסקאות'!$F$5:$F$1004))</f>
        <v/>
      </c>
      <c r="K12" s="28">
        <f>IF($A12="",0,SUMPRODUCT(('עסקאות'!$B$5:$B$1004="דיבידנד")*('עסקאות'!$C$5:$C$1004=$A12)*(YEAR('עסקאות'!$A$5:$A$1004)=DivYear)*(MONTH('עסקאות'!$A$5:$A$1004)=10)*'עסקאות'!$F$5:$F$1004))</f>
        <v/>
      </c>
      <c r="L12" s="28">
        <f>IF($A12="",0,SUMPRODUCT(('עסקאות'!$B$5:$B$1004="דיבידנד")*('עסקאות'!$C$5:$C$1004=$A12)*(YEAR('עסקאות'!$A$5:$A$1004)=DivYear)*(MONTH('עסקאות'!$A$5:$A$1004)=11)*'עסקאות'!$F$5:$F$1004))</f>
        <v/>
      </c>
      <c r="M12" s="28">
        <f>IF($A12="",0,SUMPRODUCT(('עסקאות'!$B$5:$B$1004="דיבידנד")*('עסקאות'!$C$5:$C$1004=$A12)*(YEAR('עסקאות'!$A$5:$A$1004)=DivYear)*(MONTH('עסקאות'!$A$5:$A$1004)=12)*'עסקאות'!$F$5:$F$1004))</f>
        <v/>
      </c>
      <c r="N12" s="41">
        <f>SUM(B12:M12)</f>
        <v/>
      </c>
      <c r="O12" s="31">
        <f>IF(OR(A12="",'תיק'!I12=0),"",N12/'תיק'!I12)</f>
        <v/>
      </c>
    </row>
    <row r="13">
      <c r="A13" s="45">
        <f>IF('תיק'!A13="","",'תיק'!A13)</f>
        <v/>
      </c>
      <c r="B13" s="28">
        <f>IF($A13="",0,SUMPRODUCT(('עסקאות'!$B$5:$B$1004="דיבידנד")*('עסקאות'!$C$5:$C$1004=$A13)*(YEAR('עסקאות'!$A$5:$A$1004)=DivYear)*(MONTH('עסקאות'!$A$5:$A$1004)=1)*'עסקאות'!$F$5:$F$1004))</f>
        <v/>
      </c>
      <c r="C13" s="28">
        <f>IF($A13="",0,SUMPRODUCT(('עסקאות'!$B$5:$B$1004="דיבידנד")*('עסקאות'!$C$5:$C$1004=$A13)*(YEAR('עסקאות'!$A$5:$A$1004)=DivYear)*(MONTH('עסקאות'!$A$5:$A$1004)=2)*'עסקאות'!$F$5:$F$1004))</f>
        <v/>
      </c>
      <c r="D13" s="28">
        <f>IF($A13="",0,SUMPRODUCT(('עסקאות'!$B$5:$B$1004="דיבידנד")*('עסקאות'!$C$5:$C$1004=$A13)*(YEAR('עסקאות'!$A$5:$A$1004)=DivYear)*(MONTH('עסקאות'!$A$5:$A$1004)=3)*'עסקאות'!$F$5:$F$1004))</f>
        <v/>
      </c>
      <c r="E13" s="28">
        <f>IF($A13="",0,SUMPRODUCT(('עסקאות'!$B$5:$B$1004="דיבידנד")*('עסקאות'!$C$5:$C$1004=$A13)*(YEAR('עסקאות'!$A$5:$A$1004)=DivYear)*(MONTH('עסקאות'!$A$5:$A$1004)=4)*'עסקאות'!$F$5:$F$1004))</f>
        <v/>
      </c>
      <c r="F13" s="28">
        <f>IF($A13="",0,SUMPRODUCT(('עסקאות'!$B$5:$B$1004="דיבידנד")*('עסקאות'!$C$5:$C$1004=$A13)*(YEAR('עסקאות'!$A$5:$A$1004)=DivYear)*(MONTH('עסקאות'!$A$5:$A$1004)=5)*'עסקאות'!$F$5:$F$1004))</f>
        <v/>
      </c>
      <c r="G13" s="28">
        <f>IF($A13="",0,SUMPRODUCT(('עסקאות'!$B$5:$B$1004="דיבידנד")*('עסקאות'!$C$5:$C$1004=$A13)*(YEAR('עסקאות'!$A$5:$A$1004)=DivYear)*(MONTH('עסקאות'!$A$5:$A$1004)=6)*'עסקאות'!$F$5:$F$1004))</f>
        <v/>
      </c>
      <c r="H13" s="28">
        <f>IF($A13="",0,SUMPRODUCT(('עסקאות'!$B$5:$B$1004="דיבידנד")*('עסקאות'!$C$5:$C$1004=$A13)*(YEAR('עסקאות'!$A$5:$A$1004)=DivYear)*(MONTH('עסקאות'!$A$5:$A$1004)=7)*'עסקאות'!$F$5:$F$1004))</f>
        <v/>
      </c>
      <c r="I13" s="28">
        <f>IF($A13="",0,SUMPRODUCT(('עסקאות'!$B$5:$B$1004="דיבידנד")*('עסקאות'!$C$5:$C$1004=$A13)*(YEAR('עסקאות'!$A$5:$A$1004)=DivYear)*(MONTH('עסקאות'!$A$5:$A$1004)=8)*'עסקאות'!$F$5:$F$1004))</f>
        <v/>
      </c>
      <c r="J13" s="28">
        <f>IF($A13="",0,SUMPRODUCT(('עסקאות'!$B$5:$B$1004="דיבידנד")*('עסקאות'!$C$5:$C$1004=$A13)*(YEAR('עסקאות'!$A$5:$A$1004)=DivYear)*(MONTH('עסקאות'!$A$5:$A$1004)=9)*'עסקאות'!$F$5:$F$1004))</f>
        <v/>
      </c>
      <c r="K13" s="28">
        <f>IF($A13="",0,SUMPRODUCT(('עסקאות'!$B$5:$B$1004="דיבידנד")*('עסקאות'!$C$5:$C$1004=$A13)*(YEAR('עסקאות'!$A$5:$A$1004)=DivYear)*(MONTH('עסקאות'!$A$5:$A$1004)=10)*'עסקאות'!$F$5:$F$1004))</f>
        <v/>
      </c>
      <c r="L13" s="28">
        <f>IF($A13="",0,SUMPRODUCT(('עסקאות'!$B$5:$B$1004="דיבידנד")*('עסקאות'!$C$5:$C$1004=$A13)*(YEAR('עסקאות'!$A$5:$A$1004)=DivYear)*(MONTH('עסקאות'!$A$5:$A$1004)=11)*'עסקאות'!$F$5:$F$1004))</f>
        <v/>
      </c>
      <c r="M13" s="28">
        <f>IF($A13="",0,SUMPRODUCT(('עסקאות'!$B$5:$B$1004="דיבידנד")*('עסקאות'!$C$5:$C$1004=$A13)*(YEAR('עסקאות'!$A$5:$A$1004)=DivYear)*(MONTH('עסקאות'!$A$5:$A$1004)=12)*'עסקאות'!$F$5:$F$1004))</f>
        <v/>
      </c>
      <c r="N13" s="41">
        <f>SUM(B13:M13)</f>
        <v/>
      </c>
      <c r="O13" s="31">
        <f>IF(OR(A13="",'תיק'!I13=0),"",N13/'תיק'!I13)</f>
        <v/>
      </c>
    </row>
    <row r="14">
      <c r="A14" s="45">
        <f>IF('תיק'!A14="","",'תיק'!A14)</f>
        <v/>
      </c>
      <c r="B14" s="28">
        <f>IF($A14="",0,SUMPRODUCT(('עסקאות'!$B$5:$B$1004="דיבידנד")*('עסקאות'!$C$5:$C$1004=$A14)*(YEAR('עסקאות'!$A$5:$A$1004)=DivYear)*(MONTH('עסקאות'!$A$5:$A$1004)=1)*'עסקאות'!$F$5:$F$1004))</f>
        <v/>
      </c>
      <c r="C14" s="28">
        <f>IF($A14="",0,SUMPRODUCT(('עסקאות'!$B$5:$B$1004="דיבידנד")*('עסקאות'!$C$5:$C$1004=$A14)*(YEAR('עסקאות'!$A$5:$A$1004)=DivYear)*(MONTH('עסקאות'!$A$5:$A$1004)=2)*'עסקאות'!$F$5:$F$1004))</f>
        <v/>
      </c>
      <c r="D14" s="28">
        <f>IF($A14="",0,SUMPRODUCT(('עסקאות'!$B$5:$B$1004="דיבידנד")*('עסקאות'!$C$5:$C$1004=$A14)*(YEAR('עסקאות'!$A$5:$A$1004)=DivYear)*(MONTH('עסקאות'!$A$5:$A$1004)=3)*'עסקאות'!$F$5:$F$1004))</f>
        <v/>
      </c>
      <c r="E14" s="28">
        <f>IF($A14="",0,SUMPRODUCT(('עסקאות'!$B$5:$B$1004="דיבידנד")*('עסקאות'!$C$5:$C$1004=$A14)*(YEAR('עסקאות'!$A$5:$A$1004)=DivYear)*(MONTH('עסקאות'!$A$5:$A$1004)=4)*'עסקאות'!$F$5:$F$1004))</f>
        <v/>
      </c>
      <c r="F14" s="28">
        <f>IF($A14="",0,SUMPRODUCT(('עסקאות'!$B$5:$B$1004="דיבידנד")*('עסקאות'!$C$5:$C$1004=$A14)*(YEAR('עסקאות'!$A$5:$A$1004)=DivYear)*(MONTH('עסקאות'!$A$5:$A$1004)=5)*'עסקאות'!$F$5:$F$1004))</f>
        <v/>
      </c>
      <c r="G14" s="28">
        <f>IF($A14="",0,SUMPRODUCT(('עסקאות'!$B$5:$B$1004="דיבידנד")*('עסקאות'!$C$5:$C$1004=$A14)*(YEAR('עסקאות'!$A$5:$A$1004)=DivYear)*(MONTH('עסקאות'!$A$5:$A$1004)=6)*'עסקאות'!$F$5:$F$1004))</f>
        <v/>
      </c>
      <c r="H14" s="28">
        <f>IF($A14="",0,SUMPRODUCT(('עסקאות'!$B$5:$B$1004="דיבידנד")*('עסקאות'!$C$5:$C$1004=$A14)*(YEAR('עסקאות'!$A$5:$A$1004)=DivYear)*(MONTH('עסקאות'!$A$5:$A$1004)=7)*'עסקאות'!$F$5:$F$1004))</f>
        <v/>
      </c>
      <c r="I14" s="28">
        <f>IF($A14="",0,SUMPRODUCT(('עסקאות'!$B$5:$B$1004="דיבידנד")*('עסקאות'!$C$5:$C$1004=$A14)*(YEAR('עסקאות'!$A$5:$A$1004)=DivYear)*(MONTH('עסקאות'!$A$5:$A$1004)=8)*'עסקאות'!$F$5:$F$1004))</f>
        <v/>
      </c>
      <c r="J14" s="28">
        <f>IF($A14="",0,SUMPRODUCT(('עסקאות'!$B$5:$B$1004="דיבידנד")*('עסקאות'!$C$5:$C$1004=$A14)*(YEAR('עסקאות'!$A$5:$A$1004)=DivYear)*(MONTH('עסקאות'!$A$5:$A$1004)=9)*'עסקאות'!$F$5:$F$1004))</f>
        <v/>
      </c>
      <c r="K14" s="28">
        <f>IF($A14="",0,SUMPRODUCT(('עסקאות'!$B$5:$B$1004="דיבידנד")*('עסקאות'!$C$5:$C$1004=$A14)*(YEAR('עסקאות'!$A$5:$A$1004)=DivYear)*(MONTH('עסקאות'!$A$5:$A$1004)=10)*'עסקאות'!$F$5:$F$1004))</f>
        <v/>
      </c>
      <c r="L14" s="28">
        <f>IF($A14="",0,SUMPRODUCT(('עסקאות'!$B$5:$B$1004="דיבידנד")*('עסקאות'!$C$5:$C$1004=$A14)*(YEAR('עסקאות'!$A$5:$A$1004)=DivYear)*(MONTH('עסקאות'!$A$5:$A$1004)=11)*'עסקאות'!$F$5:$F$1004))</f>
        <v/>
      </c>
      <c r="M14" s="28">
        <f>IF($A14="",0,SUMPRODUCT(('עסקאות'!$B$5:$B$1004="דיבידנד")*('עסקאות'!$C$5:$C$1004=$A14)*(YEAR('עסקאות'!$A$5:$A$1004)=DivYear)*(MONTH('עסקאות'!$A$5:$A$1004)=12)*'עסקאות'!$F$5:$F$1004))</f>
        <v/>
      </c>
      <c r="N14" s="41">
        <f>SUM(B14:M14)</f>
        <v/>
      </c>
      <c r="O14" s="31">
        <f>IF(OR(A14="",'תיק'!I14=0),"",N14/'תיק'!I14)</f>
        <v/>
      </c>
    </row>
    <row r="15">
      <c r="A15" s="45">
        <f>IF('תיק'!A15="","",'תיק'!A15)</f>
        <v/>
      </c>
      <c r="B15" s="28">
        <f>IF($A15="",0,SUMPRODUCT(('עסקאות'!$B$5:$B$1004="דיבידנד")*('עסקאות'!$C$5:$C$1004=$A15)*(YEAR('עסקאות'!$A$5:$A$1004)=DivYear)*(MONTH('עסקאות'!$A$5:$A$1004)=1)*'עסקאות'!$F$5:$F$1004))</f>
        <v/>
      </c>
      <c r="C15" s="28">
        <f>IF($A15="",0,SUMPRODUCT(('עסקאות'!$B$5:$B$1004="דיבידנד")*('עסקאות'!$C$5:$C$1004=$A15)*(YEAR('עסקאות'!$A$5:$A$1004)=DivYear)*(MONTH('עסקאות'!$A$5:$A$1004)=2)*'עסקאות'!$F$5:$F$1004))</f>
        <v/>
      </c>
      <c r="D15" s="28">
        <f>IF($A15="",0,SUMPRODUCT(('עסקאות'!$B$5:$B$1004="דיבידנד")*('עסקאות'!$C$5:$C$1004=$A15)*(YEAR('עסקאות'!$A$5:$A$1004)=DivYear)*(MONTH('עסקאות'!$A$5:$A$1004)=3)*'עסקאות'!$F$5:$F$1004))</f>
        <v/>
      </c>
      <c r="E15" s="28">
        <f>IF($A15="",0,SUMPRODUCT(('עסקאות'!$B$5:$B$1004="דיבידנד")*('עסקאות'!$C$5:$C$1004=$A15)*(YEAR('עסקאות'!$A$5:$A$1004)=DivYear)*(MONTH('עסקאות'!$A$5:$A$1004)=4)*'עסקאות'!$F$5:$F$1004))</f>
        <v/>
      </c>
      <c r="F15" s="28">
        <f>IF($A15="",0,SUMPRODUCT(('עסקאות'!$B$5:$B$1004="דיבידנד")*('עסקאות'!$C$5:$C$1004=$A15)*(YEAR('עסקאות'!$A$5:$A$1004)=DivYear)*(MONTH('עסקאות'!$A$5:$A$1004)=5)*'עסקאות'!$F$5:$F$1004))</f>
        <v/>
      </c>
      <c r="G15" s="28">
        <f>IF($A15="",0,SUMPRODUCT(('עסקאות'!$B$5:$B$1004="דיבידנד")*('עסקאות'!$C$5:$C$1004=$A15)*(YEAR('עסקאות'!$A$5:$A$1004)=DivYear)*(MONTH('עסקאות'!$A$5:$A$1004)=6)*'עסקאות'!$F$5:$F$1004))</f>
        <v/>
      </c>
      <c r="H15" s="28">
        <f>IF($A15="",0,SUMPRODUCT(('עסקאות'!$B$5:$B$1004="דיבידנד")*('עסקאות'!$C$5:$C$1004=$A15)*(YEAR('עסקאות'!$A$5:$A$1004)=DivYear)*(MONTH('עסקאות'!$A$5:$A$1004)=7)*'עסקאות'!$F$5:$F$1004))</f>
        <v/>
      </c>
      <c r="I15" s="28">
        <f>IF($A15="",0,SUMPRODUCT(('עסקאות'!$B$5:$B$1004="דיבידנד")*('עסקאות'!$C$5:$C$1004=$A15)*(YEAR('עסקאות'!$A$5:$A$1004)=DivYear)*(MONTH('עסקאות'!$A$5:$A$1004)=8)*'עסקאות'!$F$5:$F$1004))</f>
        <v/>
      </c>
      <c r="J15" s="28">
        <f>IF($A15="",0,SUMPRODUCT(('עסקאות'!$B$5:$B$1004="דיבידנד")*('עסקאות'!$C$5:$C$1004=$A15)*(YEAR('עסקאות'!$A$5:$A$1004)=DivYear)*(MONTH('עסקאות'!$A$5:$A$1004)=9)*'עסקאות'!$F$5:$F$1004))</f>
        <v/>
      </c>
      <c r="K15" s="28">
        <f>IF($A15="",0,SUMPRODUCT(('עסקאות'!$B$5:$B$1004="דיבידנד")*('עסקאות'!$C$5:$C$1004=$A15)*(YEAR('עסקאות'!$A$5:$A$1004)=DivYear)*(MONTH('עסקאות'!$A$5:$A$1004)=10)*'עסקאות'!$F$5:$F$1004))</f>
        <v/>
      </c>
      <c r="L15" s="28">
        <f>IF($A15="",0,SUMPRODUCT(('עסקאות'!$B$5:$B$1004="דיבידנד")*('עסקאות'!$C$5:$C$1004=$A15)*(YEAR('עסקאות'!$A$5:$A$1004)=DivYear)*(MONTH('עסקאות'!$A$5:$A$1004)=11)*'עסקאות'!$F$5:$F$1004))</f>
        <v/>
      </c>
      <c r="M15" s="28">
        <f>IF($A15="",0,SUMPRODUCT(('עסקאות'!$B$5:$B$1004="דיבידנד")*('עסקאות'!$C$5:$C$1004=$A15)*(YEAR('עסקאות'!$A$5:$A$1004)=DivYear)*(MONTH('עסקאות'!$A$5:$A$1004)=12)*'עסקאות'!$F$5:$F$1004))</f>
        <v/>
      </c>
      <c r="N15" s="41">
        <f>SUM(B15:M15)</f>
        <v/>
      </c>
      <c r="O15" s="31">
        <f>IF(OR(A15="",'תיק'!I15=0),"",N15/'תיק'!I15)</f>
        <v/>
      </c>
    </row>
    <row r="16">
      <c r="A16" s="45">
        <f>IF('תיק'!A16="","",'תיק'!A16)</f>
        <v/>
      </c>
      <c r="B16" s="28">
        <f>IF($A16="",0,SUMPRODUCT(('עסקאות'!$B$5:$B$1004="דיבידנד")*('עסקאות'!$C$5:$C$1004=$A16)*(YEAR('עסקאות'!$A$5:$A$1004)=DivYear)*(MONTH('עסקאות'!$A$5:$A$1004)=1)*'עסקאות'!$F$5:$F$1004))</f>
        <v/>
      </c>
      <c r="C16" s="28">
        <f>IF($A16="",0,SUMPRODUCT(('עסקאות'!$B$5:$B$1004="דיבידנד")*('עסקאות'!$C$5:$C$1004=$A16)*(YEAR('עסקאות'!$A$5:$A$1004)=DivYear)*(MONTH('עסקאות'!$A$5:$A$1004)=2)*'עסקאות'!$F$5:$F$1004))</f>
        <v/>
      </c>
      <c r="D16" s="28">
        <f>IF($A16="",0,SUMPRODUCT(('עסקאות'!$B$5:$B$1004="דיבידנד")*('עסקאות'!$C$5:$C$1004=$A16)*(YEAR('עסקאות'!$A$5:$A$1004)=DivYear)*(MONTH('עסקאות'!$A$5:$A$1004)=3)*'עסקאות'!$F$5:$F$1004))</f>
        <v/>
      </c>
      <c r="E16" s="28">
        <f>IF($A16="",0,SUMPRODUCT(('עסקאות'!$B$5:$B$1004="דיבידנד")*('עסקאות'!$C$5:$C$1004=$A16)*(YEAR('עסקאות'!$A$5:$A$1004)=DivYear)*(MONTH('עסקאות'!$A$5:$A$1004)=4)*'עסקאות'!$F$5:$F$1004))</f>
        <v/>
      </c>
      <c r="F16" s="28">
        <f>IF($A16="",0,SUMPRODUCT(('עסקאות'!$B$5:$B$1004="דיבידנד")*('עסקאות'!$C$5:$C$1004=$A16)*(YEAR('עסקאות'!$A$5:$A$1004)=DivYear)*(MONTH('עסקאות'!$A$5:$A$1004)=5)*'עסקאות'!$F$5:$F$1004))</f>
        <v/>
      </c>
      <c r="G16" s="28">
        <f>IF($A16="",0,SUMPRODUCT(('עסקאות'!$B$5:$B$1004="דיבידנד")*('עסקאות'!$C$5:$C$1004=$A16)*(YEAR('עסקאות'!$A$5:$A$1004)=DivYear)*(MONTH('עסקאות'!$A$5:$A$1004)=6)*'עסקאות'!$F$5:$F$1004))</f>
        <v/>
      </c>
      <c r="H16" s="28">
        <f>IF($A16="",0,SUMPRODUCT(('עסקאות'!$B$5:$B$1004="דיבידנד")*('עסקאות'!$C$5:$C$1004=$A16)*(YEAR('עסקאות'!$A$5:$A$1004)=DivYear)*(MONTH('עסקאות'!$A$5:$A$1004)=7)*'עסקאות'!$F$5:$F$1004))</f>
        <v/>
      </c>
      <c r="I16" s="28">
        <f>IF($A16="",0,SUMPRODUCT(('עסקאות'!$B$5:$B$1004="דיבידנד")*('עסקאות'!$C$5:$C$1004=$A16)*(YEAR('עסקאות'!$A$5:$A$1004)=DivYear)*(MONTH('עסקאות'!$A$5:$A$1004)=8)*'עסקאות'!$F$5:$F$1004))</f>
        <v/>
      </c>
      <c r="J16" s="28">
        <f>IF($A16="",0,SUMPRODUCT(('עסקאות'!$B$5:$B$1004="דיבידנד")*('עסקאות'!$C$5:$C$1004=$A16)*(YEAR('עסקאות'!$A$5:$A$1004)=DivYear)*(MONTH('עסקאות'!$A$5:$A$1004)=9)*'עסקאות'!$F$5:$F$1004))</f>
        <v/>
      </c>
      <c r="K16" s="28">
        <f>IF($A16="",0,SUMPRODUCT(('עסקאות'!$B$5:$B$1004="דיבידנד")*('עסקאות'!$C$5:$C$1004=$A16)*(YEAR('עסקאות'!$A$5:$A$1004)=DivYear)*(MONTH('עסקאות'!$A$5:$A$1004)=10)*'עסקאות'!$F$5:$F$1004))</f>
        <v/>
      </c>
      <c r="L16" s="28">
        <f>IF($A16="",0,SUMPRODUCT(('עסקאות'!$B$5:$B$1004="דיבידנד")*('עסקאות'!$C$5:$C$1004=$A16)*(YEAR('עסקאות'!$A$5:$A$1004)=DivYear)*(MONTH('עסקאות'!$A$5:$A$1004)=11)*'עסקאות'!$F$5:$F$1004))</f>
        <v/>
      </c>
      <c r="M16" s="28">
        <f>IF($A16="",0,SUMPRODUCT(('עסקאות'!$B$5:$B$1004="דיבידנד")*('עסקאות'!$C$5:$C$1004=$A16)*(YEAR('עסקאות'!$A$5:$A$1004)=DivYear)*(MONTH('עסקאות'!$A$5:$A$1004)=12)*'עסקאות'!$F$5:$F$1004))</f>
        <v/>
      </c>
      <c r="N16" s="41">
        <f>SUM(B16:M16)</f>
        <v/>
      </c>
      <c r="O16" s="31">
        <f>IF(OR(A16="",'תיק'!I16=0),"",N16/'תיק'!I16)</f>
        <v/>
      </c>
    </row>
    <row r="17">
      <c r="A17" s="45">
        <f>IF('תיק'!A17="","",'תיק'!A17)</f>
        <v/>
      </c>
      <c r="B17" s="28">
        <f>IF($A17="",0,SUMPRODUCT(('עסקאות'!$B$5:$B$1004="דיבידנד")*('עסקאות'!$C$5:$C$1004=$A17)*(YEAR('עסקאות'!$A$5:$A$1004)=DivYear)*(MONTH('עסקאות'!$A$5:$A$1004)=1)*'עסקאות'!$F$5:$F$1004))</f>
        <v/>
      </c>
      <c r="C17" s="28">
        <f>IF($A17="",0,SUMPRODUCT(('עסקאות'!$B$5:$B$1004="דיבידנד")*('עסקאות'!$C$5:$C$1004=$A17)*(YEAR('עסקאות'!$A$5:$A$1004)=DivYear)*(MONTH('עסקאות'!$A$5:$A$1004)=2)*'עסקאות'!$F$5:$F$1004))</f>
        <v/>
      </c>
      <c r="D17" s="28">
        <f>IF($A17="",0,SUMPRODUCT(('עסקאות'!$B$5:$B$1004="דיבידנד")*('עסקאות'!$C$5:$C$1004=$A17)*(YEAR('עסקאות'!$A$5:$A$1004)=DivYear)*(MONTH('עסקאות'!$A$5:$A$1004)=3)*'עסקאות'!$F$5:$F$1004))</f>
        <v/>
      </c>
      <c r="E17" s="28">
        <f>IF($A17="",0,SUMPRODUCT(('עסקאות'!$B$5:$B$1004="דיבידנד")*('עסקאות'!$C$5:$C$1004=$A17)*(YEAR('עסקאות'!$A$5:$A$1004)=DivYear)*(MONTH('עסקאות'!$A$5:$A$1004)=4)*'עסקאות'!$F$5:$F$1004))</f>
        <v/>
      </c>
      <c r="F17" s="28">
        <f>IF($A17="",0,SUMPRODUCT(('עסקאות'!$B$5:$B$1004="דיבידנד")*('עסקאות'!$C$5:$C$1004=$A17)*(YEAR('עסקאות'!$A$5:$A$1004)=DivYear)*(MONTH('עסקאות'!$A$5:$A$1004)=5)*'עסקאות'!$F$5:$F$1004))</f>
        <v/>
      </c>
      <c r="G17" s="28">
        <f>IF($A17="",0,SUMPRODUCT(('עסקאות'!$B$5:$B$1004="דיבידנד")*('עסקאות'!$C$5:$C$1004=$A17)*(YEAR('עסקאות'!$A$5:$A$1004)=DivYear)*(MONTH('עסקאות'!$A$5:$A$1004)=6)*'עסקאות'!$F$5:$F$1004))</f>
        <v/>
      </c>
      <c r="H17" s="28">
        <f>IF($A17="",0,SUMPRODUCT(('עסקאות'!$B$5:$B$1004="דיבידנד")*('עסקאות'!$C$5:$C$1004=$A17)*(YEAR('עסקאות'!$A$5:$A$1004)=DivYear)*(MONTH('עסקאות'!$A$5:$A$1004)=7)*'עסקאות'!$F$5:$F$1004))</f>
        <v/>
      </c>
      <c r="I17" s="28">
        <f>IF($A17="",0,SUMPRODUCT(('עסקאות'!$B$5:$B$1004="דיבידנד")*('עסקאות'!$C$5:$C$1004=$A17)*(YEAR('עסקאות'!$A$5:$A$1004)=DivYear)*(MONTH('עסקאות'!$A$5:$A$1004)=8)*'עסקאות'!$F$5:$F$1004))</f>
        <v/>
      </c>
      <c r="J17" s="28">
        <f>IF($A17="",0,SUMPRODUCT(('עסקאות'!$B$5:$B$1004="דיבידנד")*('עסקאות'!$C$5:$C$1004=$A17)*(YEAR('עסקאות'!$A$5:$A$1004)=DivYear)*(MONTH('עסקאות'!$A$5:$A$1004)=9)*'עסקאות'!$F$5:$F$1004))</f>
        <v/>
      </c>
      <c r="K17" s="28">
        <f>IF($A17="",0,SUMPRODUCT(('עסקאות'!$B$5:$B$1004="דיבידנד")*('עסקאות'!$C$5:$C$1004=$A17)*(YEAR('עסקאות'!$A$5:$A$1004)=DivYear)*(MONTH('עסקאות'!$A$5:$A$1004)=10)*'עסקאות'!$F$5:$F$1004))</f>
        <v/>
      </c>
      <c r="L17" s="28">
        <f>IF($A17="",0,SUMPRODUCT(('עסקאות'!$B$5:$B$1004="דיבידנד")*('עסקאות'!$C$5:$C$1004=$A17)*(YEAR('עסקאות'!$A$5:$A$1004)=DivYear)*(MONTH('עסקאות'!$A$5:$A$1004)=11)*'עסקאות'!$F$5:$F$1004))</f>
        <v/>
      </c>
      <c r="M17" s="28">
        <f>IF($A17="",0,SUMPRODUCT(('עסקאות'!$B$5:$B$1004="דיבידנד")*('עסקאות'!$C$5:$C$1004=$A17)*(YEAR('עסקאות'!$A$5:$A$1004)=DivYear)*(MONTH('עסקאות'!$A$5:$A$1004)=12)*'עסקאות'!$F$5:$F$1004))</f>
        <v/>
      </c>
      <c r="N17" s="41">
        <f>SUM(B17:M17)</f>
        <v/>
      </c>
      <c r="O17" s="31">
        <f>IF(OR(A17="",'תיק'!I17=0),"",N17/'תיק'!I17)</f>
        <v/>
      </c>
    </row>
    <row r="18">
      <c r="A18" s="45">
        <f>IF('תיק'!A18="","",'תיק'!A18)</f>
        <v/>
      </c>
      <c r="B18" s="28">
        <f>IF($A18="",0,SUMPRODUCT(('עסקאות'!$B$5:$B$1004="דיבידנד")*('עסקאות'!$C$5:$C$1004=$A18)*(YEAR('עסקאות'!$A$5:$A$1004)=DivYear)*(MONTH('עסקאות'!$A$5:$A$1004)=1)*'עסקאות'!$F$5:$F$1004))</f>
        <v/>
      </c>
      <c r="C18" s="28">
        <f>IF($A18="",0,SUMPRODUCT(('עסקאות'!$B$5:$B$1004="דיבידנד")*('עסקאות'!$C$5:$C$1004=$A18)*(YEAR('עסקאות'!$A$5:$A$1004)=DivYear)*(MONTH('עסקאות'!$A$5:$A$1004)=2)*'עסקאות'!$F$5:$F$1004))</f>
        <v/>
      </c>
      <c r="D18" s="28">
        <f>IF($A18="",0,SUMPRODUCT(('עסקאות'!$B$5:$B$1004="דיבידנד")*('עסקאות'!$C$5:$C$1004=$A18)*(YEAR('עסקאות'!$A$5:$A$1004)=DivYear)*(MONTH('עסקאות'!$A$5:$A$1004)=3)*'עסקאות'!$F$5:$F$1004))</f>
        <v/>
      </c>
      <c r="E18" s="28">
        <f>IF($A18="",0,SUMPRODUCT(('עסקאות'!$B$5:$B$1004="דיבידנד")*('עסקאות'!$C$5:$C$1004=$A18)*(YEAR('עסקאות'!$A$5:$A$1004)=DivYear)*(MONTH('עסקאות'!$A$5:$A$1004)=4)*'עסקאות'!$F$5:$F$1004))</f>
        <v/>
      </c>
      <c r="F18" s="28">
        <f>IF($A18="",0,SUMPRODUCT(('עסקאות'!$B$5:$B$1004="דיבידנד")*('עסקאות'!$C$5:$C$1004=$A18)*(YEAR('עסקאות'!$A$5:$A$1004)=DivYear)*(MONTH('עסקאות'!$A$5:$A$1004)=5)*'עסקאות'!$F$5:$F$1004))</f>
        <v/>
      </c>
      <c r="G18" s="28">
        <f>IF($A18="",0,SUMPRODUCT(('עסקאות'!$B$5:$B$1004="דיבידנד")*('עסקאות'!$C$5:$C$1004=$A18)*(YEAR('עסקאות'!$A$5:$A$1004)=DivYear)*(MONTH('עסקאות'!$A$5:$A$1004)=6)*'עסקאות'!$F$5:$F$1004))</f>
        <v/>
      </c>
      <c r="H18" s="28">
        <f>IF($A18="",0,SUMPRODUCT(('עסקאות'!$B$5:$B$1004="דיבידנד")*('עסקאות'!$C$5:$C$1004=$A18)*(YEAR('עסקאות'!$A$5:$A$1004)=DivYear)*(MONTH('עסקאות'!$A$5:$A$1004)=7)*'עסקאות'!$F$5:$F$1004))</f>
        <v/>
      </c>
      <c r="I18" s="28">
        <f>IF($A18="",0,SUMPRODUCT(('עסקאות'!$B$5:$B$1004="דיבידנד")*('עסקאות'!$C$5:$C$1004=$A18)*(YEAR('עסקאות'!$A$5:$A$1004)=DivYear)*(MONTH('עסקאות'!$A$5:$A$1004)=8)*'עסקאות'!$F$5:$F$1004))</f>
        <v/>
      </c>
      <c r="J18" s="28">
        <f>IF($A18="",0,SUMPRODUCT(('עסקאות'!$B$5:$B$1004="דיבידנד")*('עסקאות'!$C$5:$C$1004=$A18)*(YEAR('עסקאות'!$A$5:$A$1004)=DivYear)*(MONTH('עסקאות'!$A$5:$A$1004)=9)*'עסקאות'!$F$5:$F$1004))</f>
        <v/>
      </c>
      <c r="K18" s="28">
        <f>IF($A18="",0,SUMPRODUCT(('עסקאות'!$B$5:$B$1004="דיבידנד")*('עסקאות'!$C$5:$C$1004=$A18)*(YEAR('עסקאות'!$A$5:$A$1004)=DivYear)*(MONTH('עסקאות'!$A$5:$A$1004)=10)*'עסקאות'!$F$5:$F$1004))</f>
        <v/>
      </c>
      <c r="L18" s="28">
        <f>IF($A18="",0,SUMPRODUCT(('עסקאות'!$B$5:$B$1004="דיבידנד")*('עסקאות'!$C$5:$C$1004=$A18)*(YEAR('עסקאות'!$A$5:$A$1004)=DivYear)*(MONTH('עסקאות'!$A$5:$A$1004)=11)*'עסקאות'!$F$5:$F$1004))</f>
        <v/>
      </c>
      <c r="M18" s="28">
        <f>IF($A18="",0,SUMPRODUCT(('עסקאות'!$B$5:$B$1004="דיבידנד")*('עסקאות'!$C$5:$C$1004=$A18)*(YEAR('עסקאות'!$A$5:$A$1004)=DivYear)*(MONTH('עסקאות'!$A$5:$A$1004)=12)*'עסקאות'!$F$5:$F$1004))</f>
        <v/>
      </c>
      <c r="N18" s="41">
        <f>SUM(B18:M18)</f>
        <v/>
      </c>
      <c r="O18" s="31">
        <f>IF(OR(A18="",'תיק'!I18=0),"",N18/'תיק'!I18)</f>
        <v/>
      </c>
    </row>
    <row r="19">
      <c r="A19" s="45">
        <f>IF('תיק'!A19="","",'תיק'!A19)</f>
        <v/>
      </c>
      <c r="B19" s="28">
        <f>IF($A19="",0,SUMPRODUCT(('עסקאות'!$B$5:$B$1004="דיבידנד")*('עסקאות'!$C$5:$C$1004=$A19)*(YEAR('עסקאות'!$A$5:$A$1004)=DivYear)*(MONTH('עסקאות'!$A$5:$A$1004)=1)*'עסקאות'!$F$5:$F$1004))</f>
        <v/>
      </c>
      <c r="C19" s="28">
        <f>IF($A19="",0,SUMPRODUCT(('עסקאות'!$B$5:$B$1004="דיבידנד")*('עסקאות'!$C$5:$C$1004=$A19)*(YEAR('עסקאות'!$A$5:$A$1004)=DivYear)*(MONTH('עסקאות'!$A$5:$A$1004)=2)*'עסקאות'!$F$5:$F$1004))</f>
        <v/>
      </c>
      <c r="D19" s="28">
        <f>IF($A19="",0,SUMPRODUCT(('עסקאות'!$B$5:$B$1004="דיבידנד")*('עסקאות'!$C$5:$C$1004=$A19)*(YEAR('עסקאות'!$A$5:$A$1004)=DivYear)*(MONTH('עסקאות'!$A$5:$A$1004)=3)*'עסקאות'!$F$5:$F$1004))</f>
        <v/>
      </c>
      <c r="E19" s="28">
        <f>IF($A19="",0,SUMPRODUCT(('עסקאות'!$B$5:$B$1004="דיבידנד")*('עסקאות'!$C$5:$C$1004=$A19)*(YEAR('עסקאות'!$A$5:$A$1004)=DivYear)*(MONTH('עסקאות'!$A$5:$A$1004)=4)*'עסקאות'!$F$5:$F$1004))</f>
        <v/>
      </c>
      <c r="F19" s="28">
        <f>IF($A19="",0,SUMPRODUCT(('עסקאות'!$B$5:$B$1004="דיבידנד")*('עסקאות'!$C$5:$C$1004=$A19)*(YEAR('עסקאות'!$A$5:$A$1004)=DivYear)*(MONTH('עסקאות'!$A$5:$A$1004)=5)*'עסקאות'!$F$5:$F$1004))</f>
        <v/>
      </c>
      <c r="G19" s="28">
        <f>IF($A19="",0,SUMPRODUCT(('עסקאות'!$B$5:$B$1004="דיבידנד")*('עסקאות'!$C$5:$C$1004=$A19)*(YEAR('עסקאות'!$A$5:$A$1004)=DivYear)*(MONTH('עסקאות'!$A$5:$A$1004)=6)*'עסקאות'!$F$5:$F$1004))</f>
        <v/>
      </c>
      <c r="H19" s="28">
        <f>IF($A19="",0,SUMPRODUCT(('עסקאות'!$B$5:$B$1004="דיבידנד")*('עסקאות'!$C$5:$C$1004=$A19)*(YEAR('עסקאות'!$A$5:$A$1004)=DivYear)*(MONTH('עסקאות'!$A$5:$A$1004)=7)*'עסקאות'!$F$5:$F$1004))</f>
        <v/>
      </c>
      <c r="I19" s="28">
        <f>IF($A19="",0,SUMPRODUCT(('עסקאות'!$B$5:$B$1004="דיבידנד")*('עסקאות'!$C$5:$C$1004=$A19)*(YEAR('עסקאות'!$A$5:$A$1004)=DivYear)*(MONTH('עסקאות'!$A$5:$A$1004)=8)*'עסקאות'!$F$5:$F$1004))</f>
        <v/>
      </c>
      <c r="J19" s="28">
        <f>IF($A19="",0,SUMPRODUCT(('עסקאות'!$B$5:$B$1004="דיבידנד")*('עסקאות'!$C$5:$C$1004=$A19)*(YEAR('עסקאות'!$A$5:$A$1004)=DivYear)*(MONTH('עסקאות'!$A$5:$A$1004)=9)*'עסקאות'!$F$5:$F$1004))</f>
        <v/>
      </c>
      <c r="K19" s="28">
        <f>IF($A19="",0,SUMPRODUCT(('עסקאות'!$B$5:$B$1004="דיבידנד")*('עסקאות'!$C$5:$C$1004=$A19)*(YEAR('עסקאות'!$A$5:$A$1004)=DivYear)*(MONTH('עסקאות'!$A$5:$A$1004)=10)*'עסקאות'!$F$5:$F$1004))</f>
        <v/>
      </c>
      <c r="L19" s="28">
        <f>IF($A19="",0,SUMPRODUCT(('עסקאות'!$B$5:$B$1004="דיבידנד")*('עסקאות'!$C$5:$C$1004=$A19)*(YEAR('עסקאות'!$A$5:$A$1004)=DivYear)*(MONTH('עסקאות'!$A$5:$A$1004)=11)*'עסקאות'!$F$5:$F$1004))</f>
        <v/>
      </c>
      <c r="M19" s="28">
        <f>IF($A19="",0,SUMPRODUCT(('עסקאות'!$B$5:$B$1004="דיבידנד")*('עסקאות'!$C$5:$C$1004=$A19)*(YEAR('עסקאות'!$A$5:$A$1004)=DivYear)*(MONTH('עסקאות'!$A$5:$A$1004)=12)*'עסקאות'!$F$5:$F$1004))</f>
        <v/>
      </c>
      <c r="N19" s="41">
        <f>SUM(B19:M19)</f>
        <v/>
      </c>
      <c r="O19" s="31">
        <f>IF(OR(A19="",'תיק'!I19=0),"",N19/'תיק'!I19)</f>
        <v/>
      </c>
    </row>
    <row r="20">
      <c r="A20" s="45">
        <f>IF('תיק'!A20="","",'תיק'!A20)</f>
        <v/>
      </c>
      <c r="B20" s="28">
        <f>IF($A20="",0,SUMPRODUCT(('עסקאות'!$B$5:$B$1004="דיבידנד")*('עסקאות'!$C$5:$C$1004=$A20)*(YEAR('עסקאות'!$A$5:$A$1004)=DivYear)*(MONTH('עסקאות'!$A$5:$A$1004)=1)*'עסקאות'!$F$5:$F$1004))</f>
        <v/>
      </c>
      <c r="C20" s="28">
        <f>IF($A20="",0,SUMPRODUCT(('עסקאות'!$B$5:$B$1004="דיבידנד")*('עסקאות'!$C$5:$C$1004=$A20)*(YEAR('עסקאות'!$A$5:$A$1004)=DivYear)*(MONTH('עסקאות'!$A$5:$A$1004)=2)*'עסקאות'!$F$5:$F$1004))</f>
        <v/>
      </c>
      <c r="D20" s="28">
        <f>IF($A20="",0,SUMPRODUCT(('עסקאות'!$B$5:$B$1004="דיבידנד")*('עסקאות'!$C$5:$C$1004=$A20)*(YEAR('עסקאות'!$A$5:$A$1004)=DivYear)*(MONTH('עסקאות'!$A$5:$A$1004)=3)*'עסקאות'!$F$5:$F$1004))</f>
        <v/>
      </c>
      <c r="E20" s="28">
        <f>IF($A20="",0,SUMPRODUCT(('עסקאות'!$B$5:$B$1004="דיבידנד")*('עסקאות'!$C$5:$C$1004=$A20)*(YEAR('עסקאות'!$A$5:$A$1004)=DivYear)*(MONTH('עסקאות'!$A$5:$A$1004)=4)*'עסקאות'!$F$5:$F$1004))</f>
        <v/>
      </c>
      <c r="F20" s="28">
        <f>IF($A20="",0,SUMPRODUCT(('עסקאות'!$B$5:$B$1004="דיבידנד")*('עסקאות'!$C$5:$C$1004=$A20)*(YEAR('עסקאות'!$A$5:$A$1004)=DivYear)*(MONTH('עסקאות'!$A$5:$A$1004)=5)*'עסקאות'!$F$5:$F$1004))</f>
        <v/>
      </c>
      <c r="G20" s="28">
        <f>IF($A20="",0,SUMPRODUCT(('עסקאות'!$B$5:$B$1004="דיבידנד")*('עסקאות'!$C$5:$C$1004=$A20)*(YEAR('עסקאות'!$A$5:$A$1004)=DivYear)*(MONTH('עסקאות'!$A$5:$A$1004)=6)*'עסקאות'!$F$5:$F$1004))</f>
        <v/>
      </c>
      <c r="H20" s="28">
        <f>IF($A20="",0,SUMPRODUCT(('עסקאות'!$B$5:$B$1004="דיבידנד")*('עסקאות'!$C$5:$C$1004=$A20)*(YEAR('עסקאות'!$A$5:$A$1004)=DivYear)*(MONTH('עסקאות'!$A$5:$A$1004)=7)*'עסקאות'!$F$5:$F$1004))</f>
        <v/>
      </c>
      <c r="I20" s="28">
        <f>IF($A20="",0,SUMPRODUCT(('עסקאות'!$B$5:$B$1004="דיבידנד")*('עסקאות'!$C$5:$C$1004=$A20)*(YEAR('עסקאות'!$A$5:$A$1004)=DivYear)*(MONTH('עסקאות'!$A$5:$A$1004)=8)*'עסקאות'!$F$5:$F$1004))</f>
        <v/>
      </c>
      <c r="J20" s="28">
        <f>IF($A20="",0,SUMPRODUCT(('עסקאות'!$B$5:$B$1004="דיבידנד")*('עסקאות'!$C$5:$C$1004=$A20)*(YEAR('עסקאות'!$A$5:$A$1004)=DivYear)*(MONTH('עסקאות'!$A$5:$A$1004)=9)*'עסקאות'!$F$5:$F$1004))</f>
        <v/>
      </c>
      <c r="K20" s="28">
        <f>IF($A20="",0,SUMPRODUCT(('עסקאות'!$B$5:$B$1004="דיבידנד")*('עסקאות'!$C$5:$C$1004=$A20)*(YEAR('עסקאות'!$A$5:$A$1004)=DivYear)*(MONTH('עסקאות'!$A$5:$A$1004)=10)*'עסקאות'!$F$5:$F$1004))</f>
        <v/>
      </c>
      <c r="L20" s="28">
        <f>IF($A20="",0,SUMPRODUCT(('עסקאות'!$B$5:$B$1004="דיבידנד")*('עסקאות'!$C$5:$C$1004=$A20)*(YEAR('עסקאות'!$A$5:$A$1004)=DivYear)*(MONTH('עסקאות'!$A$5:$A$1004)=11)*'עסקאות'!$F$5:$F$1004))</f>
        <v/>
      </c>
      <c r="M20" s="28">
        <f>IF($A20="",0,SUMPRODUCT(('עסקאות'!$B$5:$B$1004="דיבידנד")*('עסקאות'!$C$5:$C$1004=$A20)*(YEAR('עסקאות'!$A$5:$A$1004)=DivYear)*(MONTH('עסקאות'!$A$5:$A$1004)=12)*'עסקאות'!$F$5:$F$1004))</f>
        <v/>
      </c>
      <c r="N20" s="41">
        <f>SUM(B20:M20)</f>
        <v/>
      </c>
      <c r="O20" s="31">
        <f>IF(OR(A20="",'תיק'!I20=0),"",N20/'תיק'!I20)</f>
        <v/>
      </c>
    </row>
    <row r="21">
      <c r="A21" s="45">
        <f>IF('תיק'!A21="","",'תיק'!A21)</f>
        <v/>
      </c>
      <c r="B21" s="28">
        <f>IF($A21="",0,SUMPRODUCT(('עסקאות'!$B$5:$B$1004="דיבידנד")*('עסקאות'!$C$5:$C$1004=$A21)*(YEAR('עסקאות'!$A$5:$A$1004)=DivYear)*(MONTH('עסקאות'!$A$5:$A$1004)=1)*'עסקאות'!$F$5:$F$1004))</f>
        <v/>
      </c>
      <c r="C21" s="28">
        <f>IF($A21="",0,SUMPRODUCT(('עסקאות'!$B$5:$B$1004="דיבידנד")*('עסקאות'!$C$5:$C$1004=$A21)*(YEAR('עסקאות'!$A$5:$A$1004)=DivYear)*(MONTH('עסקאות'!$A$5:$A$1004)=2)*'עסקאות'!$F$5:$F$1004))</f>
        <v/>
      </c>
      <c r="D21" s="28">
        <f>IF($A21="",0,SUMPRODUCT(('עסקאות'!$B$5:$B$1004="דיבידנד")*('עסקאות'!$C$5:$C$1004=$A21)*(YEAR('עסקאות'!$A$5:$A$1004)=DivYear)*(MONTH('עסקאות'!$A$5:$A$1004)=3)*'עסקאות'!$F$5:$F$1004))</f>
        <v/>
      </c>
      <c r="E21" s="28">
        <f>IF($A21="",0,SUMPRODUCT(('עסקאות'!$B$5:$B$1004="דיבידנד")*('עסקאות'!$C$5:$C$1004=$A21)*(YEAR('עסקאות'!$A$5:$A$1004)=DivYear)*(MONTH('עסקאות'!$A$5:$A$1004)=4)*'עסקאות'!$F$5:$F$1004))</f>
        <v/>
      </c>
      <c r="F21" s="28">
        <f>IF($A21="",0,SUMPRODUCT(('עסקאות'!$B$5:$B$1004="דיבידנד")*('עסקאות'!$C$5:$C$1004=$A21)*(YEAR('עסקאות'!$A$5:$A$1004)=DivYear)*(MONTH('עסקאות'!$A$5:$A$1004)=5)*'עסקאות'!$F$5:$F$1004))</f>
        <v/>
      </c>
      <c r="G21" s="28">
        <f>IF($A21="",0,SUMPRODUCT(('עסקאות'!$B$5:$B$1004="דיבידנד")*('עסקאות'!$C$5:$C$1004=$A21)*(YEAR('עסקאות'!$A$5:$A$1004)=DivYear)*(MONTH('עסקאות'!$A$5:$A$1004)=6)*'עסקאות'!$F$5:$F$1004))</f>
        <v/>
      </c>
      <c r="H21" s="28">
        <f>IF($A21="",0,SUMPRODUCT(('עסקאות'!$B$5:$B$1004="דיבידנד")*('עסקאות'!$C$5:$C$1004=$A21)*(YEAR('עסקאות'!$A$5:$A$1004)=DivYear)*(MONTH('עסקאות'!$A$5:$A$1004)=7)*'עסקאות'!$F$5:$F$1004))</f>
        <v/>
      </c>
      <c r="I21" s="28">
        <f>IF($A21="",0,SUMPRODUCT(('עסקאות'!$B$5:$B$1004="דיבידנד")*('עסקאות'!$C$5:$C$1004=$A21)*(YEAR('עסקאות'!$A$5:$A$1004)=DivYear)*(MONTH('עסקאות'!$A$5:$A$1004)=8)*'עסקאות'!$F$5:$F$1004))</f>
        <v/>
      </c>
      <c r="J21" s="28">
        <f>IF($A21="",0,SUMPRODUCT(('עסקאות'!$B$5:$B$1004="דיבידנד")*('עסקאות'!$C$5:$C$1004=$A21)*(YEAR('עסקאות'!$A$5:$A$1004)=DivYear)*(MONTH('עסקאות'!$A$5:$A$1004)=9)*'עסקאות'!$F$5:$F$1004))</f>
        <v/>
      </c>
      <c r="K21" s="28">
        <f>IF($A21="",0,SUMPRODUCT(('עסקאות'!$B$5:$B$1004="דיבידנד")*('עסקאות'!$C$5:$C$1004=$A21)*(YEAR('עסקאות'!$A$5:$A$1004)=DivYear)*(MONTH('עסקאות'!$A$5:$A$1004)=10)*'עסקאות'!$F$5:$F$1004))</f>
        <v/>
      </c>
      <c r="L21" s="28">
        <f>IF($A21="",0,SUMPRODUCT(('עסקאות'!$B$5:$B$1004="דיבידנד")*('עסקאות'!$C$5:$C$1004=$A21)*(YEAR('עסקאות'!$A$5:$A$1004)=DivYear)*(MONTH('עסקאות'!$A$5:$A$1004)=11)*'עסקאות'!$F$5:$F$1004))</f>
        <v/>
      </c>
      <c r="M21" s="28">
        <f>IF($A21="",0,SUMPRODUCT(('עסקאות'!$B$5:$B$1004="דיבידנד")*('עסקאות'!$C$5:$C$1004=$A21)*(YEAR('עסקאות'!$A$5:$A$1004)=DivYear)*(MONTH('עסקאות'!$A$5:$A$1004)=12)*'עסקאות'!$F$5:$F$1004))</f>
        <v/>
      </c>
      <c r="N21" s="41">
        <f>SUM(B21:M21)</f>
        <v/>
      </c>
      <c r="O21" s="31">
        <f>IF(OR(A21="",'תיק'!I21=0),"",N21/'תיק'!I21)</f>
        <v/>
      </c>
    </row>
    <row r="22">
      <c r="A22" s="45">
        <f>IF('תיק'!A22="","",'תיק'!A22)</f>
        <v/>
      </c>
      <c r="B22" s="28">
        <f>IF($A22="",0,SUMPRODUCT(('עסקאות'!$B$5:$B$1004="דיבידנד")*('עסקאות'!$C$5:$C$1004=$A22)*(YEAR('עסקאות'!$A$5:$A$1004)=DivYear)*(MONTH('עסקאות'!$A$5:$A$1004)=1)*'עסקאות'!$F$5:$F$1004))</f>
        <v/>
      </c>
      <c r="C22" s="28">
        <f>IF($A22="",0,SUMPRODUCT(('עסקאות'!$B$5:$B$1004="דיבידנד")*('עסקאות'!$C$5:$C$1004=$A22)*(YEAR('עסקאות'!$A$5:$A$1004)=DivYear)*(MONTH('עסקאות'!$A$5:$A$1004)=2)*'עסקאות'!$F$5:$F$1004))</f>
        <v/>
      </c>
      <c r="D22" s="28">
        <f>IF($A22="",0,SUMPRODUCT(('עסקאות'!$B$5:$B$1004="דיבידנד")*('עסקאות'!$C$5:$C$1004=$A22)*(YEAR('עסקאות'!$A$5:$A$1004)=DivYear)*(MONTH('עסקאות'!$A$5:$A$1004)=3)*'עסקאות'!$F$5:$F$1004))</f>
        <v/>
      </c>
      <c r="E22" s="28">
        <f>IF($A22="",0,SUMPRODUCT(('עסקאות'!$B$5:$B$1004="דיבידנד")*('עסקאות'!$C$5:$C$1004=$A22)*(YEAR('עסקאות'!$A$5:$A$1004)=DivYear)*(MONTH('עסקאות'!$A$5:$A$1004)=4)*'עסקאות'!$F$5:$F$1004))</f>
        <v/>
      </c>
      <c r="F22" s="28">
        <f>IF($A22="",0,SUMPRODUCT(('עסקאות'!$B$5:$B$1004="דיבידנד")*('עסקאות'!$C$5:$C$1004=$A22)*(YEAR('עסקאות'!$A$5:$A$1004)=DivYear)*(MONTH('עסקאות'!$A$5:$A$1004)=5)*'עסקאות'!$F$5:$F$1004))</f>
        <v/>
      </c>
      <c r="G22" s="28">
        <f>IF($A22="",0,SUMPRODUCT(('עסקאות'!$B$5:$B$1004="דיבידנד")*('עסקאות'!$C$5:$C$1004=$A22)*(YEAR('עסקאות'!$A$5:$A$1004)=DivYear)*(MONTH('עסקאות'!$A$5:$A$1004)=6)*'עסקאות'!$F$5:$F$1004))</f>
        <v/>
      </c>
      <c r="H22" s="28">
        <f>IF($A22="",0,SUMPRODUCT(('עסקאות'!$B$5:$B$1004="דיבידנד")*('עסקאות'!$C$5:$C$1004=$A22)*(YEAR('עסקאות'!$A$5:$A$1004)=DivYear)*(MONTH('עסקאות'!$A$5:$A$1004)=7)*'עסקאות'!$F$5:$F$1004))</f>
        <v/>
      </c>
      <c r="I22" s="28">
        <f>IF($A22="",0,SUMPRODUCT(('עסקאות'!$B$5:$B$1004="דיבידנד")*('עסקאות'!$C$5:$C$1004=$A22)*(YEAR('עסקאות'!$A$5:$A$1004)=DivYear)*(MONTH('עסקאות'!$A$5:$A$1004)=8)*'עסקאות'!$F$5:$F$1004))</f>
        <v/>
      </c>
      <c r="J22" s="28">
        <f>IF($A22="",0,SUMPRODUCT(('עסקאות'!$B$5:$B$1004="דיבידנד")*('עסקאות'!$C$5:$C$1004=$A22)*(YEAR('עסקאות'!$A$5:$A$1004)=DivYear)*(MONTH('עסקאות'!$A$5:$A$1004)=9)*'עסקאות'!$F$5:$F$1004))</f>
        <v/>
      </c>
      <c r="K22" s="28">
        <f>IF($A22="",0,SUMPRODUCT(('עסקאות'!$B$5:$B$1004="דיבידנד")*('עסקאות'!$C$5:$C$1004=$A22)*(YEAR('עסקאות'!$A$5:$A$1004)=DivYear)*(MONTH('עסקאות'!$A$5:$A$1004)=10)*'עסקאות'!$F$5:$F$1004))</f>
        <v/>
      </c>
      <c r="L22" s="28">
        <f>IF($A22="",0,SUMPRODUCT(('עסקאות'!$B$5:$B$1004="דיבידנד")*('עסקאות'!$C$5:$C$1004=$A22)*(YEAR('עסקאות'!$A$5:$A$1004)=DivYear)*(MONTH('עסקאות'!$A$5:$A$1004)=11)*'עסקאות'!$F$5:$F$1004))</f>
        <v/>
      </c>
      <c r="M22" s="28">
        <f>IF($A22="",0,SUMPRODUCT(('עסקאות'!$B$5:$B$1004="דיבידנד")*('עסקאות'!$C$5:$C$1004=$A22)*(YEAR('עסקאות'!$A$5:$A$1004)=DivYear)*(MONTH('עסקאות'!$A$5:$A$1004)=12)*'עסקאות'!$F$5:$F$1004))</f>
        <v/>
      </c>
      <c r="N22" s="41">
        <f>SUM(B22:M22)</f>
        <v/>
      </c>
      <c r="O22" s="31">
        <f>IF(OR(A22="",'תיק'!I22=0),"",N22/'תיק'!I22)</f>
        <v/>
      </c>
    </row>
    <row r="23">
      <c r="A23" s="45">
        <f>IF('תיק'!A23="","",'תיק'!A23)</f>
        <v/>
      </c>
      <c r="B23" s="28">
        <f>IF($A23="",0,SUMPRODUCT(('עסקאות'!$B$5:$B$1004="דיבידנד")*('עסקאות'!$C$5:$C$1004=$A23)*(YEAR('עסקאות'!$A$5:$A$1004)=DivYear)*(MONTH('עסקאות'!$A$5:$A$1004)=1)*'עסקאות'!$F$5:$F$1004))</f>
        <v/>
      </c>
      <c r="C23" s="28">
        <f>IF($A23="",0,SUMPRODUCT(('עסקאות'!$B$5:$B$1004="דיבידנד")*('עסקאות'!$C$5:$C$1004=$A23)*(YEAR('עסקאות'!$A$5:$A$1004)=DivYear)*(MONTH('עסקאות'!$A$5:$A$1004)=2)*'עסקאות'!$F$5:$F$1004))</f>
        <v/>
      </c>
      <c r="D23" s="28">
        <f>IF($A23="",0,SUMPRODUCT(('עסקאות'!$B$5:$B$1004="דיבידנד")*('עסקאות'!$C$5:$C$1004=$A23)*(YEAR('עסקאות'!$A$5:$A$1004)=DivYear)*(MONTH('עסקאות'!$A$5:$A$1004)=3)*'עסקאות'!$F$5:$F$1004))</f>
        <v/>
      </c>
      <c r="E23" s="28">
        <f>IF($A23="",0,SUMPRODUCT(('עסקאות'!$B$5:$B$1004="דיבידנד")*('עסקאות'!$C$5:$C$1004=$A23)*(YEAR('עסקאות'!$A$5:$A$1004)=DivYear)*(MONTH('עסקאות'!$A$5:$A$1004)=4)*'עסקאות'!$F$5:$F$1004))</f>
        <v/>
      </c>
      <c r="F23" s="28">
        <f>IF($A23="",0,SUMPRODUCT(('עסקאות'!$B$5:$B$1004="דיבידנד")*('עסקאות'!$C$5:$C$1004=$A23)*(YEAR('עסקאות'!$A$5:$A$1004)=DivYear)*(MONTH('עסקאות'!$A$5:$A$1004)=5)*'עסקאות'!$F$5:$F$1004))</f>
        <v/>
      </c>
      <c r="G23" s="28">
        <f>IF($A23="",0,SUMPRODUCT(('עסקאות'!$B$5:$B$1004="דיבידנד")*('עסקאות'!$C$5:$C$1004=$A23)*(YEAR('עסקאות'!$A$5:$A$1004)=DivYear)*(MONTH('עסקאות'!$A$5:$A$1004)=6)*'עסקאות'!$F$5:$F$1004))</f>
        <v/>
      </c>
      <c r="H23" s="28">
        <f>IF($A23="",0,SUMPRODUCT(('עסקאות'!$B$5:$B$1004="דיבידנד")*('עסקאות'!$C$5:$C$1004=$A23)*(YEAR('עסקאות'!$A$5:$A$1004)=DivYear)*(MONTH('עסקאות'!$A$5:$A$1004)=7)*'עסקאות'!$F$5:$F$1004))</f>
        <v/>
      </c>
      <c r="I23" s="28">
        <f>IF($A23="",0,SUMPRODUCT(('עסקאות'!$B$5:$B$1004="דיבידנד")*('עסקאות'!$C$5:$C$1004=$A23)*(YEAR('עסקאות'!$A$5:$A$1004)=DivYear)*(MONTH('עסקאות'!$A$5:$A$1004)=8)*'עסקאות'!$F$5:$F$1004))</f>
        <v/>
      </c>
      <c r="J23" s="28">
        <f>IF($A23="",0,SUMPRODUCT(('עסקאות'!$B$5:$B$1004="דיבידנד")*('עסקאות'!$C$5:$C$1004=$A23)*(YEAR('עסקאות'!$A$5:$A$1004)=DivYear)*(MONTH('עסקאות'!$A$5:$A$1004)=9)*'עסקאות'!$F$5:$F$1004))</f>
        <v/>
      </c>
      <c r="K23" s="28">
        <f>IF($A23="",0,SUMPRODUCT(('עסקאות'!$B$5:$B$1004="דיבידנד")*('עסקאות'!$C$5:$C$1004=$A23)*(YEAR('עסקאות'!$A$5:$A$1004)=DivYear)*(MONTH('עסקאות'!$A$5:$A$1004)=10)*'עסקאות'!$F$5:$F$1004))</f>
        <v/>
      </c>
      <c r="L23" s="28">
        <f>IF($A23="",0,SUMPRODUCT(('עסקאות'!$B$5:$B$1004="דיבידנד")*('עסקאות'!$C$5:$C$1004=$A23)*(YEAR('עסקאות'!$A$5:$A$1004)=DivYear)*(MONTH('עסקאות'!$A$5:$A$1004)=11)*'עסקאות'!$F$5:$F$1004))</f>
        <v/>
      </c>
      <c r="M23" s="28">
        <f>IF($A23="",0,SUMPRODUCT(('עסקאות'!$B$5:$B$1004="דיבידנד")*('עסקאות'!$C$5:$C$1004=$A23)*(YEAR('עסקאות'!$A$5:$A$1004)=DivYear)*(MONTH('עסקאות'!$A$5:$A$1004)=12)*'עסקאות'!$F$5:$F$1004))</f>
        <v/>
      </c>
      <c r="N23" s="41">
        <f>SUM(B23:M23)</f>
        <v/>
      </c>
      <c r="O23" s="31">
        <f>IF(OR(A23="",'תיק'!I23=0),"",N23/'תיק'!I23)</f>
        <v/>
      </c>
    </row>
    <row r="24">
      <c r="A24" s="45">
        <f>IF('תיק'!A24="","",'תיק'!A24)</f>
        <v/>
      </c>
      <c r="B24" s="28">
        <f>IF($A24="",0,SUMPRODUCT(('עסקאות'!$B$5:$B$1004="דיבידנד")*('עסקאות'!$C$5:$C$1004=$A24)*(YEAR('עסקאות'!$A$5:$A$1004)=DivYear)*(MONTH('עסקאות'!$A$5:$A$1004)=1)*'עסקאות'!$F$5:$F$1004))</f>
        <v/>
      </c>
      <c r="C24" s="28">
        <f>IF($A24="",0,SUMPRODUCT(('עסקאות'!$B$5:$B$1004="דיבידנד")*('עסקאות'!$C$5:$C$1004=$A24)*(YEAR('עסקאות'!$A$5:$A$1004)=DivYear)*(MONTH('עסקאות'!$A$5:$A$1004)=2)*'עסקאות'!$F$5:$F$1004))</f>
        <v/>
      </c>
      <c r="D24" s="28">
        <f>IF($A24="",0,SUMPRODUCT(('עסקאות'!$B$5:$B$1004="דיבידנד")*('עסקאות'!$C$5:$C$1004=$A24)*(YEAR('עסקאות'!$A$5:$A$1004)=DivYear)*(MONTH('עסקאות'!$A$5:$A$1004)=3)*'עסקאות'!$F$5:$F$1004))</f>
        <v/>
      </c>
      <c r="E24" s="28">
        <f>IF($A24="",0,SUMPRODUCT(('עסקאות'!$B$5:$B$1004="דיבידנד")*('עסקאות'!$C$5:$C$1004=$A24)*(YEAR('עסקאות'!$A$5:$A$1004)=DivYear)*(MONTH('עסקאות'!$A$5:$A$1004)=4)*'עסקאות'!$F$5:$F$1004))</f>
        <v/>
      </c>
      <c r="F24" s="28">
        <f>IF($A24="",0,SUMPRODUCT(('עסקאות'!$B$5:$B$1004="דיבידנד")*('עסקאות'!$C$5:$C$1004=$A24)*(YEAR('עסקאות'!$A$5:$A$1004)=DivYear)*(MONTH('עסקאות'!$A$5:$A$1004)=5)*'עסקאות'!$F$5:$F$1004))</f>
        <v/>
      </c>
      <c r="G24" s="28">
        <f>IF($A24="",0,SUMPRODUCT(('עסקאות'!$B$5:$B$1004="דיבידנד")*('עסקאות'!$C$5:$C$1004=$A24)*(YEAR('עסקאות'!$A$5:$A$1004)=DivYear)*(MONTH('עסקאות'!$A$5:$A$1004)=6)*'עסקאות'!$F$5:$F$1004))</f>
        <v/>
      </c>
      <c r="H24" s="28">
        <f>IF($A24="",0,SUMPRODUCT(('עסקאות'!$B$5:$B$1004="דיבידנד")*('עסקאות'!$C$5:$C$1004=$A24)*(YEAR('עסקאות'!$A$5:$A$1004)=DivYear)*(MONTH('עסקאות'!$A$5:$A$1004)=7)*'עסקאות'!$F$5:$F$1004))</f>
        <v/>
      </c>
      <c r="I24" s="28">
        <f>IF($A24="",0,SUMPRODUCT(('עסקאות'!$B$5:$B$1004="דיבידנד")*('עסקאות'!$C$5:$C$1004=$A24)*(YEAR('עסקאות'!$A$5:$A$1004)=DivYear)*(MONTH('עסקאות'!$A$5:$A$1004)=8)*'עסקאות'!$F$5:$F$1004))</f>
        <v/>
      </c>
      <c r="J24" s="28">
        <f>IF($A24="",0,SUMPRODUCT(('עסקאות'!$B$5:$B$1004="דיבידנד")*('עסקאות'!$C$5:$C$1004=$A24)*(YEAR('עסקאות'!$A$5:$A$1004)=DivYear)*(MONTH('עסקאות'!$A$5:$A$1004)=9)*'עסקאות'!$F$5:$F$1004))</f>
        <v/>
      </c>
      <c r="K24" s="28">
        <f>IF($A24="",0,SUMPRODUCT(('עסקאות'!$B$5:$B$1004="דיבידנד")*('עסקאות'!$C$5:$C$1004=$A24)*(YEAR('עסקאות'!$A$5:$A$1004)=DivYear)*(MONTH('עסקאות'!$A$5:$A$1004)=10)*'עסקאות'!$F$5:$F$1004))</f>
        <v/>
      </c>
      <c r="L24" s="28">
        <f>IF($A24="",0,SUMPRODUCT(('עסקאות'!$B$5:$B$1004="דיבידנד")*('עסקאות'!$C$5:$C$1004=$A24)*(YEAR('עסקאות'!$A$5:$A$1004)=DivYear)*(MONTH('עסקאות'!$A$5:$A$1004)=11)*'עסקאות'!$F$5:$F$1004))</f>
        <v/>
      </c>
      <c r="M24" s="28">
        <f>IF($A24="",0,SUMPRODUCT(('עסקאות'!$B$5:$B$1004="דיבידנד")*('עסקאות'!$C$5:$C$1004=$A24)*(YEAR('עסקאות'!$A$5:$A$1004)=DivYear)*(MONTH('עסקאות'!$A$5:$A$1004)=12)*'עסקאות'!$F$5:$F$1004))</f>
        <v/>
      </c>
      <c r="N24" s="41">
        <f>SUM(B24:M24)</f>
        <v/>
      </c>
      <c r="O24" s="31">
        <f>IF(OR(A24="",'תיק'!I24=0),"",N24/'תיק'!I24)</f>
        <v/>
      </c>
    </row>
    <row r="25">
      <c r="A25" s="45">
        <f>IF('תיק'!A25="","",'תיק'!A25)</f>
        <v/>
      </c>
      <c r="B25" s="28">
        <f>IF($A25="",0,SUMPRODUCT(('עסקאות'!$B$5:$B$1004="דיבידנד")*('עסקאות'!$C$5:$C$1004=$A25)*(YEAR('עסקאות'!$A$5:$A$1004)=DivYear)*(MONTH('עסקאות'!$A$5:$A$1004)=1)*'עסקאות'!$F$5:$F$1004))</f>
        <v/>
      </c>
      <c r="C25" s="28">
        <f>IF($A25="",0,SUMPRODUCT(('עסקאות'!$B$5:$B$1004="דיבידנד")*('עסקאות'!$C$5:$C$1004=$A25)*(YEAR('עסקאות'!$A$5:$A$1004)=DivYear)*(MONTH('עסקאות'!$A$5:$A$1004)=2)*'עסקאות'!$F$5:$F$1004))</f>
        <v/>
      </c>
      <c r="D25" s="28">
        <f>IF($A25="",0,SUMPRODUCT(('עסקאות'!$B$5:$B$1004="דיבידנד")*('עסקאות'!$C$5:$C$1004=$A25)*(YEAR('עסקאות'!$A$5:$A$1004)=DivYear)*(MONTH('עסקאות'!$A$5:$A$1004)=3)*'עסקאות'!$F$5:$F$1004))</f>
        <v/>
      </c>
      <c r="E25" s="28">
        <f>IF($A25="",0,SUMPRODUCT(('עסקאות'!$B$5:$B$1004="דיבידנד")*('עסקאות'!$C$5:$C$1004=$A25)*(YEAR('עסקאות'!$A$5:$A$1004)=DivYear)*(MONTH('עסקאות'!$A$5:$A$1004)=4)*'עסקאות'!$F$5:$F$1004))</f>
        <v/>
      </c>
      <c r="F25" s="28">
        <f>IF($A25="",0,SUMPRODUCT(('עסקאות'!$B$5:$B$1004="דיבידנד")*('עסקאות'!$C$5:$C$1004=$A25)*(YEAR('עסקאות'!$A$5:$A$1004)=DivYear)*(MONTH('עסקאות'!$A$5:$A$1004)=5)*'עסקאות'!$F$5:$F$1004))</f>
        <v/>
      </c>
      <c r="G25" s="28">
        <f>IF($A25="",0,SUMPRODUCT(('עסקאות'!$B$5:$B$1004="דיבידנד")*('עסקאות'!$C$5:$C$1004=$A25)*(YEAR('עסקאות'!$A$5:$A$1004)=DivYear)*(MONTH('עסקאות'!$A$5:$A$1004)=6)*'עסקאות'!$F$5:$F$1004))</f>
        <v/>
      </c>
      <c r="H25" s="28">
        <f>IF($A25="",0,SUMPRODUCT(('עסקאות'!$B$5:$B$1004="דיבידנד")*('עסקאות'!$C$5:$C$1004=$A25)*(YEAR('עסקאות'!$A$5:$A$1004)=DivYear)*(MONTH('עסקאות'!$A$5:$A$1004)=7)*'עסקאות'!$F$5:$F$1004))</f>
        <v/>
      </c>
      <c r="I25" s="28">
        <f>IF($A25="",0,SUMPRODUCT(('עסקאות'!$B$5:$B$1004="דיבידנד")*('עסקאות'!$C$5:$C$1004=$A25)*(YEAR('עסקאות'!$A$5:$A$1004)=DivYear)*(MONTH('עסקאות'!$A$5:$A$1004)=8)*'עסקאות'!$F$5:$F$1004))</f>
        <v/>
      </c>
      <c r="J25" s="28">
        <f>IF($A25="",0,SUMPRODUCT(('עסקאות'!$B$5:$B$1004="דיבידנד")*('עסקאות'!$C$5:$C$1004=$A25)*(YEAR('עסקאות'!$A$5:$A$1004)=DivYear)*(MONTH('עסקאות'!$A$5:$A$1004)=9)*'עסקאות'!$F$5:$F$1004))</f>
        <v/>
      </c>
      <c r="K25" s="28">
        <f>IF($A25="",0,SUMPRODUCT(('עסקאות'!$B$5:$B$1004="דיבידנד")*('עסקאות'!$C$5:$C$1004=$A25)*(YEAR('עסקאות'!$A$5:$A$1004)=DivYear)*(MONTH('עסקאות'!$A$5:$A$1004)=10)*'עסקאות'!$F$5:$F$1004))</f>
        <v/>
      </c>
      <c r="L25" s="28">
        <f>IF($A25="",0,SUMPRODUCT(('עסקאות'!$B$5:$B$1004="דיבידנד")*('עסקאות'!$C$5:$C$1004=$A25)*(YEAR('עסקאות'!$A$5:$A$1004)=DivYear)*(MONTH('עסקאות'!$A$5:$A$1004)=11)*'עסקאות'!$F$5:$F$1004))</f>
        <v/>
      </c>
      <c r="M25" s="28">
        <f>IF($A25="",0,SUMPRODUCT(('עסקאות'!$B$5:$B$1004="דיבידנד")*('עסקאות'!$C$5:$C$1004=$A25)*(YEAR('עסקאות'!$A$5:$A$1004)=DivYear)*(MONTH('עסקאות'!$A$5:$A$1004)=12)*'עסקאות'!$F$5:$F$1004))</f>
        <v/>
      </c>
      <c r="N25" s="41">
        <f>SUM(B25:M25)</f>
        <v/>
      </c>
      <c r="O25" s="31">
        <f>IF(OR(A25="",'תיק'!I25=0),"",N25/'תיק'!I25)</f>
        <v/>
      </c>
    </row>
    <row r="26">
      <c r="A26" s="45">
        <f>IF('תיק'!A26="","",'תיק'!A26)</f>
        <v/>
      </c>
      <c r="B26" s="28">
        <f>IF($A26="",0,SUMPRODUCT(('עסקאות'!$B$5:$B$1004="דיבידנד")*('עסקאות'!$C$5:$C$1004=$A26)*(YEAR('עסקאות'!$A$5:$A$1004)=DivYear)*(MONTH('עסקאות'!$A$5:$A$1004)=1)*'עסקאות'!$F$5:$F$1004))</f>
        <v/>
      </c>
      <c r="C26" s="28">
        <f>IF($A26="",0,SUMPRODUCT(('עסקאות'!$B$5:$B$1004="דיבידנד")*('עסקאות'!$C$5:$C$1004=$A26)*(YEAR('עסקאות'!$A$5:$A$1004)=DivYear)*(MONTH('עסקאות'!$A$5:$A$1004)=2)*'עסקאות'!$F$5:$F$1004))</f>
        <v/>
      </c>
      <c r="D26" s="28">
        <f>IF($A26="",0,SUMPRODUCT(('עסקאות'!$B$5:$B$1004="דיבידנד")*('עסקאות'!$C$5:$C$1004=$A26)*(YEAR('עסקאות'!$A$5:$A$1004)=DivYear)*(MONTH('עסקאות'!$A$5:$A$1004)=3)*'עסקאות'!$F$5:$F$1004))</f>
        <v/>
      </c>
      <c r="E26" s="28">
        <f>IF($A26="",0,SUMPRODUCT(('עסקאות'!$B$5:$B$1004="דיבידנד")*('עסקאות'!$C$5:$C$1004=$A26)*(YEAR('עסקאות'!$A$5:$A$1004)=DivYear)*(MONTH('עסקאות'!$A$5:$A$1004)=4)*'עסקאות'!$F$5:$F$1004))</f>
        <v/>
      </c>
      <c r="F26" s="28">
        <f>IF($A26="",0,SUMPRODUCT(('עסקאות'!$B$5:$B$1004="דיבידנד")*('עסקאות'!$C$5:$C$1004=$A26)*(YEAR('עסקאות'!$A$5:$A$1004)=DivYear)*(MONTH('עסקאות'!$A$5:$A$1004)=5)*'עסקאות'!$F$5:$F$1004))</f>
        <v/>
      </c>
      <c r="G26" s="28">
        <f>IF($A26="",0,SUMPRODUCT(('עסקאות'!$B$5:$B$1004="דיבידנד")*('עסקאות'!$C$5:$C$1004=$A26)*(YEAR('עסקאות'!$A$5:$A$1004)=DivYear)*(MONTH('עסקאות'!$A$5:$A$1004)=6)*'עסקאות'!$F$5:$F$1004))</f>
        <v/>
      </c>
      <c r="H26" s="28">
        <f>IF($A26="",0,SUMPRODUCT(('עסקאות'!$B$5:$B$1004="דיבידנד")*('עסקאות'!$C$5:$C$1004=$A26)*(YEAR('עסקאות'!$A$5:$A$1004)=DivYear)*(MONTH('עסקאות'!$A$5:$A$1004)=7)*'עסקאות'!$F$5:$F$1004))</f>
        <v/>
      </c>
      <c r="I26" s="28">
        <f>IF($A26="",0,SUMPRODUCT(('עסקאות'!$B$5:$B$1004="דיבידנד")*('עסקאות'!$C$5:$C$1004=$A26)*(YEAR('עסקאות'!$A$5:$A$1004)=DivYear)*(MONTH('עסקאות'!$A$5:$A$1004)=8)*'עסקאות'!$F$5:$F$1004))</f>
        <v/>
      </c>
      <c r="J26" s="28">
        <f>IF($A26="",0,SUMPRODUCT(('עסקאות'!$B$5:$B$1004="דיבידנד")*('עסקאות'!$C$5:$C$1004=$A26)*(YEAR('עסקאות'!$A$5:$A$1004)=DivYear)*(MONTH('עסקאות'!$A$5:$A$1004)=9)*'עסקאות'!$F$5:$F$1004))</f>
        <v/>
      </c>
      <c r="K26" s="28">
        <f>IF($A26="",0,SUMPRODUCT(('עסקאות'!$B$5:$B$1004="דיבידנד")*('עסקאות'!$C$5:$C$1004=$A26)*(YEAR('עסקאות'!$A$5:$A$1004)=DivYear)*(MONTH('עסקאות'!$A$5:$A$1004)=10)*'עסקאות'!$F$5:$F$1004))</f>
        <v/>
      </c>
      <c r="L26" s="28">
        <f>IF($A26="",0,SUMPRODUCT(('עסקאות'!$B$5:$B$1004="דיבידנד")*('עסקאות'!$C$5:$C$1004=$A26)*(YEAR('עסקאות'!$A$5:$A$1004)=DivYear)*(MONTH('עסקאות'!$A$5:$A$1004)=11)*'עסקאות'!$F$5:$F$1004))</f>
        <v/>
      </c>
      <c r="M26" s="28">
        <f>IF($A26="",0,SUMPRODUCT(('עסקאות'!$B$5:$B$1004="דיבידנד")*('עסקאות'!$C$5:$C$1004=$A26)*(YEAR('עסקאות'!$A$5:$A$1004)=DivYear)*(MONTH('עסקאות'!$A$5:$A$1004)=12)*'עסקאות'!$F$5:$F$1004))</f>
        <v/>
      </c>
      <c r="N26" s="41">
        <f>SUM(B26:M26)</f>
        <v/>
      </c>
      <c r="O26" s="31">
        <f>IF(OR(A26="",'תיק'!I26=0),"",N26/'תיק'!I26)</f>
        <v/>
      </c>
    </row>
    <row r="27">
      <c r="A27" s="45">
        <f>IF('תיק'!A27="","",'תיק'!A27)</f>
        <v/>
      </c>
      <c r="B27" s="28">
        <f>IF($A27="",0,SUMPRODUCT(('עסקאות'!$B$5:$B$1004="דיבידנד")*('עסקאות'!$C$5:$C$1004=$A27)*(YEAR('עסקאות'!$A$5:$A$1004)=DivYear)*(MONTH('עסקאות'!$A$5:$A$1004)=1)*'עסקאות'!$F$5:$F$1004))</f>
        <v/>
      </c>
      <c r="C27" s="28">
        <f>IF($A27="",0,SUMPRODUCT(('עסקאות'!$B$5:$B$1004="דיבידנד")*('עסקאות'!$C$5:$C$1004=$A27)*(YEAR('עסקאות'!$A$5:$A$1004)=DivYear)*(MONTH('עסקאות'!$A$5:$A$1004)=2)*'עסקאות'!$F$5:$F$1004))</f>
        <v/>
      </c>
      <c r="D27" s="28">
        <f>IF($A27="",0,SUMPRODUCT(('עסקאות'!$B$5:$B$1004="דיבידנד")*('עסקאות'!$C$5:$C$1004=$A27)*(YEAR('עסקאות'!$A$5:$A$1004)=DivYear)*(MONTH('עסקאות'!$A$5:$A$1004)=3)*'עסקאות'!$F$5:$F$1004))</f>
        <v/>
      </c>
      <c r="E27" s="28">
        <f>IF($A27="",0,SUMPRODUCT(('עסקאות'!$B$5:$B$1004="דיבידנד")*('עסקאות'!$C$5:$C$1004=$A27)*(YEAR('עסקאות'!$A$5:$A$1004)=DivYear)*(MONTH('עסקאות'!$A$5:$A$1004)=4)*'עסקאות'!$F$5:$F$1004))</f>
        <v/>
      </c>
      <c r="F27" s="28">
        <f>IF($A27="",0,SUMPRODUCT(('עסקאות'!$B$5:$B$1004="דיבידנד")*('עסקאות'!$C$5:$C$1004=$A27)*(YEAR('עסקאות'!$A$5:$A$1004)=DivYear)*(MONTH('עסקאות'!$A$5:$A$1004)=5)*'עסקאות'!$F$5:$F$1004))</f>
        <v/>
      </c>
      <c r="G27" s="28">
        <f>IF($A27="",0,SUMPRODUCT(('עסקאות'!$B$5:$B$1004="דיבידנד")*('עסקאות'!$C$5:$C$1004=$A27)*(YEAR('עסקאות'!$A$5:$A$1004)=DivYear)*(MONTH('עסקאות'!$A$5:$A$1004)=6)*'עסקאות'!$F$5:$F$1004))</f>
        <v/>
      </c>
      <c r="H27" s="28">
        <f>IF($A27="",0,SUMPRODUCT(('עסקאות'!$B$5:$B$1004="דיבידנד")*('עסקאות'!$C$5:$C$1004=$A27)*(YEAR('עסקאות'!$A$5:$A$1004)=DivYear)*(MONTH('עסקאות'!$A$5:$A$1004)=7)*'עסקאות'!$F$5:$F$1004))</f>
        <v/>
      </c>
      <c r="I27" s="28">
        <f>IF($A27="",0,SUMPRODUCT(('עסקאות'!$B$5:$B$1004="דיבידנד")*('עסקאות'!$C$5:$C$1004=$A27)*(YEAR('עסקאות'!$A$5:$A$1004)=DivYear)*(MONTH('עסקאות'!$A$5:$A$1004)=8)*'עסקאות'!$F$5:$F$1004))</f>
        <v/>
      </c>
      <c r="J27" s="28">
        <f>IF($A27="",0,SUMPRODUCT(('עסקאות'!$B$5:$B$1004="דיבידנד")*('עסקאות'!$C$5:$C$1004=$A27)*(YEAR('עסקאות'!$A$5:$A$1004)=DivYear)*(MONTH('עסקאות'!$A$5:$A$1004)=9)*'עסקאות'!$F$5:$F$1004))</f>
        <v/>
      </c>
      <c r="K27" s="28">
        <f>IF($A27="",0,SUMPRODUCT(('עסקאות'!$B$5:$B$1004="דיבידנד")*('עסקאות'!$C$5:$C$1004=$A27)*(YEAR('עסקאות'!$A$5:$A$1004)=DivYear)*(MONTH('עסקאות'!$A$5:$A$1004)=10)*'עסקאות'!$F$5:$F$1004))</f>
        <v/>
      </c>
      <c r="L27" s="28">
        <f>IF($A27="",0,SUMPRODUCT(('עסקאות'!$B$5:$B$1004="דיבידנד")*('עסקאות'!$C$5:$C$1004=$A27)*(YEAR('עסקאות'!$A$5:$A$1004)=DivYear)*(MONTH('עסקאות'!$A$5:$A$1004)=11)*'עסקאות'!$F$5:$F$1004))</f>
        <v/>
      </c>
      <c r="M27" s="28">
        <f>IF($A27="",0,SUMPRODUCT(('עסקאות'!$B$5:$B$1004="דיבידנד")*('עסקאות'!$C$5:$C$1004=$A27)*(YEAR('עסקאות'!$A$5:$A$1004)=DivYear)*(MONTH('עסקאות'!$A$5:$A$1004)=12)*'עסקאות'!$F$5:$F$1004))</f>
        <v/>
      </c>
      <c r="N27" s="41">
        <f>SUM(B27:M27)</f>
        <v/>
      </c>
      <c r="O27" s="31">
        <f>IF(OR(A27="",'תיק'!I27=0),"",N27/'תיק'!I27)</f>
        <v/>
      </c>
    </row>
    <row r="28">
      <c r="A28" s="45">
        <f>IF('תיק'!A28="","",'תיק'!A28)</f>
        <v/>
      </c>
      <c r="B28" s="28">
        <f>IF($A28="",0,SUMPRODUCT(('עסקאות'!$B$5:$B$1004="דיבידנד")*('עסקאות'!$C$5:$C$1004=$A28)*(YEAR('עסקאות'!$A$5:$A$1004)=DivYear)*(MONTH('עסקאות'!$A$5:$A$1004)=1)*'עסקאות'!$F$5:$F$1004))</f>
        <v/>
      </c>
      <c r="C28" s="28">
        <f>IF($A28="",0,SUMPRODUCT(('עסקאות'!$B$5:$B$1004="דיבידנד")*('עסקאות'!$C$5:$C$1004=$A28)*(YEAR('עסקאות'!$A$5:$A$1004)=DivYear)*(MONTH('עסקאות'!$A$5:$A$1004)=2)*'עסקאות'!$F$5:$F$1004))</f>
        <v/>
      </c>
      <c r="D28" s="28">
        <f>IF($A28="",0,SUMPRODUCT(('עסקאות'!$B$5:$B$1004="דיבידנד")*('עסקאות'!$C$5:$C$1004=$A28)*(YEAR('עסקאות'!$A$5:$A$1004)=DivYear)*(MONTH('עסקאות'!$A$5:$A$1004)=3)*'עסקאות'!$F$5:$F$1004))</f>
        <v/>
      </c>
      <c r="E28" s="28">
        <f>IF($A28="",0,SUMPRODUCT(('עסקאות'!$B$5:$B$1004="דיבידנד")*('עסקאות'!$C$5:$C$1004=$A28)*(YEAR('עסקאות'!$A$5:$A$1004)=DivYear)*(MONTH('עסקאות'!$A$5:$A$1004)=4)*'עסקאות'!$F$5:$F$1004))</f>
        <v/>
      </c>
      <c r="F28" s="28">
        <f>IF($A28="",0,SUMPRODUCT(('עסקאות'!$B$5:$B$1004="דיבידנד")*('עסקאות'!$C$5:$C$1004=$A28)*(YEAR('עסקאות'!$A$5:$A$1004)=DivYear)*(MONTH('עסקאות'!$A$5:$A$1004)=5)*'עסקאות'!$F$5:$F$1004))</f>
        <v/>
      </c>
      <c r="G28" s="28">
        <f>IF($A28="",0,SUMPRODUCT(('עסקאות'!$B$5:$B$1004="דיבידנד")*('עסקאות'!$C$5:$C$1004=$A28)*(YEAR('עסקאות'!$A$5:$A$1004)=DivYear)*(MONTH('עסקאות'!$A$5:$A$1004)=6)*'עסקאות'!$F$5:$F$1004))</f>
        <v/>
      </c>
      <c r="H28" s="28">
        <f>IF($A28="",0,SUMPRODUCT(('עסקאות'!$B$5:$B$1004="דיבידנד")*('עסקאות'!$C$5:$C$1004=$A28)*(YEAR('עסקאות'!$A$5:$A$1004)=DivYear)*(MONTH('עסקאות'!$A$5:$A$1004)=7)*'עסקאות'!$F$5:$F$1004))</f>
        <v/>
      </c>
      <c r="I28" s="28">
        <f>IF($A28="",0,SUMPRODUCT(('עסקאות'!$B$5:$B$1004="דיבידנד")*('עסקאות'!$C$5:$C$1004=$A28)*(YEAR('עסקאות'!$A$5:$A$1004)=DivYear)*(MONTH('עסקאות'!$A$5:$A$1004)=8)*'עסקאות'!$F$5:$F$1004))</f>
        <v/>
      </c>
      <c r="J28" s="28">
        <f>IF($A28="",0,SUMPRODUCT(('עסקאות'!$B$5:$B$1004="דיבידנד")*('עסקאות'!$C$5:$C$1004=$A28)*(YEAR('עסקאות'!$A$5:$A$1004)=DivYear)*(MONTH('עסקאות'!$A$5:$A$1004)=9)*'עסקאות'!$F$5:$F$1004))</f>
        <v/>
      </c>
      <c r="K28" s="28">
        <f>IF($A28="",0,SUMPRODUCT(('עסקאות'!$B$5:$B$1004="דיבידנד")*('עסקאות'!$C$5:$C$1004=$A28)*(YEAR('עסקאות'!$A$5:$A$1004)=DivYear)*(MONTH('עסקאות'!$A$5:$A$1004)=10)*'עסקאות'!$F$5:$F$1004))</f>
        <v/>
      </c>
      <c r="L28" s="28">
        <f>IF($A28="",0,SUMPRODUCT(('עסקאות'!$B$5:$B$1004="דיבידנד")*('עסקאות'!$C$5:$C$1004=$A28)*(YEAR('עסקאות'!$A$5:$A$1004)=DivYear)*(MONTH('עסקאות'!$A$5:$A$1004)=11)*'עסקאות'!$F$5:$F$1004))</f>
        <v/>
      </c>
      <c r="M28" s="28">
        <f>IF($A28="",0,SUMPRODUCT(('עסקאות'!$B$5:$B$1004="דיבידנד")*('עסקאות'!$C$5:$C$1004=$A28)*(YEAR('עסקאות'!$A$5:$A$1004)=DivYear)*(MONTH('עסקאות'!$A$5:$A$1004)=12)*'עסקאות'!$F$5:$F$1004))</f>
        <v/>
      </c>
      <c r="N28" s="41">
        <f>SUM(B28:M28)</f>
        <v/>
      </c>
      <c r="O28" s="31">
        <f>IF(OR(A28="",'תיק'!I28=0),"",N28/'תיק'!I28)</f>
        <v/>
      </c>
    </row>
    <row r="29">
      <c r="A29" s="45">
        <f>IF('תיק'!A29="","",'תיק'!A29)</f>
        <v/>
      </c>
      <c r="B29" s="28">
        <f>IF($A29="",0,SUMPRODUCT(('עסקאות'!$B$5:$B$1004="דיבידנד")*('עסקאות'!$C$5:$C$1004=$A29)*(YEAR('עסקאות'!$A$5:$A$1004)=DivYear)*(MONTH('עסקאות'!$A$5:$A$1004)=1)*'עסקאות'!$F$5:$F$1004))</f>
        <v/>
      </c>
      <c r="C29" s="28">
        <f>IF($A29="",0,SUMPRODUCT(('עסקאות'!$B$5:$B$1004="דיבידנד")*('עסקאות'!$C$5:$C$1004=$A29)*(YEAR('עסקאות'!$A$5:$A$1004)=DivYear)*(MONTH('עסקאות'!$A$5:$A$1004)=2)*'עסקאות'!$F$5:$F$1004))</f>
        <v/>
      </c>
      <c r="D29" s="28">
        <f>IF($A29="",0,SUMPRODUCT(('עסקאות'!$B$5:$B$1004="דיבידנד")*('עסקאות'!$C$5:$C$1004=$A29)*(YEAR('עסקאות'!$A$5:$A$1004)=DivYear)*(MONTH('עסקאות'!$A$5:$A$1004)=3)*'עסקאות'!$F$5:$F$1004))</f>
        <v/>
      </c>
      <c r="E29" s="28">
        <f>IF($A29="",0,SUMPRODUCT(('עסקאות'!$B$5:$B$1004="דיבידנד")*('עסקאות'!$C$5:$C$1004=$A29)*(YEAR('עסקאות'!$A$5:$A$1004)=DivYear)*(MONTH('עסקאות'!$A$5:$A$1004)=4)*'עסקאות'!$F$5:$F$1004))</f>
        <v/>
      </c>
      <c r="F29" s="28">
        <f>IF($A29="",0,SUMPRODUCT(('עסקאות'!$B$5:$B$1004="דיבידנד")*('עסקאות'!$C$5:$C$1004=$A29)*(YEAR('עסקאות'!$A$5:$A$1004)=DivYear)*(MONTH('עסקאות'!$A$5:$A$1004)=5)*'עסקאות'!$F$5:$F$1004))</f>
        <v/>
      </c>
      <c r="G29" s="28">
        <f>IF($A29="",0,SUMPRODUCT(('עסקאות'!$B$5:$B$1004="דיבידנד")*('עסקאות'!$C$5:$C$1004=$A29)*(YEAR('עסקאות'!$A$5:$A$1004)=DivYear)*(MONTH('עסקאות'!$A$5:$A$1004)=6)*'עסקאות'!$F$5:$F$1004))</f>
        <v/>
      </c>
      <c r="H29" s="28">
        <f>IF($A29="",0,SUMPRODUCT(('עסקאות'!$B$5:$B$1004="דיבידנד")*('עסקאות'!$C$5:$C$1004=$A29)*(YEAR('עסקאות'!$A$5:$A$1004)=DivYear)*(MONTH('עסקאות'!$A$5:$A$1004)=7)*'עסקאות'!$F$5:$F$1004))</f>
        <v/>
      </c>
      <c r="I29" s="28">
        <f>IF($A29="",0,SUMPRODUCT(('עסקאות'!$B$5:$B$1004="דיבידנד")*('עסקאות'!$C$5:$C$1004=$A29)*(YEAR('עסקאות'!$A$5:$A$1004)=DivYear)*(MONTH('עסקאות'!$A$5:$A$1004)=8)*'עסקאות'!$F$5:$F$1004))</f>
        <v/>
      </c>
      <c r="J29" s="28">
        <f>IF($A29="",0,SUMPRODUCT(('עסקאות'!$B$5:$B$1004="דיבידנד")*('עסקאות'!$C$5:$C$1004=$A29)*(YEAR('עסקאות'!$A$5:$A$1004)=DivYear)*(MONTH('עסקאות'!$A$5:$A$1004)=9)*'עסקאות'!$F$5:$F$1004))</f>
        <v/>
      </c>
      <c r="K29" s="28">
        <f>IF($A29="",0,SUMPRODUCT(('עסקאות'!$B$5:$B$1004="דיבידנד")*('עסקאות'!$C$5:$C$1004=$A29)*(YEAR('עסקאות'!$A$5:$A$1004)=DivYear)*(MONTH('עסקאות'!$A$5:$A$1004)=10)*'עסקאות'!$F$5:$F$1004))</f>
        <v/>
      </c>
      <c r="L29" s="28">
        <f>IF($A29="",0,SUMPRODUCT(('עסקאות'!$B$5:$B$1004="דיבידנד")*('עסקאות'!$C$5:$C$1004=$A29)*(YEAR('עסקאות'!$A$5:$A$1004)=DivYear)*(MONTH('עסקאות'!$A$5:$A$1004)=11)*'עסקאות'!$F$5:$F$1004))</f>
        <v/>
      </c>
      <c r="M29" s="28">
        <f>IF($A29="",0,SUMPRODUCT(('עסקאות'!$B$5:$B$1004="דיבידנד")*('עסקאות'!$C$5:$C$1004=$A29)*(YEAR('עסקאות'!$A$5:$A$1004)=DivYear)*(MONTH('עסקאות'!$A$5:$A$1004)=12)*'עסקאות'!$F$5:$F$1004))</f>
        <v/>
      </c>
      <c r="N29" s="41">
        <f>SUM(B29:M29)</f>
        <v/>
      </c>
      <c r="O29" s="31">
        <f>IF(OR(A29="",'תיק'!I29=0),"",N29/'תיק'!I29)</f>
        <v/>
      </c>
    </row>
    <row r="30">
      <c r="A30" s="45">
        <f>IF('תיק'!A30="","",'תיק'!A30)</f>
        <v/>
      </c>
      <c r="B30" s="28">
        <f>IF($A30="",0,SUMPRODUCT(('עסקאות'!$B$5:$B$1004="דיבידנד")*('עסקאות'!$C$5:$C$1004=$A30)*(YEAR('עסקאות'!$A$5:$A$1004)=DivYear)*(MONTH('עסקאות'!$A$5:$A$1004)=1)*'עסקאות'!$F$5:$F$1004))</f>
        <v/>
      </c>
      <c r="C30" s="28">
        <f>IF($A30="",0,SUMPRODUCT(('עסקאות'!$B$5:$B$1004="דיבידנד")*('עסקאות'!$C$5:$C$1004=$A30)*(YEAR('עסקאות'!$A$5:$A$1004)=DivYear)*(MONTH('עסקאות'!$A$5:$A$1004)=2)*'עסקאות'!$F$5:$F$1004))</f>
        <v/>
      </c>
      <c r="D30" s="28">
        <f>IF($A30="",0,SUMPRODUCT(('עסקאות'!$B$5:$B$1004="דיבידנד")*('עסקאות'!$C$5:$C$1004=$A30)*(YEAR('עסקאות'!$A$5:$A$1004)=DivYear)*(MONTH('עסקאות'!$A$5:$A$1004)=3)*'עסקאות'!$F$5:$F$1004))</f>
        <v/>
      </c>
      <c r="E30" s="28">
        <f>IF($A30="",0,SUMPRODUCT(('עסקאות'!$B$5:$B$1004="דיבידנד")*('עסקאות'!$C$5:$C$1004=$A30)*(YEAR('עסקאות'!$A$5:$A$1004)=DivYear)*(MONTH('עסקאות'!$A$5:$A$1004)=4)*'עסקאות'!$F$5:$F$1004))</f>
        <v/>
      </c>
      <c r="F30" s="28">
        <f>IF($A30="",0,SUMPRODUCT(('עסקאות'!$B$5:$B$1004="דיבידנד")*('עסקאות'!$C$5:$C$1004=$A30)*(YEAR('עסקאות'!$A$5:$A$1004)=DivYear)*(MONTH('עסקאות'!$A$5:$A$1004)=5)*'עסקאות'!$F$5:$F$1004))</f>
        <v/>
      </c>
      <c r="G30" s="28">
        <f>IF($A30="",0,SUMPRODUCT(('עסקאות'!$B$5:$B$1004="דיבידנד")*('עסקאות'!$C$5:$C$1004=$A30)*(YEAR('עסקאות'!$A$5:$A$1004)=DivYear)*(MONTH('עסקאות'!$A$5:$A$1004)=6)*'עסקאות'!$F$5:$F$1004))</f>
        <v/>
      </c>
      <c r="H30" s="28">
        <f>IF($A30="",0,SUMPRODUCT(('עסקאות'!$B$5:$B$1004="דיבידנד")*('עסקאות'!$C$5:$C$1004=$A30)*(YEAR('עסקאות'!$A$5:$A$1004)=DivYear)*(MONTH('עסקאות'!$A$5:$A$1004)=7)*'עסקאות'!$F$5:$F$1004))</f>
        <v/>
      </c>
      <c r="I30" s="28">
        <f>IF($A30="",0,SUMPRODUCT(('עסקאות'!$B$5:$B$1004="דיבידנד")*('עסקאות'!$C$5:$C$1004=$A30)*(YEAR('עסקאות'!$A$5:$A$1004)=DivYear)*(MONTH('עסקאות'!$A$5:$A$1004)=8)*'עסקאות'!$F$5:$F$1004))</f>
        <v/>
      </c>
      <c r="J30" s="28">
        <f>IF($A30="",0,SUMPRODUCT(('עסקאות'!$B$5:$B$1004="דיבידנד")*('עסקאות'!$C$5:$C$1004=$A30)*(YEAR('עסקאות'!$A$5:$A$1004)=DivYear)*(MONTH('עסקאות'!$A$5:$A$1004)=9)*'עסקאות'!$F$5:$F$1004))</f>
        <v/>
      </c>
      <c r="K30" s="28">
        <f>IF($A30="",0,SUMPRODUCT(('עסקאות'!$B$5:$B$1004="דיבידנד")*('עסקאות'!$C$5:$C$1004=$A30)*(YEAR('עסקאות'!$A$5:$A$1004)=DivYear)*(MONTH('עסקאות'!$A$5:$A$1004)=10)*'עסקאות'!$F$5:$F$1004))</f>
        <v/>
      </c>
      <c r="L30" s="28">
        <f>IF($A30="",0,SUMPRODUCT(('עסקאות'!$B$5:$B$1004="דיבידנד")*('עסקאות'!$C$5:$C$1004=$A30)*(YEAR('עסקאות'!$A$5:$A$1004)=DivYear)*(MONTH('עסקאות'!$A$5:$A$1004)=11)*'עסקאות'!$F$5:$F$1004))</f>
        <v/>
      </c>
      <c r="M30" s="28">
        <f>IF($A30="",0,SUMPRODUCT(('עסקאות'!$B$5:$B$1004="דיבידנד")*('עסקאות'!$C$5:$C$1004=$A30)*(YEAR('עסקאות'!$A$5:$A$1004)=DivYear)*(MONTH('עסקאות'!$A$5:$A$1004)=12)*'עסקאות'!$F$5:$F$1004))</f>
        <v/>
      </c>
      <c r="N30" s="41">
        <f>SUM(B30:M30)</f>
        <v/>
      </c>
      <c r="O30" s="31">
        <f>IF(OR(A30="",'תיק'!I30=0),"",N30/'תיק'!I30)</f>
        <v/>
      </c>
    </row>
    <row r="31">
      <c r="A31" s="45">
        <f>IF('תיק'!A31="","",'תיק'!A31)</f>
        <v/>
      </c>
      <c r="B31" s="28">
        <f>IF($A31="",0,SUMPRODUCT(('עסקאות'!$B$5:$B$1004="דיבידנד")*('עסקאות'!$C$5:$C$1004=$A31)*(YEAR('עסקאות'!$A$5:$A$1004)=DivYear)*(MONTH('עסקאות'!$A$5:$A$1004)=1)*'עסקאות'!$F$5:$F$1004))</f>
        <v/>
      </c>
      <c r="C31" s="28">
        <f>IF($A31="",0,SUMPRODUCT(('עסקאות'!$B$5:$B$1004="דיבידנד")*('עסקאות'!$C$5:$C$1004=$A31)*(YEAR('עסקאות'!$A$5:$A$1004)=DivYear)*(MONTH('עסקאות'!$A$5:$A$1004)=2)*'עסקאות'!$F$5:$F$1004))</f>
        <v/>
      </c>
      <c r="D31" s="28">
        <f>IF($A31="",0,SUMPRODUCT(('עסקאות'!$B$5:$B$1004="דיבידנד")*('עסקאות'!$C$5:$C$1004=$A31)*(YEAR('עסקאות'!$A$5:$A$1004)=DivYear)*(MONTH('עסקאות'!$A$5:$A$1004)=3)*'עסקאות'!$F$5:$F$1004))</f>
        <v/>
      </c>
      <c r="E31" s="28">
        <f>IF($A31="",0,SUMPRODUCT(('עסקאות'!$B$5:$B$1004="דיבידנד")*('עסקאות'!$C$5:$C$1004=$A31)*(YEAR('עסקאות'!$A$5:$A$1004)=DivYear)*(MONTH('עסקאות'!$A$5:$A$1004)=4)*'עסקאות'!$F$5:$F$1004))</f>
        <v/>
      </c>
      <c r="F31" s="28">
        <f>IF($A31="",0,SUMPRODUCT(('עסקאות'!$B$5:$B$1004="דיבידנד")*('עסקאות'!$C$5:$C$1004=$A31)*(YEAR('עסקאות'!$A$5:$A$1004)=DivYear)*(MONTH('עסקאות'!$A$5:$A$1004)=5)*'עסקאות'!$F$5:$F$1004))</f>
        <v/>
      </c>
      <c r="G31" s="28">
        <f>IF($A31="",0,SUMPRODUCT(('עסקאות'!$B$5:$B$1004="דיבידנד")*('עסקאות'!$C$5:$C$1004=$A31)*(YEAR('עסקאות'!$A$5:$A$1004)=DivYear)*(MONTH('עסקאות'!$A$5:$A$1004)=6)*'עסקאות'!$F$5:$F$1004))</f>
        <v/>
      </c>
      <c r="H31" s="28">
        <f>IF($A31="",0,SUMPRODUCT(('עסקאות'!$B$5:$B$1004="דיבידנד")*('עסקאות'!$C$5:$C$1004=$A31)*(YEAR('עסקאות'!$A$5:$A$1004)=DivYear)*(MONTH('עסקאות'!$A$5:$A$1004)=7)*'עסקאות'!$F$5:$F$1004))</f>
        <v/>
      </c>
      <c r="I31" s="28">
        <f>IF($A31="",0,SUMPRODUCT(('עסקאות'!$B$5:$B$1004="דיבידנד")*('עסקאות'!$C$5:$C$1004=$A31)*(YEAR('עסקאות'!$A$5:$A$1004)=DivYear)*(MONTH('עסקאות'!$A$5:$A$1004)=8)*'עסקאות'!$F$5:$F$1004))</f>
        <v/>
      </c>
      <c r="J31" s="28">
        <f>IF($A31="",0,SUMPRODUCT(('עסקאות'!$B$5:$B$1004="דיבידנד")*('עסקאות'!$C$5:$C$1004=$A31)*(YEAR('עסקאות'!$A$5:$A$1004)=DivYear)*(MONTH('עסקאות'!$A$5:$A$1004)=9)*'עסקאות'!$F$5:$F$1004))</f>
        <v/>
      </c>
      <c r="K31" s="28">
        <f>IF($A31="",0,SUMPRODUCT(('עסקאות'!$B$5:$B$1004="דיבידנד")*('עסקאות'!$C$5:$C$1004=$A31)*(YEAR('עסקאות'!$A$5:$A$1004)=DivYear)*(MONTH('עסקאות'!$A$5:$A$1004)=10)*'עסקאות'!$F$5:$F$1004))</f>
        <v/>
      </c>
      <c r="L31" s="28">
        <f>IF($A31="",0,SUMPRODUCT(('עסקאות'!$B$5:$B$1004="דיבידנד")*('עסקאות'!$C$5:$C$1004=$A31)*(YEAR('עסקאות'!$A$5:$A$1004)=DivYear)*(MONTH('עסקאות'!$A$5:$A$1004)=11)*'עסקאות'!$F$5:$F$1004))</f>
        <v/>
      </c>
      <c r="M31" s="28">
        <f>IF($A31="",0,SUMPRODUCT(('עסקאות'!$B$5:$B$1004="דיבידנד")*('עסקאות'!$C$5:$C$1004=$A31)*(YEAR('עסקאות'!$A$5:$A$1004)=DivYear)*(MONTH('עסקאות'!$A$5:$A$1004)=12)*'עסקאות'!$F$5:$F$1004))</f>
        <v/>
      </c>
      <c r="N31" s="41">
        <f>SUM(B31:M31)</f>
        <v/>
      </c>
      <c r="O31" s="31">
        <f>IF(OR(A31="",'תיק'!I31=0),"",N31/'תיק'!I31)</f>
        <v/>
      </c>
    </row>
    <row r="32">
      <c r="A32" s="45">
        <f>IF('תיק'!A32="","",'תיק'!A32)</f>
        <v/>
      </c>
      <c r="B32" s="28">
        <f>IF($A32="",0,SUMPRODUCT(('עסקאות'!$B$5:$B$1004="דיבידנד")*('עסקאות'!$C$5:$C$1004=$A32)*(YEAR('עסקאות'!$A$5:$A$1004)=DivYear)*(MONTH('עסקאות'!$A$5:$A$1004)=1)*'עסקאות'!$F$5:$F$1004))</f>
        <v/>
      </c>
      <c r="C32" s="28">
        <f>IF($A32="",0,SUMPRODUCT(('עסקאות'!$B$5:$B$1004="דיבידנד")*('עסקאות'!$C$5:$C$1004=$A32)*(YEAR('עסקאות'!$A$5:$A$1004)=DivYear)*(MONTH('עסקאות'!$A$5:$A$1004)=2)*'עסקאות'!$F$5:$F$1004))</f>
        <v/>
      </c>
      <c r="D32" s="28">
        <f>IF($A32="",0,SUMPRODUCT(('עסקאות'!$B$5:$B$1004="דיבידנד")*('עסקאות'!$C$5:$C$1004=$A32)*(YEAR('עסקאות'!$A$5:$A$1004)=DivYear)*(MONTH('עסקאות'!$A$5:$A$1004)=3)*'עסקאות'!$F$5:$F$1004))</f>
        <v/>
      </c>
      <c r="E32" s="28">
        <f>IF($A32="",0,SUMPRODUCT(('עסקאות'!$B$5:$B$1004="דיבידנד")*('עסקאות'!$C$5:$C$1004=$A32)*(YEAR('עסקאות'!$A$5:$A$1004)=DivYear)*(MONTH('עסקאות'!$A$5:$A$1004)=4)*'עסקאות'!$F$5:$F$1004))</f>
        <v/>
      </c>
      <c r="F32" s="28">
        <f>IF($A32="",0,SUMPRODUCT(('עסקאות'!$B$5:$B$1004="דיבידנד")*('עסקאות'!$C$5:$C$1004=$A32)*(YEAR('עסקאות'!$A$5:$A$1004)=DivYear)*(MONTH('עסקאות'!$A$5:$A$1004)=5)*'עסקאות'!$F$5:$F$1004))</f>
        <v/>
      </c>
      <c r="G32" s="28">
        <f>IF($A32="",0,SUMPRODUCT(('עסקאות'!$B$5:$B$1004="דיבידנד")*('עסקאות'!$C$5:$C$1004=$A32)*(YEAR('עסקאות'!$A$5:$A$1004)=DivYear)*(MONTH('עסקאות'!$A$5:$A$1004)=6)*'עסקאות'!$F$5:$F$1004))</f>
        <v/>
      </c>
      <c r="H32" s="28">
        <f>IF($A32="",0,SUMPRODUCT(('עסקאות'!$B$5:$B$1004="דיבידנד")*('עסקאות'!$C$5:$C$1004=$A32)*(YEAR('עסקאות'!$A$5:$A$1004)=DivYear)*(MONTH('עסקאות'!$A$5:$A$1004)=7)*'עסקאות'!$F$5:$F$1004))</f>
        <v/>
      </c>
      <c r="I32" s="28">
        <f>IF($A32="",0,SUMPRODUCT(('עסקאות'!$B$5:$B$1004="דיבידנד")*('עסקאות'!$C$5:$C$1004=$A32)*(YEAR('עסקאות'!$A$5:$A$1004)=DivYear)*(MONTH('עסקאות'!$A$5:$A$1004)=8)*'עסקאות'!$F$5:$F$1004))</f>
        <v/>
      </c>
      <c r="J32" s="28">
        <f>IF($A32="",0,SUMPRODUCT(('עסקאות'!$B$5:$B$1004="דיבידנד")*('עסקאות'!$C$5:$C$1004=$A32)*(YEAR('עסקאות'!$A$5:$A$1004)=DivYear)*(MONTH('עסקאות'!$A$5:$A$1004)=9)*'עסקאות'!$F$5:$F$1004))</f>
        <v/>
      </c>
      <c r="K32" s="28">
        <f>IF($A32="",0,SUMPRODUCT(('עסקאות'!$B$5:$B$1004="דיבידנד")*('עסקאות'!$C$5:$C$1004=$A32)*(YEAR('עסקאות'!$A$5:$A$1004)=DivYear)*(MONTH('עסקאות'!$A$5:$A$1004)=10)*'עסקאות'!$F$5:$F$1004))</f>
        <v/>
      </c>
      <c r="L32" s="28">
        <f>IF($A32="",0,SUMPRODUCT(('עסקאות'!$B$5:$B$1004="דיבידנד")*('עסקאות'!$C$5:$C$1004=$A32)*(YEAR('עסקאות'!$A$5:$A$1004)=DivYear)*(MONTH('עסקאות'!$A$5:$A$1004)=11)*'עסקאות'!$F$5:$F$1004))</f>
        <v/>
      </c>
      <c r="M32" s="28">
        <f>IF($A32="",0,SUMPRODUCT(('עסקאות'!$B$5:$B$1004="דיבידנד")*('עסקאות'!$C$5:$C$1004=$A32)*(YEAR('עסקאות'!$A$5:$A$1004)=DivYear)*(MONTH('עסקאות'!$A$5:$A$1004)=12)*'עסקאות'!$F$5:$F$1004))</f>
        <v/>
      </c>
      <c r="N32" s="41">
        <f>SUM(B32:M32)</f>
        <v/>
      </c>
      <c r="O32" s="31">
        <f>IF(OR(A32="",'תיק'!I32=0),"",N32/'תיק'!I32)</f>
        <v/>
      </c>
    </row>
    <row r="33">
      <c r="A33" s="45">
        <f>IF('תיק'!A33="","",'תיק'!A33)</f>
        <v/>
      </c>
      <c r="B33" s="28">
        <f>IF($A33="",0,SUMPRODUCT(('עסקאות'!$B$5:$B$1004="דיבידנד")*('עסקאות'!$C$5:$C$1004=$A33)*(YEAR('עסקאות'!$A$5:$A$1004)=DivYear)*(MONTH('עסקאות'!$A$5:$A$1004)=1)*'עסקאות'!$F$5:$F$1004))</f>
        <v/>
      </c>
      <c r="C33" s="28">
        <f>IF($A33="",0,SUMPRODUCT(('עסקאות'!$B$5:$B$1004="דיבידנד")*('עסקאות'!$C$5:$C$1004=$A33)*(YEAR('עסקאות'!$A$5:$A$1004)=DivYear)*(MONTH('עסקאות'!$A$5:$A$1004)=2)*'עסקאות'!$F$5:$F$1004))</f>
        <v/>
      </c>
      <c r="D33" s="28">
        <f>IF($A33="",0,SUMPRODUCT(('עסקאות'!$B$5:$B$1004="דיבידנד")*('עסקאות'!$C$5:$C$1004=$A33)*(YEAR('עסקאות'!$A$5:$A$1004)=DivYear)*(MONTH('עסקאות'!$A$5:$A$1004)=3)*'עסקאות'!$F$5:$F$1004))</f>
        <v/>
      </c>
      <c r="E33" s="28">
        <f>IF($A33="",0,SUMPRODUCT(('עסקאות'!$B$5:$B$1004="דיבידנד")*('עסקאות'!$C$5:$C$1004=$A33)*(YEAR('עסקאות'!$A$5:$A$1004)=DivYear)*(MONTH('עסקאות'!$A$5:$A$1004)=4)*'עסקאות'!$F$5:$F$1004))</f>
        <v/>
      </c>
      <c r="F33" s="28">
        <f>IF($A33="",0,SUMPRODUCT(('עסקאות'!$B$5:$B$1004="דיבידנד")*('עסקאות'!$C$5:$C$1004=$A33)*(YEAR('עסקאות'!$A$5:$A$1004)=DivYear)*(MONTH('עסקאות'!$A$5:$A$1004)=5)*'עסקאות'!$F$5:$F$1004))</f>
        <v/>
      </c>
      <c r="G33" s="28">
        <f>IF($A33="",0,SUMPRODUCT(('עסקאות'!$B$5:$B$1004="דיבידנד")*('עסקאות'!$C$5:$C$1004=$A33)*(YEAR('עסקאות'!$A$5:$A$1004)=DivYear)*(MONTH('עסקאות'!$A$5:$A$1004)=6)*'עסקאות'!$F$5:$F$1004))</f>
        <v/>
      </c>
      <c r="H33" s="28">
        <f>IF($A33="",0,SUMPRODUCT(('עסקאות'!$B$5:$B$1004="דיבידנד")*('עסקאות'!$C$5:$C$1004=$A33)*(YEAR('עסקאות'!$A$5:$A$1004)=DivYear)*(MONTH('עסקאות'!$A$5:$A$1004)=7)*'עסקאות'!$F$5:$F$1004))</f>
        <v/>
      </c>
      <c r="I33" s="28">
        <f>IF($A33="",0,SUMPRODUCT(('עסקאות'!$B$5:$B$1004="דיבידנד")*('עסקאות'!$C$5:$C$1004=$A33)*(YEAR('עסקאות'!$A$5:$A$1004)=DivYear)*(MONTH('עסקאות'!$A$5:$A$1004)=8)*'עסקאות'!$F$5:$F$1004))</f>
        <v/>
      </c>
      <c r="J33" s="28">
        <f>IF($A33="",0,SUMPRODUCT(('עסקאות'!$B$5:$B$1004="דיבידנד")*('עסקאות'!$C$5:$C$1004=$A33)*(YEAR('עסקאות'!$A$5:$A$1004)=DivYear)*(MONTH('עסקאות'!$A$5:$A$1004)=9)*'עסקאות'!$F$5:$F$1004))</f>
        <v/>
      </c>
      <c r="K33" s="28">
        <f>IF($A33="",0,SUMPRODUCT(('עסקאות'!$B$5:$B$1004="דיבידנד")*('עסקאות'!$C$5:$C$1004=$A33)*(YEAR('עסקאות'!$A$5:$A$1004)=DivYear)*(MONTH('עסקאות'!$A$5:$A$1004)=10)*'עסקאות'!$F$5:$F$1004))</f>
        <v/>
      </c>
      <c r="L33" s="28">
        <f>IF($A33="",0,SUMPRODUCT(('עסקאות'!$B$5:$B$1004="דיבידנד")*('עסקאות'!$C$5:$C$1004=$A33)*(YEAR('עסקאות'!$A$5:$A$1004)=DivYear)*(MONTH('עסקאות'!$A$5:$A$1004)=11)*'עסקאות'!$F$5:$F$1004))</f>
        <v/>
      </c>
      <c r="M33" s="28">
        <f>IF($A33="",0,SUMPRODUCT(('עסקאות'!$B$5:$B$1004="דיבידנד")*('עסקאות'!$C$5:$C$1004=$A33)*(YEAR('עסקאות'!$A$5:$A$1004)=DivYear)*(MONTH('עסקאות'!$A$5:$A$1004)=12)*'עסקאות'!$F$5:$F$1004))</f>
        <v/>
      </c>
      <c r="N33" s="41">
        <f>SUM(B33:M33)</f>
        <v/>
      </c>
      <c r="O33" s="31">
        <f>IF(OR(A33="",'תיק'!I33=0),"",N33/'תיק'!I33)</f>
        <v/>
      </c>
    </row>
    <row r="34">
      <c r="A34" s="45">
        <f>IF('תיק'!A34="","",'תיק'!A34)</f>
        <v/>
      </c>
      <c r="B34" s="28">
        <f>IF($A34="",0,SUMPRODUCT(('עסקאות'!$B$5:$B$1004="דיבידנד")*('עסקאות'!$C$5:$C$1004=$A34)*(YEAR('עסקאות'!$A$5:$A$1004)=DivYear)*(MONTH('עסקאות'!$A$5:$A$1004)=1)*'עסקאות'!$F$5:$F$1004))</f>
        <v/>
      </c>
      <c r="C34" s="28">
        <f>IF($A34="",0,SUMPRODUCT(('עסקאות'!$B$5:$B$1004="דיבידנד")*('עסקאות'!$C$5:$C$1004=$A34)*(YEAR('עסקאות'!$A$5:$A$1004)=DivYear)*(MONTH('עסקאות'!$A$5:$A$1004)=2)*'עסקאות'!$F$5:$F$1004))</f>
        <v/>
      </c>
      <c r="D34" s="28">
        <f>IF($A34="",0,SUMPRODUCT(('עסקאות'!$B$5:$B$1004="דיבידנד")*('עסקאות'!$C$5:$C$1004=$A34)*(YEAR('עסקאות'!$A$5:$A$1004)=DivYear)*(MONTH('עסקאות'!$A$5:$A$1004)=3)*'עסקאות'!$F$5:$F$1004))</f>
        <v/>
      </c>
      <c r="E34" s="28">
        <f>IF($A34="",0,SUMPRODUCT(('עסקאות'!$B$5:$B$1004="דיבידנד")*('עסקאות'!$C$5:$C$1004=$A34)*(YEAR('עסקאות'!$A$5:$A$1004)=DivYear)*(MONTH('עסקאות'!$A$5:$A$1004)=4)*'עסקאות'!$F$5:$F$1004))</f>
        <v/>
      </c>
      <c r="F34" s="28">
        <f>IF($A34="",0,SUMPRODUCT(('עסקאות'!$B$5:$B$1004="דיבידנד")*('עסקאות'!$C$5:$C$1004=$A34)*(YEAR('עסקאות'!$A$5:$A$1004)=DivYear)*(MONTH('עסקאות'!$A$5:$A$1004)=5)*'עסקאות'!$F$5:$F$1004))</f>
        <v/>
      </c>
      <c r="G34" s="28">
        <f>IF($A34="",0,SUMPRODUCT(('עסקאות'!$B$5:$B$1004="דיבידנד")*('עסקאות'!$C$5:$C$1004=$A34)*(YEAR('עסקאות'!$A$5:$A$1004)=DivYear)*(MONTH('עסקאות'!$A$5:$A$1004)=6)*'עסקאות'!$F$5:$F$1004))</f>
        <v/>
      </c>
      <c r="H34" s="28">
        <f>IF($A34="",0,SUMPRODUCT(('עסקאות'!$B$5:$B$1004="דיבידנד")*('עסקאות'!$C$5:$C$1004=$A34)*(YEAR('עסקאות'!$A$5:$A$1004)=DivYear)*(MONTH('עסקאות'!$A$5:$A$1004)=7)*'עסקאות'!$F$5:$F$1004))</f>
        <v/>
      </c>
      <c r="I34" s="28">
        <f>IF($A34="",0,SUMPRODUCT(('עסקאות'!$B$5:$B$1004="דיבידנד")*('עסקאות'!$C$5:$C$1004=$A34)*(YEAR('עסקאות'!$A$5:$A$1004)=DivYear)*(MONTH('עסקאות'!$A$5:$A$1004)=8)*'עסקאות'!$F$5:$F$1004))</f>
        <v/>
      </c>
      <c r="J34" s="28">
        <f>IF($A34="",0,SUMPRODUCT(('עסקאות'!$B$5:$B$1004="דיבידנד")*('עסקאות'!$C$5:$C$1004=$A34)*(YEAR('עסקאות'!$A$5:$A$1004)=DivYear)*(MONTH('עסקאות'!$A$5:$A$1004)=9)*'עסקאות'!$F$5:$F$1004))</f>
        <v/>
      </c>
      <c r="K34" s="28">
        <f>IF($A34="",0,SUMPRODUCT(('עסקאות'!$B$5:$B$1004="דיבידנד")*('עסקאות'!$C$5:$C$1004=$A34)*(YEAR('עסקאות'!$A$5:$A$1004)=DivYear)*(MONTH('עסקאות'!$A$5:$A$1004)=10)*'עסקאות'!$F$5:$F$1004))</f>
        <v/>
      </c>
      <c r="L34" s="28">
        <f>IF($A34="",0,SUMPRODUCT(('עסקאות'!$B$5:$B$1004="דיבידנד")*('עסקאות'!$C$5:$C$1004=$A34)*(YEAR('עסקאות'!$A$5:$A$1004)=DivYear)*(MONTH('עסקאות'!$A$5:$A$1004)=11)*'עסקאות'!$F$5:$F$1004))</f>
        <v/>
      </c>
      <c r="M34" s="28">
        <f>IF($A34="",0,SUMPRODUCT(('עסקאות'!$B$5:$B$1004="דיבידנד")*('עסקאות'!$C$5:$C$1004=$A34)*(YEAR('עסקאות'!$A$5:$A$1004)=DivYear)*(MONTH('עסקאות'!$A$5:$A$1004)=12)*'עסקאות'!$F$5:$F$1004))</f>
        <v/>
      </c>
      <c r="N34" s="41">
        <f>SUM(B34:M34)</f>
        <v/>
      </c>
      <c r="O34" s="31">
        <f>IF(OR(A34="",'תיק'!I34=0),"",N34/'תיק'!I34)</f>
        <v/>
      </c>
    </row>
    <row r="35">
      <c r="A35" s="45">
        <f>IF('תיק'!A35="","",'תיק'!A35)</f>
        <v/>
      </c>
      <c r="B35" s="28">
        <f>IF($A35="",0,SUMPRODUCT(('עסקאות'!$B$5:$B$1004="דיבידנד")*('עסקאות'!$C$5:$C$1004=$A35)*(YEAR('עסקאות'!$A$5:$A$1004)=DivYear)*(MONTH('עסקאות'!$A$5:$A$1004)=1)*'עסקאות'!$F$5:$F$1004))</f>
        <v/>
      </c>
      <c r="C35" s="28">
        <f>IF($A35="",0,SUMPRODUCT(('עסקאות'!$B$5:$B$1004="דיבידנד")*('עסקאות'!$C$5:$C$1004=$A35)*(YEAR('עסקאות'!$A$5:$A$1004)=DivYear)*(MONTH('עסקאות'!$A$5:$A$1004)=2)*'עסקאות'!$F$5:$F$1004))</f>
        <v/>
      </c>
      <c r="D35" s="28">
        <f>IF($A35="",0,SUMPRODUCT(('עסקאות'!$B$5:$B$1004="דיבידנד")*('עסקאות'!$C$5:$C$1004=$A35)*(YEAR('עסקאות'!$A$5:$A$1004)=DivYear)*(MONTH('עסקאות'!$A$5:$A$1004)=3)*'עסקאות'!$F$5:$F$1004))</f>
        <v/>
      </c>
      <c r="E35" s="28">
        <f>IF($A35="",0,SUMPRODUCT(('עסקאות'!$B$5:$B$1004="דיבידנד")*('עסקאות'!$C$5:$C$1004=$A35)*(YEAR('עסקאות'!$A$5:$A$1004)=DivYear)*(MONTH('עסקאות'!$A$5:$A$1004)=4)*'עסקאות'!$F$5:$F$1004))</f>
        <v/>
      </c>
      <c r="F35" s="28">
        <f>IF($A35="",0,SUMPRODUCT(('עסקאות'!$B$5:$B$1004="דיבידנד")*('עסקאות'!$C$5:$C$1004=$A35)*(YEAR('עסקאות'!$A$5:$A$1004)=DivYear)*(MONTH('עסקאות'!$A$5:$A$1004)=5)*'עסקאות'!$F$5:$F$1004))</f>
        <v/>
      </c>
      <c r="G35" s="28">
        <f>IF($A35="",0,SUMPRODUCT(('עסקאות'!$B$5:$B$1004="דיבידנד")*('עסקאות'!$C$5:$C$1004=$A35)*(YEAR('עסקאות'!$A$5:$A$1004)=DivYear)*(MONTH('עסקאות'!$A$5:$A$1004)=6)*'עסקאות'!$F$5:$F$1004))</f>
        <v/>
      </c>
      <c r="H35" s="28">
        <f>IF($A35="",0,SUMPRODUCT(('עסקאות'!$B$5:$B$1004="דיבידנד")*('עסקאות'!$C$5:$C$1004=$A35)*(YEAR('עסקאות'!$A$5:$A$1004)=DivYear)*(MONTH('עסקאות'!$A$5:$A$1004)=7)*'עסקאות'!$F$5:$F$1004))</f>
        <v/>
      </c>
      <c r="I35" s="28">
        <f>IF($A35="",0,SUMPRODUCT(('עסקאות'!$B$5:$B$1004="דיבידנד")*('עסקאות'!$C$5:$C$1004=$A35)*(YEAR('עסקאות'!$A$5:$A$1004)=DivYear)*(MONTH('עסקאות'!$A$5:$A$1004)=8)*'עסקאות'!$F$5:$F$1004))</f>
        <v/>
      </c>
      <c r="J35" s="28">
        <f>IF($A35="",0,SUMPRODUCT(('עסקאות'!$B$5:$B$1004="דיבידנד")*('עסקאות'!$C$5:$C$1004=$A35)*(YEAR('עסקאות'!$A$5:$A$1004)=DivYear)*(MONTH('עסקאות'!$A$5:$A$1004)=9)*'עסקאות'!$F$5:$F$1004))</f>
        <v/>
      </c>
      <c r="K35" s="28">
        <f>IF($A35="",0,SUMPRODUCT(('עסקאות'!$B$5:$B$1004="דיבידנד")*('עסקאות'!$C$5:$C$1004=$A35)*(YEAR('עסקאות'!$A$5:$A$1004)=DivYear)*(MONTH('עסקאות'!$A$5:$A$1004)=10)*'עסקאות'!$F$5:$F$1004))</f>
        <v/>
      </c>
      <c r="L35" s="28">
        <f>IF($A35="",0,SUMPRODUCT(('עסקאות'!$B$5:$B$1004="דיבידנד")*('עסקאות'!$C$5:$C$1004=$A35)*(YEAR('עסקאות'!$A$5:$A$1004)=DivYear)*(MONTH('עסקאות'!$A$5:$A$1004)=11)*'עסקאות'!$F$5:$F$1004))</f>
        <v/>
      </c>
      <c r="M35" s="28">
        <f>IF($A35="",0,SUMPRODUCT(('עסקאות'!$B$5:$B$1004="דיבידנד")*('עסקאות'!$C$5:$C$1004=$A35)*(YEAR('עסקאות'!$A$5:$A$1004)=DivYear)*(MONTH('עסקאות'!$A$5:$A$1004)=12)*'עסקאות'!$F$5:$F$1004))</f>
        <v/>
      </c>
      <c r="N35" s="41">
        <f>SUM(B35:M35)</f>
        <v/>
      </c>
      <c r="O35" s="31">
        <f>IF(OR(A35="",'תיק'!I35=0),"",N35/'תיק'!I35)</f>
        <v/>
      </c>
    </row>
    <row r="36">
      <c r="A36" s="45">
        <f>IF('תיק'!A36="","",'תיק'!A36)</f>
        <v/>
      </c>
      <c r="B36" s="28">
        <f>IF($A36="",0,SUMPRODUCT(('עסקאות'!$B$5:$B$1004="דיבידנד")*('עסקאות'!$C$5:$C$1004=$A36)*(YEAR('עסקאות'!$A$5:$A$1004)=DivYear)*(MONTH('עסקאות'!$A$5:$A$1004)=1)*'עסקאות'!$F$5:$F$1004))</f>
        <v/>
      </c>
      <c r="C36" s="28">
        <f>IF($A36="",0,SUMPRODUCT(('עסקאות'!$B$5:$B$1004="דיבידנד")*('עסקאות'!$C$5:$C$1004=$A36)*(YEAR('עסקאות'!$A$5:$A$1004)=DivYear)*(MONTH('עסקאות'!$A$5:$A$1004)=2)*'עסקאות'!$F$5:$F$1004))</f>
        <v/>
      </c>
      <c r="D36" s="28">
        <f>IF($A36="",0,SUMPRODUCT(('עסקאות'!$B$5:$B$1004="דיבידנד")*('עסקאות'!$C$5:$C$1004=$A36)*(YEAR('עסקאות'!$A$5:$A$1004)=DivYear)*(MONTH('עסקאות'!$A$5:$A$1004)=3)*'עסקאות'!$F$5:$F$1004))</f>
        <v/>
      </c>
      <c r="E36" s="28">
        <f>IF($A36="",0,SUMPRODUCT(('עסקאות'!$B$5:$B$1004="דיבידנד")*('עסקאות'!$C$5:$C$1004=$A36)*(YEAR('עסקאות'!$A$5:$A$1004)=DivYear)*(MONTH('עסקאות'!$A$5:$A$1004)=4)*'עסקאות'!$F$5:$F$1004))</f>
        <v/>
      </c>
      <c r="F36" s="28">
        <f>IF($A36="",0,SUMPRODUCT(('עסקאות'!$B$5:$B$1004="דיבידנד")*('עסקאות'!$C$5:$C$1004=$A36)*(YEAR('עסקאות'!$A$5:$A$1004)=DivYear)*(MONTH('עסקאות'!$A$5:$A$1004)=5)*'עסקאות'!$F$5:$F$1004))</f>
        <v/>
      </c>
      <c r="G36" s="28">
        <f>IF($A36="",0,SUMPRODUCT(('עסקאות'!$B$5:$B$1004="דיבידנד")*('עסקאות'!$C$5:$C$1004=$A36)*(YEAR('עסקאות'!$A$5:$A$1004)=DivYear)*(MONTH('עסקאות'!$A$5:$A$1004)=6)*'עסקאות'!$F$5:$F$1004))</f>
        <v/>
      </c>
      <c r="H36" s="28">
        <f>IF($A36="",0,SUMPRODUCT(('עסקאות'!$B$5:$B$1004="דיבידנד")*('עסקאות'!$C$5:$C$1004=$A36)*(YEAR('עסקאות'!$A$5:$A$1004)=DivYear)*(MONTH('עסקאות'!$A$5:$A$1004)=7)*'עסקאות'!$F$5:$F$1004))</f>
        <v/>
      </c>
      <c r="I36" s="28">
        <f>IF($A36="",0,SUMPRODUCT(('עסקאות'!$B$5:$B$1004="דיבידנד")*('עסקאות'!$C$5:$C$1004=$A36)*(YEAR('עסקאות'!$A$5:$A$1004)=DivYear)*(MONTH('עסקאות'!$A$5:$A$1004)=8)*'עסקאות'!$F$5:$F$1004))</f>
        <v/>
      </c>
      <c r="J36" s="28">
        <f>IF($A36="",0,SUMPRODUCT(('עסקאות'!$B$5:$B$1004="דיבידנד")*('עסקאות'!$C$5:$C$1004=$A36)*(YEAR('עסקאות'!$A$5:$A$1004)=DivYear)*(MONTH('עסקאות'!$A$5:$A$1004)=9)*'עסקאות'!$F$5:$F$1004))</f>
        <v/>
      </c>
      <c r="K36" s="28">
        <f>IF($A36="",0,SUMPRODUCT(('עסקאות'!$B$5:$B$1004="דיבידנד")*('עסקאות'!$C$5:$C$1004=$A36)*(YEAR('עסקאות'!$A$5:$A$1004)=DivYear)*(MONTH('עסקאות'!$A$5:$A$1004)=10)*'עסקאות'!$F$5:$F$1004))</f>
        <v/>
      </c>
      <c r="L36" s="28">
        <f>IF($A36="",0,SUMPRODUCT(('עסקאות'!$B$5:$B$1004="דיבידנד")*('עסקאות'!$C$5:$C$1004=$A36)*(YEAR('עסקאות'!$A$5:$A$1004)=DivYear)*(MONTH('עסקאות'!$A$5:$A$1004)=11)*'עסקאות'!$F$5:$F$1004))</f>
        <v/>
      </c>
      <c r="M36" s="28">
        <f>IF($A36="",0,SUMPRODUCT(('עסקאות'!$B$5:$B$1004="דיבידנד")*('עסקאות'!$C$5:$C$1004=$A36)*(YEAR('עסקאות'!$A$5:$A$1004)=DivYear)*(MONTH('עסקאות'!$A$5:$A$1004)=12)*'עסקאות'!$F$5:$F$1004))</f>
        <v/>
      </c>
      <c r="N36" s="41">
        <f>SUM(B36:M36)</f>
        <v/>
      </c>
      <c r="O36" s="31">
        <f>IF(OR(A36="",'תיק'!I36=0),"",N36/'תיק'!I36)</f>
        <v/>
      </c>
    </row>
    <row r="37">
      <c r="A37" s="45">
        <f>IF('תיק'!A37="","",'תיק'!A37)</f>
        <v/>
      </c>
      <c r="B37" s="28">
        <f>IF($A37="",0,SUMPRODUCT(('עסקאות'!$B$5:$B$1004="דיבידנד")*('עסקאות'!$C$5:$C$1004=$A37)*(YEAR('עסקאות'!$A$5:$A$1004)=DivYear)*(MONTH('עסקאות'!$A$5:$A$1004)=1)*'עסקאות'!$F$5:$F$1004))</f>
        <v/>
      </c>
      <c r="C37" s="28">
        <f>IF($A37="",0,SUMPRODUCT(('עסקאות'!$B$5:$B$1004="דיבידנד")*('עסקאות'!$C$5:$C$1004=$A37)*(YEAR('עסקאות'!$A$5:$A$1004)=DivYear)*(MONTH('עסקאות'!$A$5:$A$1004)=2)*'עסקאות'!$F$5:$F$1004))</f>
        <v/>
      </c>
      <c r="D37" s="28">
        <f>IF($A37="",0,SUMPRODUCT(('עסקאות'!$B$5:$B$1004="דיבידנד")*('עסקאות'!$C$5:$C$1004=$A37)*(YEAR('עסקאות'!$A$5:$A$1004)=DivYear)*(MONTH('עסקאות'!$A$5:$A$1004)=3)*'עסקאות'!$F$5:$F$1004))</f>
        <v/>
      </c>
      <c r="E37" s="28">
        <f>IF($A37="",0,SUMPRODUCT(('עסקאות'!$B$5:$B$1004="דיבידנד")*('עסקאות'!$C$5:$C$1004=$A37)*(YEAR('עסקאות'!$A$5:$A$1004)=DivYear)*(MONTH('עסקאות'!$A$5:$A$1004)=4)*'עסקאות'!$F$5:$F$1004))</f>
        <v/>
      </c>
      <c r="F37" s="28">
        <f>IF($A37="",0,SUMPRODUCT(('עסקאות'!$B$5:$B$1004="דיבידנד")*('עסקאות'!$C$5:$C$1004=$A37)*(YEAR('עסקאות'!$A$5:$A$1004)=DivYear)*(MONTH('עסקאות'!$A$5:$A$1004)=5)*'עסקאות'!$F$5:$F$1004))</f>
        <v/>
      </c>
      <c r="G37" s="28">
        <f>IF($A37="",0,SUMPRODUCT(('עסקאות'!$B$5:$B$1004="דיבידנד")*('עסקאות'!$C$5:$C$1004=$A37)*(YEAR('עסקאות'!$A$5:$A$1004)=DivYear)*(MONTH('עסקאות'!$A$5:$A$1004)=6)*'עסקאות'!$F$5:$F$1004))</f>
        <v/>
      </c>
      <c r="H37" s="28">
        <f>IF($A37="",0,SUMPRODUCT(('עסקאות'!$B$5:$B$1004="דיבידנד")*('עסקאות'!$C$5:$C$1004=$A37)*(YEAR('עסקאות'!$A$5:$A$1004)=DivYear)*(MONTH('עסקאות'!$A$5:$A$1004)=7)*'עסקאות'!$F$5:$F$1004))</f>
        <v/>
      </c>
      <c r="I37" s="28">
        <f>IF($A37="",0,SUMPRODUCT(('עסקאות'!$B$5:$B$1004="דיבידנד")*('עסקאות'!$C$5:$C$1004=$A37)*(YEAR('עסקאות'!$A$5:$A$1004)=DivYear)*(MONTH('עסקאות'!$A$5:$A$1004)=8)*'עסקאות'!$F$5:$F$1004))</f>
        <v/>
      </c>
      <c r="J37" s="28">
        <f>IF($A37="",0,SUMPRODUCT(('עסקאות'!$B$5:$B$1004="דיבידנד")*('עסקאות'!$C$5:$C$1004=$A37)*(YEAR('עסקאות'!$A$5:$A$1004)=DivYear)*(MONTH('עסקאות'!$A$5:$A$1004)=9)*'עסקאות'!$F$5:$F$1004))</f>
        <v/>
      </c>
      <c r="K37" s="28">
        <f>IF($A37="",0,SUMPRODUCT(('עסקאות'!$B$5:$B$1004="דיבידנד")*('עסקאות'!$C$5:$C$1004=$A37)*(YEAR('עסקאות'!$A$5:$A$1004)=DivYear)*(MONTH('עסקאות'!$A$5:$A$1004)=10)*'עסקאות'!$F$5:$F$1004))</f>
        <v/>
      </c>
      <c r="L37" s="28">
        <f>IF($A37="",0,SUMPRODUCT(('עסקאות'!$B$5:$B$1004="דיבידנד")*('עסקאות'!$C$5:$C$1004=$A37)*(YEAR('עסקאות'!$A$5:$A$1004)=DivYear)*(MONTH('עסקאות'!$A$5:$A$1004)=11)*'עסקאות'!$F$5:$F$1004))</f>
        <v/>
      </c>
      <c r="M37" s="28">
        <f>IF($A37="",0,SUMPRODUCT(('עסקאות'!$B$5:$B$1004="דיבידנד")*('עסקאות'!$C$5:$C$1004=$A37)*(YEAR('עסקאות'!$A$5:$A$1004)=DivYear)*(MONTH('עסקאות'!$A$5:$A$1004)=12)*'עסקאות'!$F$5:$F$1004))</f>
        <v/>
      </c>
      <c r="N37" s="41">
        <f>SUM(B37:M37)</f>
        <v/>
      </c>
      <c r="O37" s="31">
        <f>IF(OR(A37="",'תיק'!I37=0),"",N37/'תיק'!I37)</f>
        <v/>
      </c>
    </row>
    <row r="38">
      <c r="A38" s="45">
        <f>IF('תיק'!A38="","",'תיק'!A38)</f>
        <v/>
      </c>
      <c r="B38" s="28">
        <f>IF($A38="",0,SUMPRODUCT(('עסקאות'!$B$5:$B$1004="דיבידנד")*('עסקאות'!$C$5:$C$1004=$A38)*(YEAR('עסקאות'!$A$5:$A$1004)=DivYear)*(MONTH('עסקאות'!$A$5:$A$1004)=1)*'עסקאות'!$F$5:$F$1004))</f>
        <v/>
      </c>
      <c r="C38" s="28">
        <f>IF($A38="",0,SUMPRODUCT(('עסקאות'!$B$5:$B$1004="דיבידנד")*('עסקאות'!$C$5:$C$1004=$A38)*(YEAR('עסקאות'!$A$5:$A$1004)=DivYear)*(MONTH('עסקאות'!$A$5:$A$1004)=2)*'עסקאות'!$F$5:$F$1004))</f>
        <v/>
      </c>
      <c r="D38" s="28">
        <f>IF($A38="",0,SUMPRODUCT(('עסקאות'!$B$5:$B$1004="דיבידנד")*('עסקאות'!$C$5:$C$1004=$A38)*(YEAR('עסקאות'!$A$5:$A$1004)=DivYear)*(MONTH('עסקאות'!$A$5:$A$1004)=3)*'עסקאות'!$F$5:$F$1004))</f>
        <v/>
      </c>
      <c r="E38" s="28">
        <f>IF($A38="",0,SUMPRODUCT(('עסקאות'!$B$5:$B$1004="דיבידנד")*('עסקאות'!$C$5:$C$1004=$A38)*(YEAR('עסקאות'!$A$5:$A$1004)=DivYear)*(MONTH('עסקאות'!$A$5:$A$1004)=4)*'עסקאות'!$F$5:$F$1004))</f>
        <v/>
      </c>
      <c r="F38" s="28">
        <f>IF($A38="",0,SUMPRODUCT(('עסקאות'!$B$5:$B$1004="דיבידנד")*('עסקאות'!$C$5:$C$1004=$A38)*(YEAR('עסקאות'!$A$5:$A$1004)=DivYear)*(MONTH('עסקאות'!$A$5:$A$1004)=5)*'עסקאות'!$F$5:$F$1004))</f>
        <v/>
      </c>
      <c r="G38" s="28">
        <f>IF($A38="",0,SUMPRODUCT(('עסקאות'!$B$5:$B$1004="דיבידנד")*('עסקאות'!$C$5:$C$1004=$A38)*(YEAR('עסקאות'!$A$5:$A$1004)=DivYear)*(MONTH('עסקאות'!$A$5:$A$1004)=6)*'עסקאות'!$F$5:$F$1004))</f>
        <v/>
      </c>
      <c r="H38" s="28">
        <f>IF($A38="",0,SUMPRODUCT(('עסקאות'!$B$5:$B$1004="דיבידנד")*('עסקאות'!$C$5:$C$1004=$A38)*(YEAR('עסקאות'!$A$5:$A$1004)=DivYear)*(MONTH('עסקאות'!$A$5:$A$1004)=7)*'עסקאות'!$F$5:$F$1004))</f>
        <v/>
      </c>
      <c r="I38" s="28">
        <f>IF($A38="",0,SUMPRODUCT(('עסקאות'!$B$5:$B$1004="דיבידנד")*('עסקאות'!$C$5:$C$1004=$A38)*(YEAR('עסקאות'!$A$5:$A$1004)=DivYear)*(MONTH('עסקאות'!$A$5:$A$1004)=8)*'עסקאות'!$F$5:$F$1004))</f>
        <v/>
      </c>
      <c r="J38" s="28">
        <f>IF($A38="",0,SUMPRODUCT(('עסקאות'!$B$5:$B$1004="דיבידנד")*('עסקאות'!$C$5:$C$1004=$A38)*(YEAR('עסקאות'!$A$5:$A$1004)=DivYear)*(MONTH('עסקאות'!$A$5:$A$1004)=9)*'עסקאות'!$F$5:$F$1004))</f>
        <v/>
      </c>
      <c r="K38" s="28">
        <f>IF($A38="",0,SUMPRODUCT(('עסקאות'!$B$5:$B$1004="דיבידנד")*('עסקאות'!$C$5:$C$1004=$A38)*(YEAR('עסקאות'!$A$5:$A$1004)=DivYear)*(MONTH('עסקאות'!$A$5:$A$1004)=10)*'עסקאות'!$F$5:$F$1004))</f>
        <v/>
      </c>
      <c r="L38" s="28">
        <f>IF($A38="",0,SUMPRODUCT(('עסקאות'!$B$5:$B$1004="דיבידנד")*('עסקאות'!$C$5:$C$1004=$A38)*(YEAR('עסקאות'!$A$5:$A$1004)=DivYear)*(MONTH('עסקאות'!$A$5:$A$1004)=11)*'עסקאות'!$F$5:$F$1004))</f>
        <v/>
      </c>
      <c r="M38" s="28">
        <f>IF($A38="",0,SUMPRODUCT(('עסקאות'!$B$5:$B$1004="דיבידנד")*('עסקאות'!$C$5:$C$1004=$A38)*(YEAR('עסקאות'!$A$5:$A$1004)=DivYear)*(MONTH('עסקאות'!$A$5:$A$1004)=12)*'עסקאות'!$F$5:$F$1004))</f>
        <v/>
      </c>
      <c r="N38" s="41">
        <f>SUM(B38:M38)</f>
        <v/>
      </c>
      <c r="O38" s="31">
        <f>IF(OR(A38="",'תיק'!I38=0),"",N38/'תיק'!I38)</f>
        <v/>
      </c>
    </row>
    <row r="39">
      <c r="A39" s="45">
        <f>IF('תיק'!A39="","",'תיק'!A39)</f>
        <v/>
      </c>
      <c r="B39" s="28">
        <f>IF($A39="",0,SUMPRODUCT(('עסקאות'!$B$5:$B$1004="דיבידנד")*('עסקאות'!$C$5:$C$1004=$A39)*(YEAR('עסקאות'!$A$5:$A$1004)=DivYear)*(MONTH('עסקאות'!$A$5:$A$1004)=1)*'עסקאות'!$F$5:$F$1004))</f>
        <v/>
      </c>
      <c r="C39" s="28">
        <f>IF($A39="",0,SUMPRODUCT(('עסקאות'!$B$5:$B$1004="דיבידנד")*('עסקאות'!$C$5:$C$1004=$A39)*(YEAR('עסקאות'!$A$5:$A$1004)=DivYear)*(MONTH('עסקאות'!$A$5:$A$1004)=2)*'עסקאות'!$F$5:$F$1004))</f>
        <v/>
      </c>
      <c r="D39" s="28">
        <f>IF($A39="",0,SUMPRODUCT(('עסקאות'!$B$5:$B$1004="דיבידנד")*('עסקאות'!$C$5:$C$1004=$A39)*(YEAR('עסקאות'!$A$5:$A$1004)=DivYear)*(MONTH('עסקאות'!$A$5:$A$1004)=3)*'עסקאות'!$F$5:$F$1004))</f>
        <v/>
      </c>
      <c r="E39" s="28">
        <f>IF($A39="",0,SUMPRODUCT(('עסקאות'!$B$5:$B$1004="דיבידנד")*('עסקאות'!$C$5:$C$1004=$A39)*(YEAR('עסקאות'!$A$5:$A$1004)=DivYear)*(MONTH('עסקאות'!$A$5:$A$1004)=4)*'עסקאות'!$F$5:$F$1004))</f>
        <v/>
      </c>
      <c r="F39" s="28">
        <f>IF($A39="",0,SUMPRODUCT(('עסקאות'!$B$5:$B$1004="דיבידנד")*('עסקאות'!$C$5:$C$1004=$A39)*(YEAR('עסקאות'!$A$5:$A$1004)=DivYear)*(MONTH('עסקאות'!$A$5:$A$1004)=5)*'עסקאות'!$F$5:$F$1004))</f>
        <v/>
      </c>
      <c r="G39" s="28">
        <f>IF($A39="",0,SUMPRODUCT(('עסקאות'!$B$5:$B$1004="דיבידנד")*('עסקאות'!$C$5:$C$1004=$A39)*(YEAR('עסקאות'!$A$5:$A$1004)=DivYear)*(MONTH('עסקאות'!$A$5:$A$1004)=6)*'עסקאות'!$F$5:$F$1004))</f>
        <v/>
      </c>
      <c r="H39" s="28">
        <f>IF($A39="",0,SUMPRODUCT(('עסקאות'!$B$5:$B$1004="דיבידנד")*('עסקאות'!$C$5:$C$1004=$A39)*(YEAR('עסקאות'!$A$5:$A$1004)=DivYear)*(MONTH('עסקאות'!$A$5:$A$1004)=7)*'עסקאות'!$F$5:$F$1004))</f>
        <v/>
      </c>
      <c r="I39" s="28">
        <f>IF($A39="",0,SUMPRODUCT(('עסקאות'!$B$5:$B$1004="דיבידנד")*('עסקאות'!$C$5:$C$1004=$A39)*(YEAR('עסקאות'!$A$5:$A$1004)=DivYear)*(MONTH('עסקאות'!$A$5:$A$1004)=8)*'עסקאות'!$F$5:$F$1004))</f>
        <v/>
      </c>
      <c r="J39" s="28">
        <f>IF($A39="",0,SUMPRODUCT(('עסקאות'!$B$5:$B$1004="דיבידנד")*('עסקאות'!$C$5:$C$1004=$A39)*(YEAR('עסקאות'!$A$5:$A$1004)=DivYear)*(MONTH('עסקאות'!$A$5:$A$1004)=9)*'עסקאות'!$F$5:$F$1004))</f>
        <v/>
      </c>
      <c r="K39" s="28">
        <f>IF($A39="",0,SUMPRODUCT(('עסקאות'!$B$5:$B$1004="דיבידנד")*('עסקאות'!$C$5:$C$1004=$A39)*(YEAR('עסקאות'!$A$5:$A$1004)=DivYear)*(MONTH('עסקאות'!$A$5:$A$1004)=10)*'עסקאות'!$F$5:$F$1004))</f>
        <v/>
      </c>
      <c r="L39" s="28">
        <f>IF($A39="",0,SUMPRODUCT(('עסקאות'!$B$5:$B$1004="דיבידנד")*('עסקאות'!$C$5:$C$1004=$A39)*(YEAR('עסקאות'!$A$5:$A$1004)=DivYear)*(MONTH('עסקאות'!$A$5:$A$1004)=11)*'עסקאות'!$F$5:$F$1004))</f>
        <v/>
      </c>
      <c r="M39" s="28">
        <f>IF($A39="",0,SUMPRODUCT(('עסקאות'!$B$5:$B$1004="דיבידנד")*('עסקאות'!$C$5:$C$1004=$A39)*(YEAR('עסקאות'!$A$5:$A$1004)=DivYear)*(MONTH('עסקאות'!$A$5:$A$1004)=12)*'עסקאות'!$F$5:$F$1004))</f>
        <v/>
      </c>
      <c r="N39" s="41">
        <f>SUM(B39:M39)</f>
        <v/>
      </c>
      <c r="O39" s="31">
        <f>IF(OR(A39="",'תיק'!I39=0),"",N39/'תיק'!I39)</f>
        <v/>
      </c>
    </row>
    <row r="40">
      <c r="A40" s="45">
        <f>IF('תיק'!A40="","",'תיק'!A40)</f>
        <v/>
      </c>
      <c r="B40" s="28">
        <f>IF($A40="",0,SUMPRODUCT(('עסקאות'!$B$5:$B$1004="דיבידנד")*('עסקאות'!$C$5:$C$1004=$A40)*(YEAR('עסקאות'!$A$5:$A$1004)=DivYear)*(MONTH('עסקאות'!$A$5:$A$1004)=1)*'עסקאות'!$F$5:$F$1004))</f>
        <v/>
      </c>
      <c r="C40" s="28">
        <f>IF($A40="",0,SUMPRODUCT(('עסקאות'!$B$5:$B$1004="דיבידנד")*('עסקאות'!$C$5:$C$1004=$A40)*(YEAR('עסקאות'!$A$5:$A$1004)=DivYear)*(MONTH('עסקאות'!$A$5:$A$1004)=2)*'עסקאות'!$F$5:$F$1004))</f>
        <v/>
      </c>
      <c r="D40" s="28">
        <f>IF($A40="",0,SUMPRODUCT(('עסקאות'!$B$5:$B$1004="דיבידנד")*('עסקאות'!$C$5:$C$1004=$A40)*(YEAR('עסקאות'!$A$5:$A$1004)=DivYear)*(MONTH('עסקאות'!$A$5:$A$1004)=3)*'עסקאות'!$F$5:$F$1004))</f>
        <v/>
      </c>
      <c r="E40" s="28">
        <f>IF($A40="",0,SUMPRODUCT(('עסקאות'!$B$5:$B$1004="דיבידנד")*('עסקאות'!$C$5:$C$1004=$A40)*(YEAR('עסקאות'!$A$5:$A$1004)=DivYear)*(MONTH('עסקאות'!$A$5:$A$1004)=4)*'עסקאות'!$F$5:$F$1004))</f>
        <v/>
      </c>
      <c r="F40" s="28">
        <f>IF($A40="",0,SUMPRODUCT(('עסקאות'!$B$5:$B$1004="דיבידנד")*('עסקאות'!$C$5:$C$1004=$A40)*(YEAR('עסקאות'!$A$5:$A$1004)=DivYear)*(MONTH('עסקאות'!$A$5:$A$1004)=5)*'עסקאות'!$F$5:$F$1004))</f>
        <v/>
      </c>
      <c r="G40" s="28">
        <f>IF($A40="",0,SUMPRODUCT(('עסקאות'!$B$5:$B$1004="דיבידנד")*('עסקאות'!$C$5:$C$1004=$A40)*(YEAR('עסקאות'!$A$5:$A$1004)=DivYear)*(MONTH('עסקאות'!$A$5:$A$1004)=6)*'עסקאות'!$F$5:$F$1004))</f>
        <v/>
      </c>
      <c r="H40" s="28">
        <f>IF($A40="",0,SUMPRODUCT(('עסקאות'!$B$5:$B$1004="דיבידנד")*('עסקאות'!$C$5:$C$1004=$A40)*(YEAR('עסקאות'!$A$5:$A$1004)=DivYear)*(MONTH('עסקאות'!$A$5:$A$1004)=7)*'עסקאות'!$F$5:$F$1004))</f>
        <v/>
      </c>
      <c r="I40" s="28">
        <f>IF($A40="",0,SUMPRODUCT(('עסקאות'!$B$5:$B$1004="דיבידנד")*('עסקאות'!$C$5:$C$1004=$A40)*(YEAR('עסקאות'!$A$5:$A$1004)=DivYear)*(MONTH('עסקאות'!$A$5:$A$1004)=8)*'עסקאות'!$F$5:$F$1004))</f>
        <v/>
      </c>
      <c r="J40" s="28">
        <f>IF($A40="",0,SUMPRODUCT(('עסקאות'!$B$5:$B$1004="דיבידנד")*('עסקאות'!$C$5:$C$1004=$A40)*(YEAR('עסקאות'!$A$5:$A$1004)=DivYear)*(MONTH('עסקאות'!$A$5:$A$1004)=9)*'עסקאות'!$F$5:$F$1004))</f>
        <v/>
      </c>
      <c r="K40" s="28">
        <f>IF($A40="",0,SUMPRODUCT(('עסקאות'!$B$5:$B$1004="דיבידנד")*('עסקאות'!$C$5:$C$1004=$A40)*(YEAR('עסקאות'!$A$5:$A$1004)=DivYear)*(MONTH('עסקאות'!$A$5:$A$1004)=10)*'עסקאות'!$F$5:$F$1004))</f>
        <v/>
      </c>
      <c r="L40" s="28">
        <f>IF($A40="",0,SUMPRODUCT(('עסקאות'!$B$5:$B$1004="דיבידנד")*('עסקאות'!$C$5:$C$1004=$A40)*(YEAR('עסקאות'!$A$5:$A$1004)=DivYear)*(MONTH('עסקאות'!$A$5:$A$1004)=11)*'עסקאות'!$F$5:$F$1004))</f>
        <v/>
      </c>
      <c r="M40" s="28">
        <f>IF($A40="",0,SUMPRODUCT(('עסקאות'!$B$5:$B$1004="דיבידנד")*('עסקאות'!$C$5:$C$1004=$A40)*(YEAR('עסקאות'!$A$5:$A$1004)=DivYear)*(MONTH('עסקאות'!$A$5:$A$1004)=12)*'עסקאות'!$F$5:$F$1004))</f>
        <v/>
      </c>
      <c r="N40" s="41">
        <f>SUM(B40:M40)</f>
        <v/>
      </c>
      <c r="O40" s="31">
        <f>IF(OR(A40="",'תיק'!I40=0),"",N40/'תיק'!I40)</f>
        <v/>
      </c>
    </row>
    <row r="41">
      <c r="A41" s="45">
        <f>IF('תיק'!A41="","",'תיק'!A41)</f>
        <v/>
      </c>
      <c r="B41" s="28">
        <f>IF($A41="",0,SUMPRODUCT(('עסקאות'!$B$5:$B$1004="דיבידנד")*('עסקאות'!$C$5:$C$1004=$A41)*(YEAR('עסקאות'!$A$5:$A$1004)=DivYear)*(MONTH('עסקאות'!$A$5:$A$1004)=1)*'עסקאות'!$F$5:$F$1004))</f>
        <v/>
      </c>
      <c r="C41" s="28">
        <f>IF($A41="",0,SUMPRODUCT(('עסקאות'!$B$5:$B$1004="דיבידנד")*('עסקאות'!$C$5:$C$1004=$A41)*(YEAR('עסקאות'!$A$5:$A$1004)=DivYear)*(MONTH('עסקאות'!$A$5:$A$1004)=2)*'עסקאות'!$F$5:$F$1004))</f>
        <v/>
      </c>
      <c r="D41" s="28">
        <f>IF($A41="",0,SUMPRODUCT(('עסקאות'!$B$5:$B$1004="דיבידנד")*('עסקאות'!$C$5:$C$1004=$A41)*(YEAR('עסקאות'!$A$5:$A$1004)=DivYear)*(MONTH('עסקאות'!$A$5:$A$1004)=3)*'עסקאות'!$F$5:$F$1004))</f>
        <v/>
      </c>
      <c r="E41" s="28">
        <f>IF($A41="",0,SUMPRODUCT(('עסקאות'!$B$5:$B$1004="דיבידנד")*('עסקאות'!$C$5:$C$1004=$A41)*(YEAR('עסקאות'!$A$5:$A$1004)=DivYear)*(MONTH('עסקאות'!$A$5:$A$1004)=4)*'עסקאות'!$F$5:$F$1004))</f>
        <v/>
      </c>
      <c r="F41" s="28">
        <f>IF($A41="",0,SUMPRODUCT(('עסקאות'!$B$5:$B$1004="דיבידנד")*('עסקאות'!$C$5:$C$1004=$A41)*(YEAR('עסקאות'!$A$5:$A$1004)=DivYear)*(MONTH('עסקאות'!$A$5:$A$1004)=5)*'עסקאות'!$F$5:$F$1004))</f>
        <v/>
      </c>
      <c r="G41" s="28">
        <f>IF($A41="",0,SUMPRODUCT(('עסקאות'!$B$5:$B$1004="דיבידנד")*('עסקאות'!$C$5:$C$1004=$A41)*(YEAR('עסקאות'!$A$5:$A$1004)=DivYear)*(MONTH('עסקאות'!$A$5:$A$1004)=6)*'עסקאות'!$F$5:$F$1004))</f>
        <v/>
      </c>
      <c r="H41" s="28">
        <f>IF($A41="",0,SUMPRODUCT(('עסקאות'!$B$5:$B$1004="דיבידנד")*('עסקאות'!$C$5:$C$1004=$A41)*(YEAR('עסקאות'!$A$5:$A$1004)=DivYear)*(MONTH('עסקאות'!$A$5:$A$1004)=7)*'עסקאות'!$F$5:$F$1004))</f>
        <v/>
      </c>
      <c r="I41" s="28">
        <f>IF($A41="",0,SUMPRODUCT(('עסקאות'!$B$5:$B$1004="דיבידנד")*('עסקאות'!$C$5:$C$1004=$A41)*(YEAR('עסקאות'!$A$5:$A$1004)=DivYear)*(MONTH('עסקאות'!$A$5:$A$1004)=8)*'עסקאות'!$F$5:$F$1004))</f>
        <v/>
      </c>
      <c r="J41" s="28">
        <f>IF($A41="",0,SUMPRODUCT(('עסקאות'!$B$5:$B$1004="דיבידנד")*('עסקאות'!$C$5:$C$1004=$A41)*(YEAR('עסקאות'!$A$5:$A$1004)=DivYear)*(MONTH('עסקאות'!$A$5:$A$1004)=9)*'עסקאות'!$F$5:$F$1004))</f>
        <v/>
      </c>
      <c r="K41" s="28">
        <f>IF($A41="",0,SUMPRODUCT(('עסקאות'!$B$5:$B$1004="דיבידנד")*('עסקאות'!$C$5:$C$1004=$A41)*(YEAR('עסקאות'!$A$5:$A$1004)=DivYear)*(MONTH('עסקאות'!$A$5:$A$1004)=10)*'עסקאות'!$F$5:$F$1004))</f>
        <v/>
      </c>
      <c r="L41" s="28">
        <f>IF($A41="",0,SUMPRODUCT(('עסקאות'!$B$5:$B$1004="דיבידנד")*('עסקאות'!$C$5:$C$1004=$A41)*(YEAR('עסקאות'!$A$5:$A$1004)=DivYear)*(MONTH('עסקאות'!$A$5:$A$1004)=11)*'עסקאות'!$F$5:$F$1004))</f>
        <v/>
      </c>
      <c r="M41" s="28">
        <f>IF($A41="",0,SUMPRODUCT(('עסקאות'!$B$5:$B$1004="דיבידנד")*('עסקאות'!$C$5:$C$1004=$A41)*(YEAR('עסקאות'!$A$5:$A$1004)=DivYear)*(MONTH('עסקאות'!$A$5:$A$1004)=12)*'עסקאות'!$F$5:$F$1004))</f>
        <v/>
      </c>
      <c r="N41" s="41">
        <f>SUM(B41:M41)</f>
        <v/>
      </c>
      <c r="O41" s="31">
        <f>IF(OR(A41="",'תיק'!I41=0),"",N41/'תיק'!I41)</f>
        <v/>
      </c>
    </row>
    <row r="42">
      <c r="A42" s="45">
        <f>IF('תיק'!A42="","",'תיק'!A42)</f>
        <v/>
      </c>
      <c r="B42" s="28">
        <f>IF($A42="",0,SUMPRODUCT(('עסקאות'!$B$5:$B$1004="דיבידנד")*('עסקאות'!$C$5:$C$1004=$A42)*(YEAR('עסקאות'!$A$5:$A$1004)=DivYear)*(MONTH('עסקאות'!$A$5:$A$1004)=1)*'עסקאות'!$F$5:$F$1004))</f>
        <v/>
      </c>
      <c r="C42" s="28">
        <f>IF($A42="",0,SUMPRODUCT(('עסקאות'!$B$5:$B$1004="דיבידנד")*('עסקאות'!$C$5:$C$1004=$A42)*(YEAR('עסקאות'!$A$5:$A$1004)=DivYear)*(MONTH('עסקאות'!$A$5:$A$1004)=2)*'עסקאות'!$F$5:$F$1004))</f>
        <v/>
      </c>
      <c r="D42" s="28">
        <f>IF($A42="",0,SUMPRODUCT(('עסקאות'!$B$5:$B$1004="דיבידנד")*('עסקאות'!$C$5:$C$1004=$A42)*(YEAR('עסקאות'!$A$5:$A$1004)=DivYear)*(MONTH('עסקאות'!$A$5:$A$1004)=3)*'עסקאות'!$F$5:$F$1004))</f>
        <v/>
      </c>
      <c r="E42" s="28">
        <f>IF($A42="",0,SUMPRODUCT(('עסקאות'!$B$5:$B$1004="דיבידנד")*('עסקאות'!$C$5:$C$1004=$A42)*(YEAR('עסקאות'!$A$5:$A$1004)=DivYear)*(MONTH('עסקאות'!$A$5:$A$1004)=4)*'עסקאות'!$F$5:$F$1004))</f>
        <v/>
      </c>
      <c r="F42" s="28">
        <f>IF($A42="",0,SUMPRODUCT(('עסקאות'!$B$5:$B$1004="דיבידנד")*('עסקאות'!$C$5:$C$1004=$A42)*(YEAR('עסקאות'!$A$5:$A$1004)=DivYear)*(MONTH('עסקאות'!$A$5:$A$1004)=5)*'עסקאות'!$F$5:$F$1004))</f>
        <v/>
      </c>
      <c r="G42" s="28">
        <f>IF($A42="",0,SUMPRODUCT(('עסקאות'!$B$5:$B$1004="דיבידנד")*('עסקאות'!$C$5:$C$1004=$A42)*(YEAR('עסקאות'!$A$5:$A$1004)=DivYear)*(MONTH('עסקאות'!$A$5:$A$1004)=6)*'עסקאות'!$F$5:$F$1004))</f>
        <v/>
      </c>
      <c r="H42" s="28">
        <f>IF($A42="",0,SUMPRODUCT(('עסקאות'!$B$5:$B$1004="דיבידנד")*('עסקאות'!$C$5:$C$1004=$A42)*(YEAR('עסקאות'!$A$5:$A$1004)=DivYear)*(MONTH('עסקאות'!$A$5:$A$1004)=7)*'עסקאות'!$F$5:$F$1004))</f>
        <v/>
      </c>
      <c r="I42" s="28">
        <f>IF($A42="",0,SUMPRODUCT(('עסקאות'!$B$5:$B$1004="דיבידנד")*('עסקאות'!$C$5:$C$1004=$A42)*(YEAR('עסקאות'!$A$5:$A$1004)=DivYear)*(MONTH('עסקאות'!$A$5:$A$1004)=8)*'עסקאות'!$F$5:$F$1004))</f>
        <v/>
      </c>
      <c r="J42" s="28">
        <f>IF($A42="",0,SUMPRODUCT(('עסקאות'!$B$5:$B$1004="דיבידנד")*('עסקאות'!$C$5:$C$1004=$A42)*(YEAR('עסקאות'!$A$5:$A$1004)=DivYear)*(MONTH('עסקאות'!$A$5:$A$1004)=9)*'עסקאות'!$F$5:$F$1004))</f>
        <v/>
      </c>
      <c r="K42" s="28">
        <f>IF($A42="",0,SUMPRODUCT(('עסקאות'!$B$5:$B$1004="דיבידנד")*('עסקאות'!$C$5:$C$1004=$A42)*(YEAR('עסקאות'!$A$5:$A$1004)=DivYear)*(MONTH('עסקאות'!$A$5:$A$1004)=10)*'עסקאות'!$F$5:$F$1004))</f>
        <v/>
      </c>
      <c r="L42" s="28">
        <f>IF($A42="",0,SUMPRODUCT(('עסקאות'!$B$5:$B$1004="דיבידנד")*('עסקאות'!$C$5:$C$1004=$A42)*(YEAR('עסקאות'!$A$5:$A$1004)=DivYear)*(MONTH('עסקאות'!$A$5:$A$1004)=11)*'עסקאות'!$F$5:$F$1004))</f>
        <v/>
      </c>
      <c r="M42" s="28">
        <f>IF($A42="",0,SUMPRODUCT(('עסקאות'!$B$5:$B$1004="דיבידנד")*('עסקאות'!$C$5:$C$1004=$A42)*(YEAR('עסקאות'!$A$5:$A$1004)=DivYear)*(MONTH('עסקאות'!$A$5:$A$1004)=12)*'עסקאות'!$F$5:$F$1004))</f>
        <v/>
      </c>
      <c r="N42" s="41">
        <f>SUM(B42:M42)</f>
        <v/>
      </c>
      <c r="O42" s="31">
        <f>IF(OR(A42="",'תיק'!I42=0),"",N42/'תיק'!I42)</f>
        <v/>
      </c>
    </row>
    <row r="43">
      <c r="A43" s="45">
        <f>IF('תיק'!A43="","",'תיק'!A43)</f>
        <v/>
      </c>
      <c r="B43" s="28">
        <f>IF($A43="",0,SUMPRODUCT(('עסקאות'!$B$5:$B$1004="דיבידנד")*('עסקאות'!$C$5:$C$1004=$A43)*(YEAR('עסקאות'!$A$5:$A$1004)=DivYear)*(MONTH('עסקאות'!$A$5:$A$1004)=1)*'עסקאות'!$F$5:$F$1004))</f>
        <v/>
      </c>
      <c r="C43" s="28">
        <f>IF($A43="",0,SUMPRODUCT(('עסקאות'!$B$5:$B$1004="דיבידנד")*('עסקאות'!$C$5:$C$1004=$A43)*(YEAR('עסקאות'!$A$5:$A$1004)=DivYear)*(MONTH('עסקאות'!$A$5:$A$1004)=2)*'עסקאות'!$F$5:$F$1004))</f>
        <v/>
      </c>
      <c r="D43" s="28">
        <f>IF($A43="",0,SUMPRODUCT(('עסקאות'!$B$5:$B$1004="דיבידנד")*('עסקאות'!$C$5:$C$1004=$A43)*(YEAR('עסקאות'!$A$5:$A$1004)=DivYear)*(MONTH('עסקאות'!$A$5:$A$1004)=3)*'עסקאות'!$F$5:$F$1004))</f>
        <v/>
      </c>
      <c r="E43" s="28">
        <f>IF($A43="",0,SUMPRODUCT(('עסקאות'!$B$5:$B$1004="דיבידנד")*('עסקאות'!$C$5:$C$1004=$A43)*(YEAR('עסקאות'!$A$5:$A$1004)=DivYear)*(MONTH('עסקאות'!$A$5:$A$1004)=4)*'עסקאות'!$F$5:$F$1004))</f>
        <v/>
      </c>
      <c r="F43" s="28">
        <f>IF($A43="",0,SUMPRODUCT(('עסקאות'!$B$5:$B$1004="דיבידנד")*('עסקאות'!$C$5:$C$1004=$A43)*(YEAR('עסקאות'!$A$5:$A$1004)=DivYear)*(MONTH('עסקאות'!$A$5:$A$1004)=5)*'עסקאות'!$F$5:$F$1004))</f>
        <v/>
      </c>
      <c r="G43" s="28">
        <f>IF($A43="",0,SUMPRODUCT(('עסקאות'!$B$5:$B$1004="דיבידנד")*('עסקאות'!$C$5:$C$1004=$A43)*(YEAR('עסקאות'!$A$5:$A$1004)=DivYear)*(MONTH('עסקאות'!$A$5:$A$1004)=6)*'עסקאות'!$F$5:$F$1004))</f>
        <v/>
      </c>
      <c r="H43" s="28">
        <f>IF($A43="",0,SUMPRODUCT(('עסקאות'!$B$5:$B$1004="דיבידנד")*('עסקאות'!$C$5:$C$1004=$A43)*(YEAR('עסקאות'!$A$5:$A$1004)=DivYear)*(MONTH('עסקאות'!$A$5:$A$1004)=7)*'עסקאות'!$F$5:$F$1004))</f>
        <v/>
      </c>
      <c r="I43" s="28">
        <f>IF($A43="",0,SUMPRODUCT(('עסקאות'!$B$5:$B$1004="דיבידנד")*('עסקאות'!$C$5:$C$1004=$A43)*(YEAR('עסקאות'!$A$5:$A$1004)=DivYear)*(MONTH('עסקאות'!$A$5:$A$1004)=8)*'עסקאות'!$F$5:$F$1004))</f>
        <v/>
      </c>
      <c r="J43" s="28">
        <f>IF($A43="",0,SUMPRODUCT(('עסקאות'!$B$5:$B$1004="דיבידנד")*('עסקאות'!$C$5:$C$1004=$A43)*(YEAR('עסקאות'!$A$5:$A$1004)=DivYear)*(MONTH('עסקאות'!$A$5:$A$1004)=9)*'עסקאות'!$F$5:$F$1004))</f>
        <v/>
      </c>
      <c r="K43" s="28">
        <f>IF($A43="",0,SUMPRODUCT(('עסקאות'!$B$5:$B$1004="דיבידנד")*('עסקאות'!$C$5:$C$1004=$A43)*(YEAR('עסקאות'!$A$5:$A$1004)=DivYear)*(MONTH('עסקאות'!$A$5:$A$1004)=10)*'עסקאות'!$F$5:$F$1004))</f>
        <v/>
      </c>
      <c r="L43" s="28">
        <f>IF($A43="",0,SUMPRODUCT(('עסקאות'!$B$5:$B$1004="דיבידנד")*('עסקאות'!$C$5:$C$1004=$A43)*(YEAR('עסקאות'!$A$5:$A$1004)=DivYear)*(MONTH('עסקאות'!$A$5:$A$1004)=11)*'עסקאות'!$F$5:$F$1004))</f>
        <v/>
      </c>
      <c r="M43" s="28">
        <f>IF($A43="",0,SUMPRODUCT(('עסקאות'!$B$5:$B$1004="דיבידנד")*('עסקאות'!$C$5:$C$1004=$A43)*(YEAR('עסקאות'!$A$5:$A$1004)=DivYear)*(MONTH('עסקאות'!$A$5:$A$1004)=12)*'עסקאות'!$F$5:$F$1004))</f>
        <v/>
      </c>
      <c r="N43" s="41">
        <f>SUM(B43:M43)</f>
        <v/>
      </c>
      <c r="O43" s="31">
        <f>IF(OR(A43="",'תיק'!I43=0),"",N43/'תיק'!I43)</f>
        <v/>
      </c>
    </row>
    <row r="44">
      <c r="A44" s="45">
        <f>IF('תיק'!A44="","",'תיק'!A44)</f>
        <v/>
      </c>
      <c r="B44" s="28">
        <f>IF($A44="",0,SUMPRODUCT(('עסקאות'!$B$5:$B$1004="דיבידנד")*('עסקאות'!$C$5:$C$1004=$A44)*(YEAR('עסקאות'!$A$5:$A$1004)=DivYear)*(MONTH('עסקאות'!$A$5:$A$1004)=1)*'עסקאות'!$F$5:$F$1004))</f>
        <v/>
      </c>
      <c r="C44" s="28">
        <f>IF($A44="",0,SUMPRODUCT(('עסקאות'!$B$5:$B$1004="דיבידנד")*('עסקאות'!$C$5:$C$1004=$A44)*(YEAR('עסקאות'!$A$5:$A$1004)=DivYear)*(MONTH('עסקאות'!$A$5:$A$1004)=2)*'עסקאות'!$F$5:$F$1004))</f>
        <v/>
      </c>
      <c r="D44" s="28">
        <f>IF($A44="",0,SUMPRODUCT(('עסקאות'!$B$5:$B$1004="דיבידנד")*('עסקאות'!$C$5:$C$1004=$A44)*(YEAR('עסקאות'!$A$5:$A$1004)=DivYear)*(MONTH('עסקאות'!$A$5:$A$1004)=3)*'עסקאות'!$F$5:$F$1004))</f>
        <v/>
      </c>
      <c r="E44" s="28">
        <f>IF($A44="",0,SUMPRODUCT(('עסקאות'!$B$5:$B$1004="דיבידנד")*('עסקאות'!$C$5:$C$1004=$A44)*(YEAR('עסקאות'!$A$5:$A$1004)=DivYear)*(MONTH('עסקאות'!$A$5:$A$1004)=4)*'עסקאות'!$F$5:$F$1004))</f>
        <v/>
      </c>
      <c r="F44" s="28">
        <f>IF($A44="",0,SUMPRODUCT(('עסקאות'!$B$5:$B$1004="דיבידנד")*('עסקאות'!$C$5:$C$1004=$A44)*(YEAR('עסקאות'!$A$5:$A$1004)=DivYear)*(MONTH('עסקאות'!$A$5:$A$1004)=5)*'עסקאות'!$F$5:$F$1004))</f>
        <v/>
      </c>
      <c r="G44" s="28">
        <f>IF($A44="",0,SUMPRODUCT(('עסקאות'!$B$5:$B$1004="דיבידנד")*('עסקאות'!$C$5:$C$1004=$A44)*(YEAR('עסקאות'!$A$5:$A$1004)=DivYear)*(MONTH('עסקאות'!$A$5:$A$1004)=6)*'עסקאות'!$F$5:$F$1004))</f>
        <v/>
      </c>
      <c r="H44" s="28">
        <f>IF($A44="",0,SUMPRODUCT(('עסקאות'!$B$5:$B$1004="דיבידנד")*('עסקאות'!$C$5:$C$1004=$A44)*(YEAR('עסקאות'!$A$5:$A$1004)=DivYear)*(MONTH('עסקאות'!$A$5:$A$1004)=7)*'עסקאות'!$F$5:$F$1004))</f>
        <v/>
      </c>
      <c r="I44" s="28">
        <f>IF($A44="",0,SUMPRODUCT(('עסקאות'!$B$5:$B$1004="דיבידנד")*('עסקאות'!$C$5:$C$1004=$A44)*(YEAR('עסקאות'!$A$5:$A$1004)=DivYear)*(MONTH('עסקאות'!$A$5:$A$1004)=8)*'עסקאות'!$F$5:$F$1004))</f>
        <v/>
      </c>
      <c r="J44" s="28">
        <f>IF($A44="",0,SUMPRODUCT(('עסקאות'!$B$5:$B$1004="דיבידנד")*('עסקאות'!$C$5:$C$1004=$A44)*(YEAR('עסקאות'!$A$5:$A$1004)=DivYear)*(MONTH('עסקאות'!$A$5:$A$1004)=9)*'עסקאות'!$F$5:$F$1004))</f>
        <v/>
      </c>
      <c r="K44" s="28">
        <f>IF($A44="",0,SUMPRODUCT(('עסקאות'!$B$5:$B$1004="דיבידנד")*('עסקאות'!$C$5:$C$1004=$A44)*(YEAR('עסקאות'!$A$5:$A$1004)=DivYear)*(MONTH('עסקאות'!$A$5:$A$1004)=10)*'עסקאות'!$F$5:$F$1004))</f>
        <v/>
      </c>
      <c r="L44" s="28">
        <f>IF($A44="",0,SUMPRODUCT(('עסקאות'!$B$5:$B$1004="דיבידנד")*('עסקאות'!$C$5:$C$1004=$A44)*(YEAR('עסקאות'!$A$5:$A$1004)=DivYear)*(MONTH('עסקאות'!$A$5:$A$1004)=11)*'עסקאות'!$F$5:$F$1004))</f>
        <v/>
      </c>
      <c r="M44" s="28">
        <f>IF($A44="",0,SUMPRODUCT(('עסקאות'!$B$5:$B$1004="דיבידנד")*('עסקאות'!$C$5:$C$1004=$A44)*(YEAR('עסקאות'!$A$5:$A$1004)=DivYear)*(MONTH('עסקאות'!$A$5:$A$1004)=12)*'עסקאות'!$F$5:$F$1004))</f>
        <v/>
      </c>
      <c r="N44" s="41">
        <f>SUM(B44:M44)</f>
        <v/>
      </c>
      <c r="O44" s="31">
        <f>IF(OR(A44="",'תיק'!I44=0),"",N44/'תיק'!I44)</f>
        <v/>
      </c>
    </row>
    <row r="45">
      <c r="A45" s="45">
        <f>IF('תיק'!A45="","",'תיק'!A45)</f>
        <v/>
      </c>
      <c r="B45" s="28">
        <f>IF($A45="",0,SUMPRODUCT(('עסקאות'!$B$5:$B$1004="דיבידנד")*('עסקאות'!$C$5:$C$1004=$A45)*(YEAR('עסקאות'!$A$5:$A$1004)=DivYear)*(MONTH('עסקאות'!$A$5:$A$1004)=1)*'עסקאות'!$F$5:$F$1004))</f>
        <v/>
      </c>
      <c r="C45" s="28">
        <f>IF($A45="",0,SUMPRODUCT(('עסקאות'!$B$5:$B$1004="דיבידנד")*('עסקאות'!$C$5:$C$1004=$A45)*(YEAR('עסקאות'!$A$5:$A$1004)=DivYear)*(MONTH('עסקאות'!$A$5:$A$1004)=2)*'עסקאות'!$F$5:$F$1004))</f>
        <v/>
      </c>
      <c r="D45" s="28">
        <f>IF($A45="",0,SUMPRODUCT(('עסקאות'!$B$5:$B$1004="דיבידנד")*('עסקאות'!$C$5:$C$1004=$A45)*(YEAR('עסקאות'!$A$5:$A$1004)=DivYear)*(MONTH('עסקאות'!$A$5:$A$1004)=3)*'עסקאות'!$F$5:$F$1004))</f>
        <v/>
      </c>
      <c r="E45" s="28">
        <f>IF($A45="",0,SUMPRODUCT(('עסקאות'!$B$5:$B$1004="דיבידנד")*('עסקאות'!$C$5:$C$1004=$A45)*(YEAR('עסקאות'!$A$5:$A$1004)=DivYear)*(MONTH('עסקאות'!$A$5:$A$1004)=4)*'עסקאות'!$F$5:$F$1004))</f>
        <v/>
      </c>
      <c r="F45" s="28">
        <f>IF($A45="",0,SUMPRODUCT(('עסקאות'!$B$5:$B$1004="דיבידנד")*('עסקאות'!$C$5:$C$1004=$A45)*(YEAR('עסקאות'!$A$5:$A$1004)=DivYear)*(MONTH('עסקאות'!$A$5:$A$1004)=5)*'עסקאות'!$F$5:$F$1004))</f>
        <v/>
      </c>
      <c r="G45" s="28">
        <f>IF($A45="",0,SUMPRODUCT(('עסקאות'!$B$5:$B$1004="דיבידנד")*('עסקאות'!$C$5:$C$1004=$A45)*(YEAR('עסקאות'!$A$5:$A$1004)=DivYear)*(MONTH('עסקאות'!$A$5:$A$1004)=6)*'עסקאות'!$F$5:$F$1004))</f>
        <v/>
      </c>
      <c r="H45" s="28">
        <f>IF($A45="",0,SUMPRODUCT(('עסקאות'!$B$5:$B$1004="דיבידנד")*('עסקאות'!$C$5:$C$1004=$A45)*(YEAR('עסקאות'!$A$5:$A$1004)=DivYear)*(MONTH('עסקאות'!$A$5:$A$1004)=7)*'עסקאות'!$F$5:$F$1004))</f>
        <v/>
      </c>
      <c r="I45" s="28">
        <f>IF($A45="",0,SUMPRODUCT(('עסקאות'!$B$5:$B$1004="דיבידנד")*('עסקאות'!$C$5:$C$1004=$A45)*(YEAR('עסקאות'!$A$5:$A$1004)=DivYear)*(MONTH('עסקאות'!$A$5:$A$1004)=8)*'עסקאות'!$F$5:$F$1004))</f>
        <v/>
      </c>
      <c r="J45" s="28">
        <f>IF($A45="",0,SUMPRODUCT(('עסקאות'!$B$5:$B$1004="דיבידנד")*('עסקאות'!$C$5:$C$1004=$A45)*(YEAR('עסקאות'!$A$5:$A$1004)=DivYear)*(MONTH('עסקאות'!$A$5:$A$1004)=9)*'עסקאות'!$F$5:$F$1004))</f>
        <v/>
      </c>
      <c r="K45" s="28">
        <f>IF($A45="",0,SUMPRODUCT(('עסקאות'!$B$5:$B$1004="דיבידנד")*('עסקאות'!$C$5:$C$1004=$A45)*(YEAR('עסקאות'!$A$5:$A$1004)=DivYear)*(MONTH('עסקאות'!$A$5:$A$1004)=10)*'עסקאות'!$F$5:$F$1004))</f>
        <v/>
      </c>
      <c r="L45" s="28">
        <f>IF($A45="",0,SUMPRODUCT(('עסקאות'!$B$5:$B$1004="דיבידנד")*('עסקאות'!$C$5:$C$1004=$A45)*(YEAR('עסקאות'!$A$5:$A$1004)=DivYear)*(MONTH('עסקאות'!$A$5:$A$1004)=11)*'עסקאות'!$F$5:$F$1004))</f>
        <v/>
      </c>
      <c r="M45" s="28">
        <f>IF($A45="",0,SUMPRODUCT(('עסקאות'!$B$5:$B$1004="דיבידנד")*('עסקאות'!$C$5:$C$1004=$A45)*(YEAR('עסקאות'!$A$5:$A$1004)=DivYear)*(MONTH('עסקאות'!$A$5:$A$1004)=12)*'עסקאות'!$F$5:$F$1004))</f>
        <v/>
      </c>
      <c r="N45" s="41">
        <f>SUM(B45:M45)</f>
        <v/>
      </c>
      <c r="O45" s="31">
        <f>IF(OR(A45="",'תיק'!I45=0),"",N45/'תיק'!I45)</f>
        <v/>
      </c>
    </row>
    <row r="46">
      <c r="A46" s="45">
        <f>IF('תיק'!A46="","",'תיק'!A46)</f>
        <v/>
      </c>
      <c r="B46" s="28">
        <f>IF($A46="",0,SUMPRODUCT(('עסקאות'!$B$5:$B$1004="דיבידנד")*('עסקאות'!$C$5:$C$1004=$A46)*(YEAR('עסקאות'!$A$5:$A$1004)=DivYear)*(MONTH('עסקאות'!$A$5:$A$1004)=1)*'עסקאות'!$F$5:$F$1004))</f>
        <v/>
      </c>
      <c r="C46" s="28">
        <f>IF($A46="",0,SUMPRODUCT(('עסקאות'!$B$5:$B$1004="דיבידנד")*('עסקאות'!$C$5:$C$1004=$A46)*(YEAR('עסקאות'!$A$5:$A$1004)=DivYear)*(MONTH('עסקאות'!$A$5:$A$1004)=2)*'עסקאות'!$F$5:$F$1004))</f>
        <v/>
      </c>
      <c r="D46" s="28">
        <f>IF($A46="",0,SUMPRODUCT(('עסקאות'!$B$5:$B$1004="דיבידנד")*('עסקאות'!$C$5:$C$1004=$A46)*(YEAR('עסקאות'!$A$5:$A$1004)=DivYear)*(MONTH('עסקאות'!$A$5:$A$1004)=3)*'עסקאות'!$F$5:$F$1004))</f>
        <v/>
      </c>
      <c r="E46" s="28">
        <f>IF($A46="",0,SUMPRODUCT(('עסקאות'!$B$5:$B$1004="דיבידנד")*('עסקאות'!$C$5:$C$1004=$A46)*(YEAR('עסקאות'!$A$5:$A$1004)=DivYear)*(MONTH('עסקאות'!$A$5:$A$1004)=4)*'עסקאות'!$F$5:$F$1004))</f>
        <v/>
      </c>
      <c r="F46" s="28">
        <f>IF($A46="",0,SUMPRODUCT(('עסקאות'!$B$5:$B$1004="דיבידנד")*('עסקאות'!$C$5:$C$1004=$A46)*(YEAR('עסקאות'!$A$5:$A$1004)=DivYear)*(MONTH('עסקאות'!$A$5:$A$1004)=5)*'עסקאות'!$F$5:$F$1004))</f>
        <v/>
      </c>
      <c r="G46" s="28">
        <f>IF($A46="",0,SUMPRODUCT(('עסקאות'!$B$5:$B$1004="דיבידנד")*('עסקאות'!$C$5:$C$1004=$A46)*(YEAR('עסקאות'!$A$5:$A$1004)=DivYear)*(MONTH('עסקאות'!$A$5:$A$1004)=6)*'עסקאות'!$F$5:$F$1004))</f>
        <v/>
      </c>
      <c r="H46" s="28">
        <f>IF($A46="",0,SUMPRODUCT(('עסקאות'!$B$5:$B$1004="דיבידנד")*('עסקאות'!$C$5:$C$1004=$A46)*(YEAR('עסקאות'!$A$5:$A$1004)=DivYear)*(MONTH('עסקאות'!$A$5:$A$1004)=7)*'עסקאות'!$F$5:$F$1004))</f>
        <v/>
      </c>
      <c r="I46" s="28">
        <f>IF($A46="",0,SUMPRODUCT(('עסקאות'!$B$5:$B$1004="דיבידנד")*('עסקאות'!$C$5:$C$1004=$A46)*(YEAR('עסקאות'!$A$5:$A$1004)=DivYear)*(MONTH('עסקאות'!$A$5:$A$1004)=8)*'עסקאות'!$F$5:$F$1004))</f>
        <v/>
      </c>
      <c r="J46" s="28">
        <f>IF($A46="",0,SUMPRODUCT(('עסקאות'!$B$5:$B$1004="דיבידנד")*('עסקאות'!$C$5:$C$1004=$A46)*(YEAR('עסקאות'!$A$5:$A$1004)=DivYear)*(MONTH('עסקאות'!$A$5:$A$1004)=9)*'עסקאות'!$F$5:$F$1004))</f>
        <v/>
      </c>
      <c r="K46" s="28">
        <f>IF($A46="",0,SUMPRODUCT(('עסקאות'!$B$5:$B$1004="דיבידנד")*('עסקאות'!$C$5:$C$1004=$A46)*(YEAR('עסקאות'!$A$5:$A$1004)=DivYear)*(MONTH('עסקאות'!$A$5:$A$1004)=10)*'עסקאות'!$F$5:$F$1004))</f>
        <v/>
      </c>
      <c r="L46" s="28">
        <f>IF($A46="",0,SUMPRODUCT(('עסקאות'!$B$5:$B$1004="דיבידנד")*('עסקאות'!$C$5:$C$1004=$A46)*(YEAR('עסקאות'!$A$5:$A$1004)=DivYear)*(MONTH('עסקאות'!$A$5:$A$1004)=11)*'עסקאות'!$F$5:$F$1004))</f>
        <v/>
      </c>
      <c r="M46" s="28">
        <f>IF($A46="",0,SUMPRODUCT(('עסקאות'!$B$5:$B$1004="דיבידנד")*('עסקאות'!$C$5:$C$1004=$A46)*(YEAR('עסקאות'!$A$5:$A$1004)=DivYear)*(MONTH('עסקאות'!$A$5:$A$1004)=12)*'עסקאות'!$F$5:$F$1004))</f>
        <v/>
      </c>
      <c r="N46" s="41">
        <f>SUM(B46:M46)</f>
        <v/>
      </c>
      <c r="O46" s="31">
        <f>IF(OR(A46="",'תיק'!I46=0),"",N46/'תיק'!I46)</f>
        <v/>
      </c>
    </row>
    <row r="47">
      <c r="A47" s="45">
        <f>IF('תיק'!A47="","",'תיק'!A47)</f>
        <v/>
      </c>
      <c r="B47" s="28">
        <f>IF($A47="",0,SUMPRODUCT(('עסקאות'!$B$5:$B$1004="דיבידנד")*('עסקאות'!$C$5:$C$1004=$A47)*(YEAR('עסקאות'!$A$5:$A$1004)=DivYear)*(MONTH('עסקאות'!$A$5:$A$1004)=1)*'עסקאות'!$F$5:$F$1004))</f>
        <v/>
      </c>
      <c r="C47" s="28">
        <f>IF($A47="",0,SUMPRODUCT(('עסקאות'!$B$5:$B$1004="דיבידנד")*('עסקאות'!$C$5:$C$1004=$A47)*(YEAR('עסקאות'!$A$5:$A$1004)=DivYear)*(MONTH('עסקאות'!$A$5:$A$1004)=2)*'עסקאות'!$F$5:$F$1004))</f>
        <v/>
      </c>
      <c r="D47" s="28">
        <f>IF($A47="",0,SUMPRODUCT(('עסקאות'!$B$5:$B$1004="דיבידנד")*('עסקאות'!$C$5:$C$1004=$A47)*(YEAR('עסקאות'!$A$5:$A$1004)=DivYear)*(MONTH('עסקאות'!$A$5:$A$1004)=3)*'עסקאות'!$F$5:$F$1004))</f>
        <v/>
      </c>
      <c r="E47" s="28">
        <f>IF($A47="",0,SUMPRODUCT(('עסקאות'!$B$5:$B$1004="דיבידנד")*('עסקאות'!$C$5:$C$1004=$A47)*(YEAR('עסקאות'!$A$5:$A$1004)=DivYear)*(MONTH('עסקאות'!$A$5:$A$1004)=4)*'עסקאות'!$F$5:$F$1004))</f>
        <v/>
      </c>
      <c r="F47" s="28">
        <f>IF($A47="",0,SUMPRODUCT(('עסקאות'!$B$5:$B$1004="דיבידנד")*('עסקאות'!$C$5:$C$1004=$A47)*(YEAR('עסקאות'!$A$5:$A$1004)=DivYear)*(MONTH('עסקאות'!$A$5:$A$1004)=5)*'עסקאות'!$F$5:$F$1004))</f>
        <v/>
      </c>
      <c r="G47" s="28">
        <f>IF($A47="",0,SUMPRODUCT(('עסקאות'!$B$5:$B$1004="דיבידנד")*('עסקאות'!$C$5:$C$1004=$A47)*(YEAR('עסקאות'!$A$5:$A$1004)=DivYear)*(MONTH('עסקאות'!$A$5:$A$1004)=6)*'עסקאות'!$F$5:$F$1004))</f>
        <v/>
      </c>
      <c r="H47" s="28">
        <f>IF($A47="",0,SUMPRODUCT(('עסקאות'!$B$5:$B$1004="דיבידנד")*('עסקאות'!$C$5:$C$1004=$A47)*(YEAR('עסקאות'!$A$5:$A$1004)=DivYear)*(MONTH('עסקאות'!$A$5:$A$1004)=7)*'עסקאות'!$F$5:$F$1004))</f>
        <v/>
      </c>
      <c r="I47" s="28">
        <f>IF($A47="",0,SUMPRODUCT(('עסקאות'!$B$5:$B$1004="דיבידנד")*('עסקאות'!$C$5:$C$1004=$A47)*(YEAR('עסקאות'!$A$5:$A$1004)=DivYear)*(MONTH('עסקאות'!$A$5:$A$1004)=8)*'עסקאות'!$F$5:$F$1004))</f>
        <v/>
      </c>
      <c r="J47" s="28">
        <f>IF($A47="",0,SUMPRODUCT(('עסקאות'!$B$5:$B$1004="דיבידנד")*('עסקאות'!$C$5:$C$1004=$A47)*(YEAR('עסקאות'!$A$5:$A$1004)=DivYear)*(MONTH('עסקאות'!$A$5:$A$1004)=9)*'עסקאות'!$F$5:$F$1004))</f>
        <v/>
      </c>
      <c r="K47" s="28">
        <f>IF($A47="",0,SUMPRODUCT(('עסקאות'!$B$5:$B$1004="דיבידנד")*('עסקאות'!$C$5:$C$1004=$A47)*(YEAR('עסקאות'!$A$5:$A$1004)=DivYear)*(MONTH('עסקאות'!$A$5:$A$1004)=10)*'עסקאות'!$F$5:$F$1004))</f>
        <v/>
      </c>
      <c r="L47" s="28">
        <f>IF($A47="",0,SUMPRODUCT(('עסקאות'!$B$5:$B$1004="דיבידנד")*('עסקאות'!$C$5:$C$1004=$A47)*(YEAR('עסקאות'!$A$5:$A$1004)=DivYear)*(MONTH('עסקאות'!$A$5:$A$1004)=11)*'עסקאות'!$F$5:$F$1004))</f>
        <v/>
      </c>
      <c r="M47" s="28">
        <f>IF($A47="",0,SUMPRODUCT(('עסקאות'!$B$5:$B$1004="דיבידנד")*('עסקאות'!$C$5:$C$1004=$A47)*(YEAR('עסקאות'!$A$5:$A$1004)=DivYear)*(MONTH('עסקאות'!$A$5:$A$1004)=12)*'עסקאות'!$F$5:$F$1004))</f>
        <v/>
      </c>
      <c r="N47" s="41">
        <f>SUM(B47:M47)</f>
        <v/>
      </c>
      <c r="O47" s="31">
        <f>IF(OR(A47="",'תיק'!I47=0),"",N47/'תיק'!I47)</f>
        <v/>
      </c>
    </row>
    <row r="48">
      <c r="A48" s="45">
        <f>IF('תיק'!A48="","",'תיק'!A48)</f>
        <v/>
      </c>
      <c r="B48" s="28">
        <f>IF($A48="",0,SUMPRODUCT(('עסקאות'!$B$5:$B$1004="דיבידנד")*('עסקאות'!$C$5:$C$1004=$A48)*(YEAR('עסקאות'!$A$5:$A$1004)=DivYear)*(MONTH('עסקאות'!$A$5:$A$1004)=1)*'עסקאות'!$F$5:$F$1004))</f>
        <v/>
      </c>
      <c r="C48" s="28">
        <f>IF($A48="",0,SUMPRODUCT(('עסקאות'!$B$5:$B$1004="דיבידנד")*('עסקאות'!$C$5:$C$1004=$A48)*(YEAR('עסקאות'!$A$5:$A$1004)=DivYear)*(MONTH('עסקאות'!$A$5:$A$1004)=2)*'עסקאות'!$F$5:$F$1004))</f>
        <v/>
      </c>
      <c r="D48" s="28">
        <f>IF($A48="",0,SUMPRODUCT(('עסקאות'!$B$5:$B$1004="דיבידנד")*('עסקאות'!$C$5:$C$1004=$A48)*(YEAR('עסקאות'!$A$5:$A$1004)=DivYear)*(MONTH('עסקאות'!$A$5:$A$1004)=3)*'עסקאות'!$F$5:$F$1004))</f>
        <v/>
      </c>
      <c r="E48" s="28">
        <f>IF($A48="",0,SUMPRODUCT(('עסקאות'!$B$5:$B$1004="דיבידנד")*('עסקאות'!$C$5:$C$1004=$A48)*(YEAR('עסקאות'!$A$5:$A$1004)=DivYear)*(MONTH('עסקאות'!$A$5:$A$1004)=4)*'עסקאות'!$F$5:$F$1004))</f>
        <v/>
      </c>
      <c r="F48" s="28">
        <f>IF($A48="",0,SUMPRODUCT(('עסקאות'!$B$5:$B$1004="דיבידנד")*('עסקאות'!$C$5:$C$1004=$A48)*(YEAR('עסקאות'!$A$5:$A$1004)=DivYear)*(MONTH('עסקאות'!$A$5:$A$1004)=5)*'עסקאות'!$F$5:$F$1004))</f>
        <v/>
      </c>
      <c r="G48" s="28">
        <f>IF($A48="",0,SUMPRODUCT(('עסקאות'!$B$5:$B$1004="דיבידנד")*('עסקאות'!$C$5:$C$1004=$A48)*(YEAR('עסקאות'!$A$5:$A$1004)=DivYear)*(MONTH('עסקאות'!$A$5:$A$1004)=6)*'עסקאות'!$F$5:$F$1004))</f>
        <v/>
      </c>
      <c r="H48" s="28">
        <f>IF($A48="",0,SUMPRODUCT(('עסקאות'!$B$5:$B$1004="דיבידנד")*('עסקאות'!$C$5:$C$1004=$A48)*(YEAR('עסקאות'!$A$5:$A$1004)=DivYear)*(MONTH('עסקאות'!$A$5:$A$1004)=7)*'עסקאות'!$F$5:$F$1004))</f>
        <v/>
      </c>
      <c r="I48" s="28">
        <f>IF($A48="",0,SUMPRODUCT(('עסקאות'!$B$5:$B$1004="דיבידנד")*('עסקאות'!$C$5:$C$1004=$A48)*(YEAR('עסקאות'!$A$5:$A$1004)=DivYear)*(MONTH('עסקאות'!$A$5:$A$1004)=8)*'עסקאות'!$F$5:$F$1004))</f>
        <v/>
      </c>
      <c r="J48" s="28">
        <f>IF($A48="",0,SUMPRODUCT(('עסקאות'!$B$5:$B$1004="דיבידנד")*('עסקאות'!$C$5:$C$1004=$A48)*(YEAR('עסקאות'!$A$5:$A$1004)=DivYear)*(MONTH('עסקאות'!$A$5:$A$1004)=9)*'עסקאות'!$F$5:$F$1004))</f>
        <v/>
      </c>
      <c r="K48" s="28">
        <f>IF($A48="",0,SUMPRODUCT(('עסקאות'!$B$5:$B$1004="דיבידנד")*('עסקאות'!$C$5:$C$1004=$A48)*(YEAR('עסקאות'!$A$5:$A$1004)=DivYear)*(MONTH('עסקאות'!$A$5:$A$1004)=10)*'עסקאות'!$F$5:$F$1004))</f>
        <v/>
      </c>
      <c r="L48" s="28">
        <f>IF($A48="",0,SUMPRODUCT(('עסקאות'!$B$5:$B$1004="דיבידנד")*('עסקאות'!$C$5:$C$1004=$A48)*(YEAR('עסקאות'!$A$5:$A$1004)=DivYear)*(MONTH('עסקאות'!$A$5:$A$1004)=11)*'עסקאות'!$F$5:$F$1004))</f>
        <v/>
      </c>
      <c r="M48" s="28">
        <f>IF($A48="",0,SUMPRODUCT(('עסקאות'!$B$5:$B$1004="דיבידנד")*('עסקאות'!$C$5:$C$1004=$A48)*(YEAR('עסקאות'!$A$5:$A$1004)=DivYear)*(MONTH('עסקאות'!$A$5:$A$1004)=12)*'עסקאות'!$F$5:$F$1004))</f>
        <v/>
      </c>
      <c r="N48" s="41">
        <f>SUM(B48:M48)</f>
        <v/>
      </c>
      <c r="O48" s="31">
        <f>IF(OR(A48="",'תיק'!I48=0),"",N48/'תיק'!I48)</f>
        <v/>
      </c>
    </row>
    <row r="49">
      <c r="A49" s="45">
        <f>IF('תיק'!A49="","",'תיק'!A49)</f>
        <v/>
      </c>
      <c r="B49" s="28">
        <f>IF($A49="",0,SUMPRODUCT(('עסקאות'!$B$5:$B$1004="דיבידנד")*('עסקאות'!$C$5:$C$1004=$A49)*(YEAR('עסקאות'!$A$5:$A$1004)=DivYear)*(MONTH('עסקאות'!$A$5:$A$1004)=1)*'עסקאות'!$F$5:$F$1004))</f>
        <v/>
      </c>
      <c r="C49" s="28">
        <f>IF($A49="",0,SUMPRODUCT(('עסקאות'!$B$5:$B$1004="דיבידנד")*('עסקאות'!$C$5:$C$1004=$A49)*(YEAR('עסקאות'!$A$5:$A$1004)=DivYear)*(MONTH('עסקאות'!$A$5:$A$1004)=2)*'עסקאות'!$F$5:$F$1004))</f>
        <v/>
      </c>
      <c r="D49" s="28">
        <f>IF($A49="",0,SUMPRODUCT(('עסקאות'!$B$5:$B$1004="דיבידנד")*('עסקאות'!$C$5:$C$1004=$A49)*(YEAR('עסקאות'!$A$5:$A$1004)=DivYear)*(MONTH('עסקאות'!$A$5:$A$1004)=3)*'עסקאות'!$F$5:$F$1004))</f>
        <v/>
      </c>
      <c r="E49" s="28">
        <f>IF($A49="",0,SUMPRODUCT(('עסקאות'!$B$5:$B$1004="דיבידנד")*('עסקאות'!$C$5:$C$1004=$A49)*(YEAR('עסקאות'!$A$5:$A$1004)=DivYear)*(MONTH('עסקאות'!$A$5:$A$1004)=4)*'עסקאות'!$F$5:$F$1004))</f>
        <v/>
      </c>
      <c r="F49" s="28">
        <f>IF($A49="",0,SUMPRODUCT(('עסקאות'!$B$5:$B$1004="דיבידנד")*('עסקאות'!$C$5:$C$1004=$A49)*(YEAR('עסקאות'!$A$5:$A$1004)=DivYear)*(MONTH('עסקאות'!$A$5:$A$1004)=5)*'עסקאות'!$F$5:$F$1004))</f>
        <v/>
      </c>
      <c r="G49" s="28">
        <f>IF($A49="",0,SUMPRODUCT(('עסקאות'!$B$5:$B$1004="דיבידנד")*('עסקאות'!$C$5:$C$1004=$A49)*(YEAR('עסקאות'!$A$5:$A$1004)=DivYear)*(MONTH('עסקאות'!$A$5:$A$1004)=6)*'עסקאות'!$F$5:$F$1004))</f>
        <v/>
      </c>
      <c r="H49" s="28">
        <f>IF($A49="",0,SUMPRODUCT(('עסקאות'!$B$5:$B$1004="דיבידנד")*('עסקאות'!$C$5:$C$1004=$A49)*(YEAR('עסקאות'!$A$5:$A$1004)=DivYear)*(MONTH('עסקאות'!$A$5:$A$1004)=7)*'עסקאות'!$F$5:$F$1004))</f>
        <v/>
      </c>
      <c r="I49" s="28">
        <f>IF($A49="",0,SUMPRODUCT(('עסקאות'!$B$5:$B$1004="דיבידנד")*('עסקאות'!$C$5:$C$1004=$A49)*(YEAR('עסקאות'!$A$5:$A$1004)=DivYear)*(MONTH('עסקאות'!$A$5:$A$1004)=8)*'עסקאות'!$F$5:$F$1004))</f>
        <v/>
      </c>
      <c r="J49" s="28">
        <f>IF($A49="",0,SUMPRODUCT(('עסקאות'!$B$5:$B$1004="דיבידנד")*('עסקאות'!$C$5:$C$1004=$A49)*(YEAR('עסקאות'!$A$5:$A$1004)=DivYear)*(MONTH('עסקאות'!$A$5:$A$1004)=9)*'עסקאות'!$F$5:$F$1004))</f>
        <v/>
      </c>
      <c r="K49" s="28">
        <f>IF($A49="",0,SUMPRODUCT(('עסקאות'!$B$5:$B$1004="דיבידנד")*('עסקאות'!$C$5:$C$1004=$A49)*(YEAR('עסקאות'!$A$5:$A$1004)=DivYear)*(MONTH('עסקאות'!$A$5:$A$1004)=10)*'עסקאות'!$F$5:$F$1004))</f>
        <v/>
      </c>
      <c r="L49" s="28">
        <f>IF($A49="",0,SUMPRODUCT(('עסקאות'!$B$5:$B$1004="דיבידנד")*('עסקאות'!$C$5:$C$1004=$A49)*(YEAR('עסקאות'!$A$5:$A$1004)=DivYear)*(MONTH('עסקאות'!$A$5:$A$1004)=11)*'עסקאות'!$F$5:$F$1004))</f>
        <v/>
      </c>
      <c r="M49" s="28">
        <f>IF($A49="",0,SUMPRODUCT(('עסקאות'!$B$5:$B$1004="דיבידנד")*('עסקאות'!$C$5:$C$1004=$A49)*(YEAR('עסקאות'!$A$5:$A$1004)=DivYear)*(MONTH('עסקאות'!$A$5:$A$1004)=12)*'עסקאות'!$F$5:$F$1004))</f>
        <v/>
      </c>
      <c r="N49" s="41">
        <f>SUM(B49:M49)</f>
        <v/>
      </c>
      <c r="O49" s="31">
        <f>IF(OR(A49="",'תיק'!I49=0),"",N49/'תיק'!I49)</f>
        <v/>
      </c>
    </row>
    <row r="50">
      <c r="A50" s="45">
        <f>IF('תיק'!A50="","",'תיק'!A50)</f>
        <v/>
      </c>
      <c r="B50" s="28">
        <f>IF($A50="",0,SUMPRODUCT(('עסקאות'!$B$5:$B$1004="דיבידנד")*('עסקאות'!$C$5:$C$1004=$A50)*(YEAR('עסקאות'!$A$5:$A$1004)=DivYear)*(MONTH('עסקאות'!$A$5:$A$1004)=1)*'עסקאות'!$F$5:$F$1004))</f>
        <v/>
      </c>
      <c r="C50" s="28">
        <f>IF($A50="",0,SUMPRODUCT(('עסקאות'!$B$5:$B$1004="דיבידנד")*('עסקאות'!$C$5:$C$1004=$A50)*(YEAR('עסקאות'!$A$5:$A$1004)=DivYear)*(MONTH('עסקאות'!$A$5:$A$1004)=2)*'עסקאות'!$F$5:$F$1004))</f>
        <v/>
      </c>
      <c r="D50" s="28">
        <f>IF($A50="",0,SUMPRODUCT(('עסקאות'!$B$5:$B$1004="דיבידנד")*('עסקאות'!$C$5:$C$1004=$A50)*(YEAR('עסקאות'!$A$5:$A$1004)=DivYear)*(MONTH('עסקאות'!$A$5:$A$1004)=3)*'עסקאות'!$F$5:$F$1004))</f>
        <v/>
      </c>
      <c r="E50" s="28">
        <f>IF($A50="",0,SUMPRODUCT(('עסקאות'!$B$5:$B$1004="דיבידנד")*('עסקאות'!$C$5:$C$1004=$A50)*(YEAR('עסקאות'!$A$5:$A$1004)=DivYear)*(MONTH('עסקאות'!$A$5:$A$1004)=4)*'עסקאות'!$F$5:$F$1004))</f>
        <v/>
      </c>
      <c r="F50" s="28">
        <f>IF($A50="",0,SUMPRODUCT(('עסקאות'!$B$5:$B$1004="דיבידנד")*('עסקאות'!$C$5:$C$1004=$A50)*(YEAR('עסקאות'!$A$5:$A$1004)=DivYear)*(MONTH('עסקאות'!$A$5:$A$1004)=5)*'עסקאות'!$F$5:$F$1004))</f>
        <v/>
      </c>
      <c r="G50" s="28">
        <f>IF($A50="",0,SUMPRODUCT(('עסקאות'!$B$5:$B$1004="דיבידנד")*('עסקאות'!$C$5:$C$1004=$A50)*(YEAR('עסקאות'!$A$5:$A$1004)=DivYear)*(MONTH('עסקאות'!$A$5:$A$1004)=6)*'עסקאות'!$F$5:$F$1004))</f>
        <v/>
      </c>
      <c r="H50" s="28">
        <f>IF($A50="",0,SUMPRODUCT(('עסקאות'!$B$5:$B$1004="דיבידנד")*('עסקאות'!$C$5:$C$1004=$A50)*(YEAR('עסקאות'!$A$5:$A$1004)=DivYear)*(MONTH('עסקאות'!$A$5:$A$1004)=7)*'עסקאות'!$F$5:$F$1004))</f>
        <v/>
      </c>
      <c r="I50" s="28">
        <f>IF($A50="",0,SUMPRODUCT(('עסקאות'!$B$5:$B$1004="דיבידנד")*('עסקאות'!$C$5:$C$1004=$A50)*(YEAR('עסקאות'!$A$5:$A$1004)=DivYear)*(MONTH('עסקאות'!$A$5:$A$1004)=8)*'עסקאות'!$F$5:$F$1004))</f>
        <v/>
      </c>
      <c r="J50" s="28">
        <f>IF($A50="",0,SUMPRODUCT(('עסקאות'!$B$5:$B$1004="דיבידנד")*('עסקאות'!$C$5:$C$1004=$A50)*(YEAR('עסקאות'!$A$5:$A$1004)=DivYear)*(MONTH('עסקאות'!$A$5:$A$1004)=9)*'עסקאות'!$F$5:$F$1004))</f>
        <v/>
      </c>
      <c r="K50" s="28">
        <f>IF($A50="",0,SUMPRODUCT(('עסקאות'!$B$5:$B$1004="דיבידנד")*('עסקאות'!$C$5:$C$1004=$A50)*(YEAR('עסקאות'!$A$5:$A$1004)=DivYear)*(MONTH('עסקאות'!$A$5:$A$1004)=10)*'עסקאות'!$F$5:$F$1004))</f>
        <v/>
      </c>
      <c r="L50" s="28">
        <f>IF($A50="",0,SUMPRODUCT(('עסקאות'!$B$5:$B$1004="דיבידנד")*('עסקאות'!$C$5:$C$1004=$A50)*(YEAR('עסקאות'!$A$5:$A$1004)=DivYear)*(MONTH('עסקאות'!$A$5:$A$1004)=11)*'עסקאות'!$F$5:$F$1004))</f>
        <v/>
      </c>
      <c r="M50" s="28">
        <f>IF($A50="",0,SUMPRODUCT(('עסקאות'!$B$5:$B$1004="דיבידנד")*('עסקאות'!$C$5:$C$1004=$A50)*(YEAR('עסקאות'!$A$5:$A$1004)=DivYear)*(MONTH('עסקאות'!$A$5:$A$1004)=12)*'עסקאות'!$F$5:$F$1004))</f>
        <v/>
      </c>
      <c r="N50" s="41">
        <f>SUM(B50:M50)</f>
        <v/>
      </c>
      <c r="O50" s="31">
        <f>IF(OR(A50="",'תיק'!I50=0),"",N50/'תיק'!I50)</f>
        <v/>
      </c>
    </row>
    <row r="51">
      <c r="A51" s="45">
        <f>IF('תיק'!A51="","",'תיק'!A51)</f>
        <v/>
      </c>
      <c r="B51" s="28">
        <f>IF($A51="",0,SUMPRODUCT(('עסקאות'!$B$5:$B$1004="דיבידנד")*('עסקאות'!$C$5:$C$1004=$A51)*(YEAR('עסקאות'!$A$5:$A$1004)=DivYear)*(MONTH('עסקאות'!$A$5:$A$1004)=1)*'עסקאות'!$F$5:$F$1004))</f>
        <v/>
      </c>
      <c r="C51" s="28">
        <f>IF($A51="",0,SUMPRODUCT(('עסקאות'!$B$5:$B$1004="דיבידנד")*('עסקאות'!$C$5:$C$1004=$A51)*(YEAR('עסקאות'!$A$5:$A$1004)=DivYear)*(MONTH('עסקאות'!$A$5:$A$1004)=2)*'עסקאות'!$F$5:$F$1004))</f>
        <v/>
      </c>
      <c r="D51" s="28">
        <f>IF($A51="",0,SUMPRODUCT(('עסקאות'!$B$5:$B$1004="דיבידנד")*('עסקאות'!$C$5:$C$1004=$A51)*(YEAR('עסקאות'!$A$5:$A$1004)=DivYear)*(MONTH('עסקאות'!$A$5:$A$1004)=3)*'עסקאות'!$F$5:$F$1004))</f>
        <v/>
      </c>
      <c r="E51" s="28">
        <f>IF($A51="",0,SUMPRODUCT(('עסקאות'!$B$5:$B$1004="דיבידנד")*('עסקאות'!$C$5:$C$1004=$A51)*(YEAR('עסקאות'!$A$5:$A$1004)=DivYear)*(MONTH('עסקאות'!$A$5:$A$1004)=4)*'עסקאות'!$F$5:$F$1004))</f>
        <v/>
      </c>
      <c r="F51" s="28">
        <f>IF($A51="",0,SUMPRODUCT(('עסקאות'!$B$5:$B$1004="דיבידנד")*('עסקאות'!$C$5:$C$1004=$A51)*(YEAR('עסקאות'!$A$5:$A$1004)=DivYear)*(MONTH('עסקאות'!$A$5:$A$1004)=5)*'עסקאות'!$F$5:$F$1004))</f>
        <v/>
      </c>
      <c r="G51" s="28">
        <f>IF($A51="",0,SUMPRODUCT(('עסקאות'!$B$5:$B$1004="דיבידנד")*('עסקאות'!$C$5:$C$1004=$A51)*(YEAR('עסקאות'!$A$5:$A$1004)=DivYear)*(MONTH('עסקאות'!$A$5:$A$1004)=6)*'עסקאות'!$F$5:$F$1004))</f>
        <v/>
      </c>
      <c r="H51" s="28">
        <f>IF($A51="",0,SUMPRODUCT(('עסקאות'!$B$5:$B$1004="דיבידנד")*('עסקאות'!$C$5:$C$1004=$A51)*(YEAR('עסקאות'!$A$5:$A$1004)=DivYear)*(MONTH('עסקאות'!$A$5:$A$1004)=7)*'עסקאות'!$F$5:$F$1004))</f>
        <v/>
      </c>
      <c r="I51" s="28">
        <f>IF($A51="",0,SUMPRODUCT(('עסקאות'!$B$5:$B$1004="דיבידנד")*('עסקאות'!$C$5:$C$1004=$A51)*(YEAR('עסקאות'!$A$5:$A$1004)=DivYear)*(MONTH('עסקאות'!$A$5:$A$1004)=8)*'עסקאות'!$F$5:$F$1004))</f>
        <v/>
      </c>
      <c r="J51" s="28">
        <f>IF($A51="",0,SUMPRODUCT(('עסקאות'!$B$5:$B$1004="דיבידנד")*('עסקאות'!$C$5:$C$1004=$A51)*(YEAR('עסקאות'!$A$5:$A$1004)=DivYear)*(MONTH('עסקאות'!$A$5:$A$1004)=9)*'עסקאות'!$F$5:$F$1004))</f>
        <v/>
      </c>
      <c r="K51" s="28">
        <f>IF($A51="",0,SUMPRODUCT(('עסקאות'!$B$5:$B$1004="דיבידנד")*('עסקאות'!$C$5:$C$1004=$A51)*(YEAR('עסקאות'!$A$5:$A$1004)=DivYear)*(MONTH('עסקאות'!$A$5:$A$1004)=10)*'עסקאות'!$F$5:$F$1004))</f>
        <v/>
      </c>
      <c r="L51" s="28">
        <f>IF($A51="",0,SUMPRODUCT(('עסקאות'!$B$5:$B$1004="דיבידנד")*('עסקאות'!$C$5:$C$1004=$A51)*(YEAR('עסקאות'!$A$5:$A$1004)=DivYear)*(MONTH('עסקאות'!$A$5:$A$1004)=11)*'עסקאות'!$F$5:$F$1004))</f>
        <v/>
      </c>
      <c r="M51" s="28">
        <f>IF($A51="",0,SUMPRODUCT(('עסקאות'!$B$5:$B$1004="דיבידנד")*('עסקאות'!$C$5:$C$1004=$A51)*(YEAR('עסקאות'!$A$5:$A$1004)=DivYear)*(MONTH('עסקאות'!$A$5:$A$1004)=12)*'עסקאות'!$F$5:$F$1004))</f>
        <v/>
      </c>
      <c r="N51" s="41">
        <f>SUM(B51:M51)</f>
        <v/>
      </c>
      <c r="O51" s="31">
        <f>IF(OR(A51="",'תיק'!I51=0),"",N51/'תיק'!I51)</f>
        <v/>
      </c>
    </row>
    <row r="52">
      <c r="A52" s="45">
        <f>IF('תיק'!A52="","",'תיק'!A52)</f>
        <v/>
      </c>
      <c r="B52" s="28">
        <f>IF($A52="",0,SUMPRODUCT(('עסקאות'!$B$5:$B$1004="דיבידנד")*('עסקאות'!$C$5:$C$1004=$A52)*(YEAR('עסקאות'!$A$5:$A$1004)=DivYear)*(MONTH('עסקאות'!$A$5:$A$1004)=1)*'עסקאות'!$F$5:$F$1004))</f>
        <v/>
      </c>
      <c r="C52" s="28">
        <f>IF($A52="",0,SUMPRODUCT(('עסקאות'!$B$5:$B$1004="דיבידנד")*('עסקאות'!$C$5:$C$1004=$A52)*(YEAR('עסקאות'!$A$5:$A$1004)=DivYear)*(MONTH('עסקאות'!$A$5:$A$1004)=2)*'עסקאות'!$F$5:$F$1004))</f>
        <v/>
      </c>
      <c r="D52" s="28">
        <f>IF($A52="",0,SUMPRODUCT(('עסקאות'!$B$5:$B$1004="דיבידנד")*('עסקאות'!$C$5:$C$1004=$A52)*(YEAR('עסקאות'!$A$5:$A$1004)=DivYear)*(MONTH('עסקאות'!$A$5:$A$1004)=3)*'עסקאות'!$F$5:$F$1004))</f>
        <v/>
      </c>
      <c r="E52" s="28">
        <f>IF($A52="",0,SUMPRODUCT(('עסקאות'!$B$5:$B$1004="דיבידנד")*('עסקאות'!$C$5:$C$1004=$A52)*(YEAR('עסקאות'!$A$5:$A$1004)=DivYear)*(MONTH('עסקאות'!$A$5:$A$1004)=4)*'עסקאות'!$F$5:$F$1004))</f>
        <v/>
      </c>
      <c r="F52" s="28">
        <f>IF($A52="",0,SUMPRODUCT(('עסקאות'!$B$5:$B$1004="דיבידנד")*('עסקאות'!$C$5:$C$1004=$A52)*(YEAR('עסקאות'!$A$5:$A$1004)=DivYear)*(MONTH('עסקאות'!$A$5:$A$1004)=5)*'עסקאות'!$F$5:$F$1004))</f>
        <v/>
      </c>
      <c r="G52" s="28">
        <f>IF($A52="",0,SUMPRODUCT(('עסקאות'!$B$5:$B$1004="דיבידנד")*('עסקאות'!$C$5:$C$1004=$A52)*(YEAR('עסקאות'!$A$5:$A$1004)=DivYear)*(MONTH('עסקאות'!$A$5:$A$1004)=6)*'עסקאות'!$F$5:$F$1004))</f>
        <v/>
      </c>
      <c r="H52" s="28">
        <f>IF($A52="",0,SUMPRODUCT(('עסקאות'!$B$5:$B$1004="דיבידנד")*('עסקאות'!$C$5:$C$1004=$A52)*(YEAR('עסקאות'!$A$5:$A$1004)=DivYear)*(MONTH('עסקאות'!$A$5:$A$1004)=7)*'עסקאות'!$F$5:$F$1004))</f>
        <v/>
      </c>
      <c r="I52" s="28">
        <f>IF($A52="",0,SUMPRODUCT(('עסקאות'!$B$5:$B$1004="דיבידנד")*('עסקאות'!$C$5:$C$1004=$A52)*(YEAR('עסקאות'!$A$5:$A$1004)=DivYear)*(MONTH('עסקאות'!$A$5:$A$1004)=8)*'עסקאות'!$F$5:$F$1004))</f>
        <v/>
      </c>
      <c r="J52" s="28">
        <f>IF($A52="",0,SUMPRODUCT(('עסקאות'!$B$5:$B$1004="דיבידנד")*('עסקאות'!$C$5:$C$1004=$A52)*(YEAR('עסקאות'!$A$5:$A$1004)=DivYear)*(MONTH('עסקאות'!$A$5:$A$1004)=9)*'עסקאות'!$F$5:$F$1004))</f>
        <v/>
      </c>
      <c r="K52" s="28">
        <f>IF($A52="",0,SUMPRODUCT(('עסקאות'!$B$5:$B$1004="דיבידנד")*('עסקאות'!$C$5:$C$1004=$A52)*(YEAR('עסקאות'!$A$5:$A$1004)=DivYear)*(MONTH('עסקאות'!$A$5:$A$1004)=10)*'עסקאות'!$F$5:$F$1004))</f>
        <v/>
      </c>
      <c r="L52" s="28">
        <f>IF($A52="",0,SUMPRODUCT(('עסקאות'!$B$5:$B$1004="דיבידנד")*('עסקאות'!$C$5:$C$1004=$A52)*(YEAR('עסקאות'!$A$5:$A$1004)=DivYear)*(MONTH('עסקאות'!$A$5:$A$1004)=11)*'עסקאות'!$F$5:$F$1004))</f>
        <v/>
      </c>
      <c r="M52" s="28">
        <f>IF($A52="",0,SUMPRODUCT(('עסקאות'!$B$5:$B$1004="דיבידנד")*('עסקאות'!$C$5:$C$1004=$A52)*(YEAR('עסקאות'!$A$5:$A$1004)=DivYear)*(MONTH('עסקאות'!$A$5:$A$1004)=12)*'עסקאות'!$F$5:$F$1004))</f>
        <v/>
      </c>
      <c r="N52" s="41">
        <f>SUM(B52:M52)</f>
        <v/>
      </c>
      <c r="O52" s="31">
        <f>IF(OR(A52="",'תיק'!I52=0),"",N52/'תיק'!I52)</f>
        <v/>
      </c>
    </row>
    <row r="53">
      <c r="A53" s="45">
        <f>IF('תיק'!A53="","",'תיק'!A53)</f>
        <v/>
      </c>
      <c r="B53" s="28">
        <f>IF($A53="",0,SUMPRODUCT(('עסקאות'!$B$5:$B$1004="דיבידנד")*('עסקאות'!$C$5:$C$1004=$A53)*(YEAR('עסקאות'!$A$5:$A$1004)=DivYear)*(MONTH('עסקאות'!$A$5:$A$1004)=1)*'עסקאות'!$F$5:$F$1004))</f>
        <v/>
      </c>
      <c r="C53" s="28">
        <f>IF($A53="",0,SUMPRODUCT(('עסקאות'!$B$5:$B$1004="דיבידנד")*('עסקאות'!$C$5:$C$1004=$A53)*(YEAR('עסקאות'!$A$5:$A$1004)=DivYear)*(MONTH('עסקאות'!$A$5:$A$1004)=2)*'עסקאות'!$F$5:$F$1004))</f>
        <v/>
      </c>
      <c r="D53" s="28">
        <f>IF($A53="",0,SUMPRODUCT(('עסקאות'!$B$5:$B$1004="דיבידנד")*('עסקאות'!$C$5:$C$1004=$A53)*(YEAR('עסקאות'!$A$5:$A$1004)=DivYear)*(MONTH('עסקאות'!$A$5:$A$1004)=3)*'עסקאות'!$F$5:$F$1004))</f>
        <v/>
      </c>
      <c r="E53" s="28">
        <f>IF($A53="",0,SUMPRODUCT(('עסקאות'!$B$5:$B$1004="דיבידנד")*('עסקאות'!$C$5:$C$1004=$A53)*(YEAR('עסקאות'!$A$5:$A$1004)=DivYear)*(MONTH('עסקאות'!$A$5:$A$1004)=4)*'עסקאות'!$F$5:$F$1004))</f>
        <v/>
      </c>
      <c r="F53" s="28">
        <f>IF($A53="",0,SUMPRODUCT(('עסקאות'!$B$5:$B$1004="דיבידנד")*('עסקאות'!$C$5:$C$1004=$A53)*(YEAR('עסקאות'!$A$5:$A$1004)=DivYear)*(MONTH('עסקאות'!$A$5:$A$1004)=5)*'עסקאות'!$F$5:$F$1004))</f>
        <v/>
      </c>
      <c r="G53" s="28">
        <f>IF($A53="",0,SUMPRODUCT(('עסקאות'!$B$5:$B$1004="דיבידנד")*('עסקאות'!$C$5:$C$1004=$A53)*(YEAR('עסקאות'!$A$5:$A$1004)=DivYear)*(MONTH('עסקאות'!$A$5:$A$1004)=6)*'עסקאות'!$F$5:$F$1004))</f>
        <v/>
      </c>
      <c r="H53" s="28">
        <f>IF($A53="",0,SUMPRODUCT(('עסקאות'!$B$5:$B$1004="דיבידנד")*('עסקאות'!$C$5:$C$1004=$A53)*(YEAR('עסקאות'!$A$5:$A$1004)=DivYear)*(MONTH('עסקאות'!$A$5:$A$1004)=7)*'עסקאות'!$F$5:$F$1004))</f>
        <v/>
      </c>
      <c r="I53" s="28">
        <f>IF($A53="",0,SUMPRODUCT(('עסקאות'!$B$5:$B$1004="דיבידנד")*('עסקאות'!$C$5:$C$1004=$A53)*(YEAR('עסקאות'!$A$5:$A$1004)=DivYear)*(MONTH('עסקאות'!$A$5:$A$1004)=8)*'עסקאות'!$F$5:$F$1004))</f>
        <v/>
      </c>
      <c r="J53" s="28">
        <f>IF($A53="",0,SUMPRODUCT(('עסקאות'!$B$5:$B$1004="דיבידנד")*('עסקאות'!$C$5:$C$1004=$A53)*(YEAR('עסקאות'!$A$5:$A$1004)=DivYear)*(MONTH('עסקאות'!$A$5:$A$1004)=9)*'עסקאות'!$F$5:$F$1004))</f>
        <v/>
      </c>
      <c r="K53" s="28">
        <f>IF($A53="",0,SUMPRODUCT(('עסקאות'!$B$5:$B$1004="דיבידנד")*('עסקאות'!$C$5:$C$1004=$A53)*(YEAR('עסקאות'!$A$5:$A$1004)=DivYear)*(MONTH('עסקאות'!$A$5:$A$1004)=10)*'עסקאות'!$F$5:$F$1004))</f>
        <v/>
      </c>
      <c r="L53" s="28">
        <f>IF($A53="",0,SUMPRODUCT(('עסקאות'!$B$5:$B$1004="דיבידנד")*('עסקאות'!$C$5:$C$1004=$A53)*(YEAR('עסקאות'!$A$5:$A$1004)=DivYear)*(MONTH('עסקאות'!$A$5:$A$1004)=11)*'עסקאות'!$F$5:$F$1004))</f>
        <v/>
      </c>
      <c r="M53" s="28">
        <f>IF($A53="",0,SUMPRODUCT(('עסקאות'!$B$5:$B$1004="דיבידנד")*('עסקאות'!$C$5:$C$1004=$A53)*(YEAR('עסקאות'!$A$5:$A$1004)=DivYear)*(MONTH('עסקאות'!$A$5:$A$1004)=12)*'עסקאות'!$F$5:$F$1004))</f>
        <v/>
      </c>
      <c r="N53" s="41">
        <f>SUM(B53:M53)</f>
        <v/>
      </c>
      <c r="O53" s="31">
        <f>IF(OR(A53="",'תיק'!I53=0),"",N53/'תיק'!I53)</f>
        <v/>
      </c>
    </row>
    <row r="54">
      <c r="A54" s="45">
        <f>IF('תיק'!A54="","",'תיק'!A54)</f>
        <v/>
      </c>
      <c r="B54" s="28">
        <f>IF($A54="",0,SUMPRODUCT(('עסקאות'!$B$5:$B$1004="דיבידנד")*('עסקאות'!$C$5:$C$1004=$A54)*(YEAR('עסקאות'!$A$5:$A$1004)=DivYear)*(MONTH('עסקאות'!$A$5:$A$1004)=1)*'עסקאות'!$F$5:$F$1004))</f>
        <v/>
      </c>
      <c r="C54" s="28">
        <f>IF($A54="",0,SUMPRODUCT(('עסקאות'!$B$5:$B$1004="דיבידנד")*('עסקאות'!$C$5:$C$1004=$A54)*(YEAR('עסקאות'!$A$5:$A$1004)=DivYear)*(MONTH('עסקאות'!$A$5:$A$1004)=2)*'עסקאות'!$F$5:$F$1004))</f>
        <v/>
      </c>
      <c r="D54" s="28">
        <f>IF($A54="",0,SUMPRODUCT(('עסקאות'!$B$5:$B$1004="דיבידנד")*('עסקאות'!$C$5:$C$1004=$A54)*(YEAR('עסקאות'!$A$5:$A$1004)=DivYear)*(MONTH('עסקאות'!$A$5:$A$1004)=3)*'עסקאות'!$F$5:$F$1004))</f>
        <v/>
      </c>
      <c r="E54" s="28">
        <f>IF($A54="",0,SUMPRODUCT(('עסקאות'!$B$5:$B$1004="דיבידנד")*('עסקאות'!$C$5:$C$1004=$A54)*(YEAR('עסקאות'!$A$5:$A$1004)=DivYear)*(MONTH('עסקאות'!$A$5:$A$1004)=4)*'עסקאות'!$F$5:$F$1004))</f>
        <v/>
      </c>
      <c r="F54" s="28">
        <f>IF($A54="",0,SUMPRODUCT(('עסקאות'!$B$5:$B$1004="דיבידנד")*('עסקאות'!$C$5:$C$1004=$A54)*(YEAR('עסקאות'!$A$5:$A$1004)=DivYear)*(MONTH('עסקאות'!$A$5:$A$1004)=5)*'עסקאות'!$F$5:$F$1004))</f>
        <v/>
      </c>
      <c r="G54" s="28">
        <f>IF($A54="",0,SUMPRODUCT(('עסקאות'!$B$5:$B$1004="דיבידנד")*('עסקאות'!$C$5:$C$1004=$A54)*(YEAR('עסקאות'!$A$5:$A$1004)=DivYear)*(MONTH('עסקאות'!$A$5:$A$1004)=6)*'עסקאות'!$F$5:$F$1004))</f>
        <v/>
      </c>
      <c r="H54" s="28">
        <f>IF($A54="",0,SUMPRODUCT(('עסקאות'!$B$5:$B$1004="דיבידנד")*('עסקאות'!$C$5:$C$1004=$A54)*(YEAR('עסקאות'!$A$5:$A$1004)=DivYear)*(MONTH('עסקאות'!$A$5:$A$1004)=7)*'עסקאות'!$F$5:$F$1004))</f>
        <v/>
      </c>
      <c r="I54" s="28">
        <f>IF($A54="",0,SUMPRODUCT(('עסקאות'!$B$5:$B$1004="דיבידנד")*('עסקאות'!$C$5:$C$1004=$A54)*(YEAR('עסקאות'!$A$5:$A$1004)=DivYear)*(MONTH('עסקאות'!$A$5:$A$1004)=8)*'עסקאות'!$F$5:$F$1004))</f>
        <v/>
      </c>
      <c r="J54" s="28">
        <f>IF($A54="",0,SUMPRODUCT(('עסקאות'!$B$5:$B$1004="דיבידנד")*('עסקאות'!$C$5:$C$1004=$A54)*(YEAR('עסקאות'!$A$5:$A$1004)=DivYear)*(MONTH('עסקאות'!$A$5:$A$1004)=9)*'עסקאות'!$F$5:$F$1004))</f>
        <v/>
      </c>
      <c r="K54" s="28">
        <f>IF($A54="",0,SUMPRODUCT(('עסקאות'!$B$5:$B$1004="דיבידנד")*('עסקאות'!$C$5:$C$1004=$A54)*(YEAR('עסקאות'!$A$5:$A$1004)=DivYear)*(MONTH('עסקאות'!$A$5:$A$1004)=10)*'עסקאות'!$F$5:$F$1004))</f>
        <v/>
      </c>
      <c r="L54" s="28">
        <f>IF($A54="",0,SUMPRODUCT(('עסקאות'!$B$5:$B$1004="דיבידנד")*('עסקאות'!$C$5:$C$1004=$A54)*(YEAR('עסקאות'!$A$5:$A$1004)=DivYear)*(MONTH('עסקאות'!$A$5:$A$1004)=11)*'עסקאות'!$F$5:$F$1004))</f>
        <v/>
      </c>
      <c r="M54" s="28">
        <f>IF($A54="",0,SUMPRODUCT(('עסקאות'!$B$5:$B$1004="דיבידנד")*('עסקאות'!$C$5:$C$1004=$A54)*(YEAR('עסקאות'!$A$5:$A$1004)=DivYear)*(MONTH('עסקאות'!$A$5:$A$1004)=12)*'עסקאות'!$F$5:$F$1004))</f>
        <v/>
      </c>
      <c r="N54" s="41">
        <f>SUM(B54:M54)</f>
        <v/>
      </c>
      <c r="O54" s="31">
        <f>IF(OR(A54="",'תיק'!I54=0),"",N54/'תיק'!I54)</f>
        <v/>
      </c>
    </row>
    <row r="55">
      <c r="A55" s="16" t="inlineStr">
        <is>
          <t>סה"כ</t>
        </is>
      </c>
      <c r="B55" s="46">
        <f>SUM(B5:B54)</f>
        <v/>
      </c>
      <c r="C55" s="46">
        <f>SUM(C5:C54)</f>
        <v/>
      </c>
      <c r="D55" s="46">
        <f>SUM(D5:D54)</f>
        <v/>
      </c>
      <c r="E55" s="46">
        <f>SUM(E5:E54)</f>
        <v/>
      </c>
      <c r="F55" s="46">
        <f>SUM(F5:F54)</f>
        <v/>
      </c>
      <c r="G55" s="46">
        <f>SUM(G5:G54)</f>
        <v/>
      </c>
      <c r="H55" s="46">
        <f>SUM(H5:H54)</f>
        <v/>
      </c>
      <c r="I55" s="46">
        <f>SUM(I5:I54)</f>
        <v/>
      </c>
      <c r="J55" s="46">
        <f>SUM(J5:J54)</f>
        <v/>
      </c>
      <c r="K55" s="46">
        <f>SUM(K5:K54)</f>
        <v/>
      </c>
      <c r="L55" s="46">
        <f>SUM(L5:L54)</f>
        <v/>
      </c>
      <c r="M55" s="46">
        <f>SUM(M5:M54)</f>
        <v/>
      </c>
      <c r="N55" s="46">
        <f>SUM(N5:N54)</f>
        <v/>
      </c>
      <c r="O55" s="16" t="n"/>
    </row>
    <row r="56">
      <c r="A56" s="5" t="inlineStr">
        <is>
          <t>מצטבר</t>
        </is>
      </c>
      <c r="B56" s="47">
        <f>B55</f>
        <v/>
      </c>
      <c r="C56" s="47">
        <f>B56+C55</f>
        <v/>
      </c>
      <c r="D56" s="47">
        <f>C56+D55</f>
        <v/>
      </c>
      <c r="E56" s="47">
        <f>D56+E55</f>
        <v/>
      </c>
      <c r="F56" s="47">
        <f>E56+F55</f>
        <v/>
      </c>
      <c r="G56" s="47">
        <f>F56+G55</f>
        <v/>
      </c>
      <c r="H56" s="47">
        <f>G56+H55</f>
        <v/>
      </c>
      <c r="I56" s="47">
        <f>H56+I55</f>
        <v/>
      </c>
      <c r="J56" s="47">
        <f>I56+J55</f>
        <v/>
      </c>
      <c r="K56" s="47">
        <f>J56+K55</f>
        <v/>
      </c>
      <c r="L56" s="47">
        <f>K56+L55</f>
        <v/>
      </c>
      <c r="M56" s="47">
        <f>L56+M55</f>
        <v/>
      </c>
    </row>
    <row r="57">
      <c r="B57" s="48" t="inlineStr">
        <is>
          <t>ינו</t>
        </is>
      </c>
      <c r="C57" s="48" t="inlineStr">
        <is>
          <t>פבר</t>
        </is>
      </c>
      <c r="D57" s="48" t="inlineStr">
        <is>
          <t>מרץ</t>
        </is>
      </c>
      <c r="E57" s="48" t="inlineStr">
        <is>
          <t>אפר</t>
        </is>
      </c>
      <c r="F57" s="48" t="inlineStr">
        <is>
          <t>מאי</t>
        </is>
      </c>
      <c r="G57" s="48" t="inlineStr">
        <is>
          <t>יונ</t>
        </is>
      </c>
      <c r="H57" s="48" t="inlineStr">
        <is>
          <t>יול</t>
        </is>
      </c>
      <c r="I57" s="48" t="inlineStr">
        <is>
          <t>אוג</t>
        </is>
      </c>
      <c r="J57" s="48" t="inlineStr">
        <is>
          <t>ספט</t>
        </is>
      </c>
      <c r="K57" s="48" t="inlineStr">
        <is>
          <t>אוק</t>
        </is>
      </c>
      <c r="L57" s="48" t="inlineStr">
        <is>
          <t>נוב</t>
        </is>
      </c>
      <c r="M57" s="48" t="inlineStr">
        <is>
          <t>דצמ</t>
        </is>
      </c>
    </row>
  </sheetData>
  <mergeCells count="2">
    <mergeCell ref="A1:O1"/>
    <mergeCell ref="A2:O2"/>
  </mergeCells>
  <conditionalFormatting sqref="B5:M54">
    <cfRule type="cellIs" priority="1" operator="greaterThan" dxfId="12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C0392B"/>
    <outlinePr summaryBelow="1" summaryRight="1"/>
    <pageSetUpPr/>
  </sheetPr>
  <dimension ref="A1:I28"/>
  <sheetViews>
    <sheetView showGridLines="0" rightToLeft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3" customWidth="1" min="4" max="4"/>
    <col width="15" customWidth="1" min="5" max="5"/>
    <col width="14" customWidth="1" min="6" max="6"/>
    <col width="11" customWidth="1" min="7" max="7"/>
    <col width="11" customWidth="1" min="8" max="8"/>
    <col width="13" customWidth="1" min="9" max="9"/>
  </cols>
  <sheetData>
    <row r="1" ht="34" customHeight="1">
      <c r="A1" s="1" t="inlineStr">
        <is>
          <t>📈 ביצועים חודשיים</t>
        </is>
      </c>
    </row>
    <row r="2" ht="20" customHeight="1">
      <c r="A2" s="2" t="inlineStr">
        <is>
          <t>הזן שווי תיק בסוף כל חודש. התשואה מנוטרלת מהפקדות ומשיכות.</t>
        </is>
      </c>
    </row>
    <row r="4" ht="36" customHeight="1">
      <c r="A4" s="23" t="inlineStr">
        <is>
          <t>חודש</t>
        </is>
      </c>
      <c r="B4" s="23" t="inlineStr">
        <is>
          <t>הפקדות נטו $</t>
        </is>
      </c>
      <c r="C4" s="23" t="inlineStr">
        <is>
          <t>דיבידנדים $</t>
        </is>
      </c>
      <c r="D4" s="23" t="inlineStr">
        <is>
          <t>רווח ממומש $</t>
        </is>
      </c>
      <c r="E4" s="22" t="inlineStr">
        <is>
          <t>שווי סוף חודש $
(קלט)</t>
        </is>
      </c>
      <c r="F4" s="23" t="inlineStr">
        <is>
          <t>שווי בשימוש $</t>
        </is>
      </c>
      <c r="G4" s="23" t="inlineStr">
        <is>
          <t>תשואה חודשית</t>
        </is>
      </c>
      <c r="H4" s="23" t="inlineStr">
        <is>
          <t>תשואה מצטברת</t>
        </is>
      </c>
      <c r="I4" s="23" t="inlineStr">
        <is>
          <t>רווח בחודש $</t>
        </is>
      </c>
    </row>
    <row r="5">
      <c r="A5" s="49">
        <f>PerfStart</f>
        <v/>
      </c>
      <c r="B5" s="30">
        <f>SUMPRODUCT(('עסקאות'!$A$5:$A$1004&gt;=A5)*('עסקאות'!$A$5:$A$1004&lt;EDATE(A5,1))*('עסקאות'!$B$5:$B$1004="הפקדה")*'עסקאות'!$F$5:$F$1004)-SUMPRODUCT(('עסקאות'!$A$5:$A$1004&gt;=A5)*('עסקאות'!$A$5:$A$1004&lt;EDATE(A5,1))*('עסקאות'!$B$5:$B$1004="משיכה")*'עסקאות'!$F$5:$F$1004)</f>
        <v/>
      </c>
      <c r="C5" s="30">
        <f>SUMPRODUCT(('עסקאות'!$A$5:$A$1004&gt;=A5)*('עסקאות'!$A$5:$A$1004&lt;EDATE(A5,1))*('עסקאות'!$B$5:$B$1004="דיבידנד")*'עסקאות'!$F$5:$F$1004)</f>
        <v/>
      </c>
      <c r="D5" s="30">
        <f>SUMPRODUCT(('עסקאות'!$A$5:$A$1004&gt;=A5)*('עסקאות'!$A$5:$A$1004&lt;EDATE(A5,1))*'עסקאות'!$J$5:$J$1004)</f>
        <v/>
      </c>
      <c r="E5" s="50" t="n">
        <v>101200</v>
      </c>
      <c r="F5" s="30">
        <f>IF(E5&lt;&gt;"",E5,IF(AND(TODAY()&gt;=A5,TODAY()&lt;EDATE(A5,1)),Equity,""))</f>
        <v/>
      </c>
      <c r="G5" s="31">
        <f>IF(F5="","",IF((0+B5)=0,"",(F5-0-B5)/(0+B5)))</f>
        <v/>
      </c>
      <c r="H5" s="31">
        <f>IF(G5="","",G5)</f>
        <v/>
      </c>
      <c r="I5" s="30">
        <f>IF(F5="","",F5-0-B5)</f>
        <v/>
      </c>
    </row>
    <row r="6">
      <c r="A6" s="49">
        <f>EDATE(A5,1)</f>
        <v/>
      </c>
      <c r="B6" s="30">
        <f>SUMPRODUCT(('עסקאות'!$A$5:$A$1004&gt;=A6)*('עסקאות'!$A$5:$A$1004&lt;EDATE(A6,1))*('עסקאות'!$B$5:$B$1004="הפקדה")*'עסקאות'!$F$5:$F$1004)-SUMPRODUCT(('עסקאות'!$A$5:$A$1004&gt;=A6)*('עסקאות'!$A$5:$A$1004&lt;EDATE(A6,1))*('עסקאות'!$B$5:$B$1004="משיכה")*'עסקאות'!$F$5:$F$1004)</f>
        <v/>
      </c>
      <c r="C6" s="30">
        <f>SUMPRODUCT(('עסקאות'!$A$5:$A$1004&gt;=A6)*('עסקאות'!$A$5:$A$1004&lt;EDATE(A6,1))*('עסקאות'!$B$5:$B$1004="דיבידנד")*'עסקאות'!$F$5:$F$1004)</f>
        <v/>
      </c>
      <c r="D6" s="30">
        <f>SUMPRODUCT(('עסקאות'!$A$5:$A$1004&gt;=A6)*('עסקאות'!$A$5:$A$1004&lt;EDATE(A6,1))*'עסקאות'!$J$5:$J$1004)</f>
        <v/>
      </c>
      <c r="E6" s="50" t="n">
        <v>103900</v>
      </c>
      <c r="F6" s="30">
        <f>IF(E6&lt;&gt;"",E6,IF(AND(TODAY()&gt;=A6,TODAY()&lt;EDATE(A6,1)),Equity,""))</f>
        <v/>
      </c>
      <c r="G6" s="31">
        <f>IF(OR(F6="",F5=""),"",IF((F5+B6)=0,"",(F6-F5-B6)/(F5+B6)))</f>
        <v/>
      </c>
      <c r="H6" s="31">
        <f>IF(G6="","",(1+IF(H5="",0,H5))*(1+G6)-1)</f>
        <v/>
      </c>
      <c r="I6" s="30">
        <f>IF(OR(F6="",F5=""),"",F6-F5-B6)</f>
        <v/>
      </c>
    </row>
    <row r="7">
      <c r="A7" s="49">
        <f>EDATE(A6,1)</f>
        <v/>
      </c>
      <c r="B7" s="30">
        <f>SUMPRODUCT(('עסקאות'!$A$5:$A$1004&gt;=A7)*('עסקאות'!$A$5:$A$1004&lt;EDATE(A7,1))*('עסקאות'!$B$5:$B$1004="הפקדה")*'עסקאות'!$F$5:$F$1004)-SUMPRODUCT(('עסקאות'!$A$5:$A$1004&gt;=A7)*('עסקאות'!$A$5:$A$1004&lt;EDATE(A7,1))*('עסקאות'!$B$5:$B$1004="משיכה")*'עסקאות'!$F$5:$F$1004)</f>
        <v/>
      </c>
      <c r="C7" s="30">
        <f>SUMPRODUCT(('עסקאות'!$A$5:$A$1004&gt;=A7)*('עסקאות'!$A$5:$A$1004&lt;EDATE(A7,1))*('עסקאות'!$B$5:$B$1004="דיבידנד")*'עסקאות'!$F$5:$F$1004)</f>
        <v/>
      </c>
      <c r="D7" s="30">
        <f>SUMPRODUCT(('עסקאות'!$A$5:$A$1004&gt;=A7)*('עסקאות'!$A$5:$A$1004&lt;EDATE(A7,1))*'עסקאות'!$J$5:$J$1004)</f>
        <v/>
      </c>
      <c r="E7" s="50" t="n">
        <v>102100</v>
      </c>
      <c r="F7" s="30">
        <f>IF(E7&lt;&gt;"",E7,IF(AND(TODAY()&gt;=A7,TODAY()&lt;EDATE(A7,1)),Equity,""))</f>
        <v/>
      </c>
      <c r="G7" s="31">
        <f>IF(OR(F7="",F6=""),"",IF((F6+B7)=0,"",(F7-F6-B7)/(F6+B7)))</f>
        <v/>
      </c>
      <c r="H7" s="31">
        <f>IF(G7="","",(1+IF(H6="",0,H6))*(1+G7)-1)</f>
        <v/>
      </c>
      <c r="I7" s="30">
        <f>IF(OR(F7="",F6=""),"",F7-F6-B7)</f>
        <v/>
      </c>
    </row>
    <row r="8">
      <c r="A8" s="49">
        <f>EDATE(A7,1)</f>
        <v/>
      </c>
      <c r="B8" s="30">
        <f>SUMPRODUCT(('עסקאות'!$A$5:$A$1004&gt;=A8)*('עסקאות'!$A$5:$A$1004&lt;EDATE(A8,1))*('עסקאות'!$B$5:$B$1004="הפקדה")*'עסקאות'!$F$5:$F$1004)-SUMPRODUCT(('עסקאות'!$A$5:$A$1004&gt;=A8)*('עסקאות'!$A$5:$A$1004&lt;EDATE(A8,1))*('עסקאות'!$B$5:$B$1004="משיכה")*'עסקאות'!$F$5:$F$1004)</f>
        <v/>
      </c>
      <c r="C8" s="30">
        <f>SUMPRODUCT(('עסקאות'!$A$5:$A$1004&gt;=A8)*('עסקאות'!$A$5:$A$1004&lt;EDATE(A8,1))*('עסקאות'!$B$5:$B$1004="דיבידנד")*'עסקאות'!$F$5:$F$1004)</f>
        <v/>
      </c>
      <c r="D8" s="30">
        <f>SUMPRODUCT(('עסקאות'!$A$5:$A$1004&gt;=A8)*('עסקאות'!$A$5:$A$1004&lt;EDATE(A8,1))*'עסקאות'!$J$5:$J$1004)</f>
        <v/>
      </c>
      <c r="E8" s="50" t="n">
        <v>106800</v>
      </c>
      <c r="F8" s="30">
        <f>IF(E8&lt;&gt;"",E8,IF(AND(TODAY()&gt;=A8,TODAY()&lt;EDATE(A8,1)),Equity,""))</f>
        <v/>
      </c>
      <c r="G8" s="31">
        <f>IF(OR(F8="",F7=""),"",IF((F7+B8)=0,"",(F8-F7-B8)/(F7+B8)))</f>
        <v/>
      </c>
      <c r="H8" s="31">
        <f>IF(G8="","",(1+IF(H7="",0,H7))*(1+G8)-1)</f>
        <v/>
      </c>
      <c r="I8" s="30">
        <f>IF(OR(F8="",F7=""),"",F8-F7-B8)</f>
        <v/>
      </c>
    </row>
    <row r="9">
      <c r="A9" s="49">
        <f>EDATE(A8,1)</f>
        <v/>
      </c>
      <c r="B9" s="30">
        <f>SUMPRODUCT(('עסקאות'!$A$5:$A$1004&gt;=A9)*('עסקאות'!$A$5:$A$1004&lt;EDATE(A9,1))*('עסקאות'!$B$5:$B$1004="הפקדה")*'עסקאות'!$F$5:$F$1004)-SUMPRODUCT(('עסקאות'!$A$5:$A$1004&gt;=A9)*('עסקאות'!$A$5:$A$1004&lt;EDATE(A9,1))*('עסקאות'!$B$5:$B$1004="משיכה")*'עסקאות'!$F$5:$F$1004)</f>
        <v/>
      </c>
      <c r="C9" s="30">
        <f>SUMPRODUCT(('עסקאות'!$A$5:$A$1004&gt;=A9)*('עסקאות'!$A$5:$A$1004&lt;EDATE(A9,1))*('עסקאות'!$B$5:$B$1004="דיבידנד")*'עסקאות'!$F$5:$F$1004)</f>
        <v/>
      </c>
      <c r="D9" s="30">
        <f>SUMPRODUCT(('עסקאות'!$A$5:$A$1004&gt;=A9)*('עסקאות'!$A$5:$A$1004&lt;EDATE(A9,1))*'עסקאות'!$J$5:$J$1004)</f>
        <v/>
      </c>
      <c r="E9" s="50" t="n">
        <v>109300</v>
      </c>
      <c r="F9" s="30">
        <f>IF(E9&lt;&gt;"",E9,IF(AND(TODAY()&gt;=A9,TODAY()&lt;EDATE(A9,1)),Equity,""))</f>
        <v/>
      </c>
      <c r="G9" s="31">
        <f>IF(OR(F9="",F8=""),"",IF((F8+B9)=0,"",(F9-F8-B9)/(F8+B9)))</f>
        <v/>
      </c>
      <c r="H9" s="31">
        <f>IF(G9="","",(1+IF(H8="",0,H8))*(1+G9)-1)</f>
        <v/>
      </c>
      <c r="I9" s="30">
        <f>IF(OR(F9="",F8=""),"",F9-F8-B9)</f>
        <v/>
      </c>
    </row>
    <row r="10">
      <c r="A10" s="49">
        <f>EDATE(A9,1)</f>
        <v/>
      </c>
      <c r="B10" s="30">
        <f>SUMPRODUCT(('עסקאות'!$A$5:$A$1004&gt;=A10)*('עסקאות'!$A$5:$A$1004&lt;EDATE(A10,1))*('עסקאות'!$B$5:$B$1004="הפקדה")*'עסקאות'!$F$5:$F$1004)-SUMPRODUCT(('עסקאות'!$A$5:$A$1004&gt;=A10)*('עסקאות'!$A$5:$A$1004&lt;EDATE(A10,1))*('עסקאות'!$B$5:$B$1004="משיכה")*'עסקאות'!$F$5:$F$1004)</f>
        <v/>
      </c>
      <c r="C10" s="30">
        <f>SUMPRODUCT(('עסקאות'!$A$5:$A$1004&gt;=A10)*('עסקאות'!$A$5:$A$1004&lt;EDATE(A10,1))*('עסקאות'!$B$5:$B$1004="דיבידנד")*'עסקאות'!$F$5:$F$1004)</f>
        <v/>
      </c>
      <c r="D10" s="30">
        <f>SUMPRODUCT(('עסקאות'!$A$5:$A$1004&gt;=A10)*('עסקאות'!$A$5:$A$1004&lt;EDATE(A10,1))*'עסקאות'!$J$5:$J$1004)</f>
        <v/>
      </c>
      <c r="E10" s="50" t="n">
        <v>112050</v>
      </c>
      <c r="F10" s="30">
        <f>IF(E10&lt;&gt;"",E10,IF(AND(TODAY()&gt;=A10,TODAY()&lt;EDATE(A10,1)),Equity,""))</f>
        <v/>
      </c>
      <c r="G10" s="31">
        <f>IF(OR(F10="",F9=""),"",IF((F9+B10)=0,"",(F10-F9-B10)/(F9+B10)))</f>
        <v/>
      </c>
      <c r="H10" s="31">
        <f>IF(G10="","",(1+IF(H9="",0,H9))*(1+G10)-1)</f>
        <v/>
      </c>
      <c r="I10" s="30">
        <f>IF(OR(F10="",F9=""),"",F10-F9-B10)</f>
        <v/>
      </c>
    </row>
    <row r="11">
      <c r="A11" s="49">
        <f>EDATE(A10,1)</f>
        <v/>
      </c>
      <c r="B11" s="30">
        <f>SUMPRODUCT(('עסקאות'!$A$5:$A$1004&gt;=A11)*('עסקאות'!$A$5:$A$1004&lt;EDATE(A11,1))*('עסקאות'!$B$5:$B$1004="הפקדה")*'עסקאות'!$F$5:$F$1004)-SUMPRODUCT(('עסקאות'!$A$5:$A$1004&gt;=A11)*('עסקאות'!$A$5:$A$1004&lt;EDATE(A11,1))*('עסקאות'!$B$5:$B$1004="משיכה")*'עסקאות'!$F$5:$F$1004)</f>
        <v/>
      </c>
      <c r="C11" s="30">
        <f>SUMPRODUCT(('עסקאות'!$A$5:$A$1004&gt;=A11)*('עסקאות'!$A$5:$A$1004&lt;EDATE(A11,1))*('עסקאות'!$B$5:$B$1004="דיבידנד")*'עסקאות'!$F$5:$F$1004)</f>
        <v/>
      </c>
      <c r="D11" s="30">
        <f>SUMPRODUCT(('עסקאות'!$A$5:$A$1004&gt;=A11)*('עסקאות'!$A$5:$A$1004&lt;EDATE(A11,1))*'עסקאות'!$J$5:$J$1004)</f>
        <v/>
      </c>
      <c r="E11" s="50" t="n">
        <v>123400</v>
      </c>
      <c r="F11" s="30">
        <f>IF(E11&lt;&gt;"",E11,IF(AND(TODAY()&gt;=A11,TODAY()&lt;EDATE(A11,1)),Equity,""))</f>
        <v/>
      </c>
      <c r="G11" s="31">
        <f>IF(OR(F11="",F10=""),"",IF((F10+B11)=0,"",(F11-F10-B11)/(F10+B11)))</f>
        <v/>
      </c>
      <c r="H11" s="31">
        <f>IF(G11="","",(1+IF(H10="",0,H10))*(1+G11)-1)</f>
        <v/>
      </c>
      <c r="I11" s="30">
        <f>IF(OR(F11="",F10=""),"",F11-F10-B11)</f>
        <v/>
      </c>
    </row>
    <row r="12">
      <c r="A12" s="49">
        <f>EDATE(A11,1)</f>
        <v/>
      </c>
      <c r="B12" s="30">
        <f>SUMPRODUCT(('עסקאות'!$A$5:$A$1004&gt;=A12)*('עסקאות'!$A$5:$A$1004&lt;EDATE(A12,1))*('עסקאות'!$B$5:$B$1004="הפקדה")*'עסקאות'!$F$5:$F$1004)-SUMPRODUCT(('עסקאות'!$A$5:$A$1004&gt;=A12)*('עסקאות'!$A$5:$A$1004&lt;EDATE(A12,1))*('עסקאות'!$B$5:$B$1004="משיכה")*'עסקאות'!$F$5:$F$1004)</f>
        <v/>
      </c>
      <c r="C12" s="30">
        <f>SUMPRODUCT(('עסקאות'!$A$5:$A$1004&gt;=A12)*('עסקאות'!$A$5:$A$1004&lt;EDATE(A12,1))*('עסקאות'!$B$5:$B$1004="דיבידנד")*'עסקאות'!$F$5:$F$1004)</f>
        <v/>
      </c>
      <c r="D12" s="30">
        <f>SUMPRODUCT(('עסקאות'!$A$5:$A$1004&gt;=A12)*('עסקאות'!$A$5:$A$1004&lt;EDATE(A12,1))*'עסקאות'!$J$5:$J$1004)</f>
        <v/>
      </c>
      <c r="E12" s="50" t="n">
        <v>126900</v>
      </c>
      <c r="F12" s="30">
        <f>IF(E12&lt;&gt;"",E12,IF(AND(TODAY()&gt;=A12,TODAY()&lt;EDATE(A12,1)),Equity,""))</f>
        <v/>
      </c>
      <c r="G12" s="31">
        <f>IF(OR(F12="",F11=""),"",IF((F11+B12)=0,"",(F12-F11-B12)/(F11+B12)))</f>
        <v/>
      </c>
      <c r="H12" s="31">
        <f>IF(G12="","",(1+IF(H11="",0,H11))*(1+G12)-1)</f>
        <v/>
      </c>
      <c r="I12" s="30">
        <f>IF(OR(F12="",F11=""),"",F12-F11-B12)</f>
        <v/>
      </c>
    </row>
    <row r="13">
      <c r="A13" s="49">
        <f>EDATE(A12,1)</f>
        <v/>
      </c>
      <c r="B13" s="30">
        <f>SUMPRODUCT(('עסקאות'!$A$5:$A$1004&gt;=A13)*('עסקאות'!$A$5:$A$1004&lt;EDATE(A13,1))*('עסקאות'!$B$5:$B$1004="הפקדה")*'עסקאות'!$F$5:$F$1004)-SUMPRODUCT(('עסקאות'!$A$5:$A$1004&gt;=A13)*('עסקאות'!$A$5:$A$1004&lt;EDATE(A13,1))*('עסקאות'!$B$5:$B$1004="משיכה")*'עסקאות'!$F$5:$F$1004)</f>
        <v/>
      </c>
      <c r="C13" s="30">
        <f>SUMPRODUCT(('עסקאות'!$A$5:$A$1004&gt;=A13)*('עסקאות'!$A$5:$A$1004&lt;EDATE(A13,1))*('עסקאות'!$B$5:$B$1004="דיבידנד")*'עסקאות'!$F$5:$F$1004)</f>
        <v/>
      </c>
      <c r="D13" s="30">
        <f>SUMPRODUCT(('עסקאות'!$A$5:$A$1004&gt;=A13)*('עסקאות'!$A$5:$A$1004&lt;EDATE(A13,1))*'עסקאות'!$J$5:$J$1004)</f>
        <v/>
      </c>
      <c r="E13" s="50" t="n">
        <v>124800</v>
      </c>
      <c r="F13" s="30">
        <f>IF(E13&lt;&gt;"",E13,IF(AND(TODAY()&gt;=A13,TODAY()&lt;EDATE(A13,1)),Equity,""))</f>
        <v/>
      </c>
      <c r="G13" s="31">
        <f>IF(OR(F13="",F12=""),"",IF((F12+B13)=0,"",(F13-F12-B13)/(F12+B13)))</f>
        <v/>
      </c>
      <c r="H13" s="31">
        <f>IF(G13="","",(1+IF(H12="",0,H12))*(1+G13)-1)</f>
        <v/>
      </c>
      <c r="I13" s="30">
        <f>IF(OR(F13="",F12=""),"",F13-F12-B13)</f>
        <v/>
      </c>
    </row>
    <row r="14">
      <c r="A14" s="49">
        <f>EDATE(A13,1)</f>
        <v/>
      </c>
      <c r="B14" s="30">
        <f>SUMPRODUCT(('עסקאות'!$A$5:$A$1004&gt;=A14)*('עסקאות'!$A$5:$A$1004&lt;EDATE(A14,1))*('עסקאות'!$B$5:$B$1004="הפקדה")*'עסקאות'!$F$5:$F$1004)-SUMPRODUCT(('עסקאות'!$A$5:$A$1004&gt;=A14)*('עסקאות'!$A$5:$A$1004&lt;EDATE(A14,1))*('עסקאות'!$B$5:$B$1004="משיכה")*'עסקאות'!$F$5:$F$1004)</f>
        <v/>
      </c>
      <c r="C14" s="30">
        <f>SUMPRODUCT(('עסקאות'!$A$5:$A$1004&gt;=A14)*('עסקאות'!$A$5:$A$1004&lt;EDATE(A14,1))*('עסקאות'!$B$5:$B$1004="דיבידנד")*'עסקאות'!$F$5:$F$1004)</f>
        <v/>
      </c>
      <c r="D14" s="30">
        <f>SUMPRODUCT(('עסקאות'!$A$5:$A$1004&gt;=A14)*('עסקאות'!$A$5:$A$1004&lt;EDATE(A14,1))*'עסקאות'!$J$5:$J$1004)</f>
        <v/>
      </c>
      <c r="E14" s="50" t="n"/>
      <c r="F14" s="30">
        <f>IF(E14&lt;&gt;"",E14,IF(AND(TODAY()&gt;=A14,TODAY()&lt;EDATE(A14,1)),Equity,""))</f>
        <v/>
      </c>
      <c r="G14" s="31">
        <f>IF(OR(F14="",F13=""),"",IF((F13+B14)=0,"",(F14-F13-B14)/(F13+B14)))</f>
        <v/>
      </c>
      <c r="H14" s="31">
        <f>IF(G14="","",(1+IF(H13="",0,H13))*(1+G14)-1)</f>
        <v/>
      </c>
      <c r="I14" s="30">
        <f>IF(OR(F14="",F13=""),"",F14-F13-B14)</f>
        <v/>
      </c>
    </row>
    <row r="15">
      <c r="A15" s="49">
        <f>EDATE(A14,1)</f>
        <v/>
      </c>
      <c r="B15" s="30">
        <f>SUMPRODUCT(('עסקאות'!$A$5:$A$1004&gt;=A15)*('עסקאות'!$A$5:$A$1004&lt;EDATE(A15,1))*('עסקאות'!$B$5:$B$1004="הפקדה")*'עסקאות'!$F$5:$F$1004)-SUMPRODUCT(('עסקאות'!$A$5:$A$1004&gt;=A15)*('עסקאות'!$A$5:$A$1004&lt;EDATE(A15,1))*('עסקאות'!$B$5:$B$1004="משיכה")*'עסקאות'!$F$5:$F$1004)</f>
        <v/>
      </c>
      <c r="C15" s="30">
        <f>SUMPRODUCT(('עסקאות'!$A$5:$A$1004&gt;=A15)*('עסקאות'!$A$5:$A$1004&lt;EDATE(A15,1))*('עסקאות'!$B$5:$B$1004="דיבידנד")*'עסקאות'!$F$5:$F$1004)</f>
        <v/>
      </c>
      <c r="D15" s="30">
        <f>SUMPRODUCT(('עסקאות'!$A$5:$A$1004&gt;=A15)*('עסקאות'!$A$5:$A$1004&lt;EDATE(A15,1))*'עסקאות'!$J$5:$J$1004)</f>
        <v/>
      </c>
      <c r="E15" s="50" t="n"/>
      <c r="F15" s="30">
        <f>IF(E15&lt;&gt;"",E15,IF(AND(TODAY()&gt;=A15,TODAY()&lt;EDATE(A15,1)),Equity,""))</f>
        <v/>
      </c>
      <c r="G15" s="31">
        <f>IF(OR(F15="",F14=""),"",IF((F14+B15)=0,"",(F15-F14-B15)/(F14+B15)))</f>
        <v/>
      </c>
      <c r="H15" s="31">
        <f>IF(G15="","",(1+IF(H14="",0,H14))*(1+G15)-1)</f>
        <v/>
      </c>
      <c r="I15" s="30">
        <f>IF(OR(F15="",F14=""),"",F15-F14-B15)</f>
        <v/>
      </c>
    </row>
    <row r="16">
      <c r="A16" s="49">
        <f>EDATE(A15,1)</f>
        <v/>
      </c>
      <c r="B16" s="30">
        <f>SUMPRODUCT(('עסקאות'!$A$5:$A$1004&gt;=A16)*('עסקאות'!$A$5:$A$1004&lt;EDATE(A16,1))*('עסקאות'!$B$5:$B$1004="הפקדה")*'עסקאות'!$F$5:$F$1004)-SUMPRODUCT(('עסקאות'!$A$5:$A$1004&gt;=A16)*('עסקאות'!$A$5:$A$1004&lt;EDATE(A16,1))*('עסקאות'!$B$5:$B$1004="משיכה")*'עסקאות'!$F$5:$F$1004)</f>
        <v/>
      </c>
      <c r="C16" s="30">
        <f>SUMPRODUCT(('עסקאות'!$A$5:$A$1004&gt;=A16)*('עסקאות'!$A$5:$A$1004&lt;EDATE(A16,1))*('עסקאות'!$B$5:$B$1004="דיבידנד")*'עסקאות'!$F$5:$F$1004)</f>
        <v/>
      </c>
      <c r="D16" s="30">
        <f>SUMPRODUCT(('עסקאות'!$A$5:$A$1004&gt;=A16)*('עסקאות'!$A$5:$A$1004&lt;EDATE(A16,1))*'עסקאות'!$J$5:$J$1004)</f>
        <v/>
      </c>
      <c r="E16" s="50" t="n"/>
      <c r="F16" s="30">
        <f>IF(E16&lt;&gt;"",E16,IF(AND(TODAY()&gt;=A16,TODAY()&lt;EDATE(A16,1)),Equity,""))</f>
        <v/>
      </c>
      <c r="G16" s="31">
        <f>IF(OR(F16="",F15=""),"",IF((F15+B16)=0,"",(F16-F15-B16)/(F15+B16)))</f>
        <v/>
      </c>
      <c r="H16" s="31">
        <f>IF(G16="","",(1+IF(H15="",0,H15))*(1+G16)-1)</f>
        <v/>
      </c>
      <c r="I16" s="30">
        <f>IF(OR(F16="",F15=""),"",F16-F15-B16)</f>
        <v/>
      </c>
    </row>
    <row r="17">
      <c r="A17" s="49">
        <f>EDATE(A16,1)</f>
        <v/>
      </c>
      <c r="B17" s="30">
        <f>SUMPRODUCT(('עסקאות'!$A$5:$A$1004&gt;=A17)*('עסקאות'!$A$5:$A$1004&lt;EDATE(A17,1))*('עסקאות'!$B$5:$B$1004="הפקדה")*'עסקאות'!$F$5:$F$1004)-SUMPRODUCT(('עסקאות'!$A$5:$A$1004&gt;=A17)*('עסקאות'!$A$5:$A$1004&lt;EDATE(A17,1))*('עסקאות'!$B$5:$B$1004="משיכה")*'עסקאות'!$F$5:$F$1004)</f>
        <v/>
      </c>
      <c r="C17" s="30">
        <f>SUMPRODUCT(('עסקאות'!$A$5:$A$1004&gt;=A17)*('עסקאות'!$A$5:$A$1004&lt;EDATE(A17,1))*('עסקאות'!$B$5:$B$1004="דיבידנד")*'עסקאות'!$F$5:$F$1004)</f>
        <v/>
      </c>
      <c r="D17" s="30">
        <f>SUMPRODUCT(('עסקאות'!$A$5:$A$1004&gt;=A17)*('עסקאות'!$A$5:$A$1004&lt;EDATE(A17,1))*'עסקאות'!$J$5:$J$1004)</f>
        <v/>
      </c>
      <c r="E17" s="50" t="n"/>
      <c r="F17" s="30">
        <f>IF(E17&lt;&gt;"",E17,IF(AND(TODAY()&gt;=A17,TODAY()&lt;EDATE(A17,1)),Equity,""))</f>
        <v/>
      </c>
      <c r="G17" s="31">
        <f>IF(OR(F17="",F16=""),"",IF((F16+B17)=0,"",(F17-F16-B17)/(F16+B17)))</f>
        <v/>
      </c>
      <c r="H17" s="31">
        <f>IF(G17="","",(1+IF(H16="",0,H16))*(1+G17)-1)</f>
        <v/>
      </c>
      <c r="I17" s="30">
        <f>IF(OR(F17="",F16=""),"",F17-F16-B17)</f>
        <v/>
      </c>
    </row>
    <row r="18">
      <c r="A18" s="49">
        <f>EDATE(A17,1)</f>
        <v/>
      </c>
      <c r="B18" s="30">
        <f>SUMPRODUCT(('עסקאות'!$A$5:$A$1004&gt;=A18)*('עסקאות'!$A$5:$A$1004&lt;EDATE(A18,1))*('עסקאות'!$B$5:$B$1004="הפקדה")*'עסקאות'!$F$5:$F$1004)-SUMPRODUCT(('עסקאות'!$A$5:$A$1004&gt;=A18)*('עסקאות'!$A$5:$A$1004&lt;EDATE(A18,1))*('עסקאות'!$B$5:$B$1004="משיכה")*'עסקאות'!$F$5:$F$1004)</f>
        <v/>
      </c>
      <c r="C18" s="30">
        <f>SUMPRODUCT(('עסקאות'!$A$5:$A$1004&gt;=A18)*('עסקאות'!$A$5:$A$1004&lt;EDATE(A18,1))*('עסקאות'!$B$5:$B$1004="דיבידנד")*'עסקאות'!$F$5:$F$1004)</f>
        <v/>
      </c>
      <c r="D18" s="30">
        <f>SUMPRODUCT(('עסקאות'!$A$5:$A$1004&gt;=A18)*('עסקאות'!$A$5:$A$1004&lt;EDATE(A18,1))*'עסקאות'!$J$5:$J$1004)</f>
        <v/>
      </c>
      <c r="E18" s="50" t="n"/>
      <c r="F18" s="30">
        <f>IF(E18&lt;&gt;"",E18,IF(AND(TODAY()&gt;=A18,TODAY()&lt;EDATE(A18,1)),Equity,""))</f>
        <v/>
      </c>
      <c r="G18" s="31">
        <f>IF(OR(F18="",F17=""),"",IF((F17+B18)=0,"",(F18-F17-B18)/(F17+B18)))</f>
        <v/>
      </c>
      <c r="H18" s="31">
        <f>IF(G18="","",(1+IF(H17="",0,H17))*(1+G18)-1)</f>
        <v/>
      </c>
      <c r="I18" s="30">
        <f>IF(OR(F18="",F17=""),"",F18-F17-B18)</f>
        <v/>
      </c>
    </row>
    <row r="19">
      <c r="A19" s="49">
        <f>EDATE(A18,1)</f>
        <v/>
      </c>
      <c r="B19" s="30">
        <f>SUMPRODUCT(('עסקאות'!$A$5:$A$1004&gt;=A19)*('עסקאות'!$A$5:$A$1004&lt;EDATE(A19,1))*('עסקאות'!$B$5:$B$1004="הפקדה")*'עסקאות'!$F$5:$F$1004)-SUMPRODUCT(('עסקאות'!$A$5:$A$1004&gt;=A19)*('עסקאות'!$A$5:$A$1004&lt;EDATE(A19,1))*('עסקאות'!$B$5:$B$1004="משיכה")*'עסקאות'!$F$5:$F$1004)</f>
        <v/>
      </c>
      <c r="C19" s="30">
        <f>SUMPRODUCT(('עסקאות'!$A$5:$A$1004&gt;=A19)*('עסקאות'!$A$5:$A$1004&lt;EDATE(A19,1))*('עסקאות'!$B$5:$B$1004="דיבידנד")*'עסקאות'!$F$5:$F$1004)</f>
        <v/>
      </c>
      <c r="D19" s="30">
        <f>SUMPRODUCT(('עסקאות'!$A$5:$A$1004&gt;=A19)*('עסקאות'!$A$5:$A$1004&lt;EDATE(A19,1))*'עסקאות'!$J$5:$J$1004)</f>
        <v/>
      </c>
      <c r="E19" s="50" t="n"/>
      <c r="F19" s="30">
        <f>IF(E19&lt;&gt;"",E19,IF(AND(TODAY()&gt;=A19,TODAY()&lt;EDATE(A19,1)),Equity,""))</f>
        <v/>
      </c>
      <c r="G19" s="31">
        <f>IF(OR(F19="",F18=""),"",IF((F18+B19)=0,"",(F19-F18-B19)/(F18+B19)))</f>
        <v/>
      </c>
      <c r="H19" s="31">
        <f>IF(G19="","",(1+IF(H18="",0,H18))*(1+G19)-1)</f>
        <v/>
      </c>
      <c r="I19" s="30">
        <f>IF(OR(F19="",F18=""),"",F19-F18-B19)</f>
        <v/>
      </c>
    </row>
    <row r="20">
      <c r="A20" s="49">
        <f>EDATE(A19,1)</f>
        <v/>
      </c>
      <c r="B20" s="30">
        <f>SUMPRODUCT(('עסקאות'!$A$5:$A$1004&gt;=A20)*('עסקאות'!$A$5:$A$1004&lt;EDATE(A20,1))*('עסקאות'!$B$5:$B$1004="הפקדה")*'עסקאות'!$F$5:$F$1004)-SUMPRODUCT(('עסקאות'!$A$5:$A$1004&gt;=A20)*('עסקאות'!$A$5:$A$1004&lt;EDATE(A20,1))*('עסקאות'!$B$5:$B$1004="משיכה")*'עסקאות'!$F$5:$F$1004)</f>
        <v/>
      </c>
      <c r="C20" s="30">
        <f>SUMPRODUCT(('עסקאות'!$A$5:$A$1004&gt;=A20)*('עסקאות'!$A$5:$A$1004&lt;EDATE(A20,1))*('עסקאות'!$B$5:$B$1004="דיבידנד")*'עסקאות'!$F$5:$F$1004)</f>
        <v/>
      </c>
      <c r="D20" s="30">
        <f>SUMPRODUCT(('עסקאות'!$A$5:$A$1004&gt;=A20)*('עסקאות'!$A$5:$A$1004&lt;EDATE(A20,1))*'עסקאות'!$J$5:$J$1004)</f>
        <v/>
      </c>
      <c r="E20" s="50" t="n"/>
      <c r="F20" s="30">
        <f>IF(E20&lt;&gt;"",E20,IF(AND(TODAY()&gt;=A20,TODAY()&lt;EDATE(A20,1)),Equity,""))</f>
        <v/>
      </c>
      <c r="G20" s="31">
        <f>IF(OR(F20="",F19=""),"",IF((F19+B20)=0,"",(F20-F19-B20)/(F19+B20)))</f>
        <v/>
      </c>
      <c r="H20" s="31">
        <f>IF(G20="","",(1+IF(H19="",0,H19))*(1+G20)-1)</f>
        <v/>
      </c>
      <c r="I20" s="30">
        <f>IF(OR(F20="",F19=""),"",F20-F19-B20)</f>
        <v/>
      </c>
    </row>
    <row r="21">
      <c r="A21" s="49">
        <f>EDATE(A20,1)</f>
        <v/>
      </c>
      <c r="B21" s="30">
        <f>SUMPRODUCT(('עסקאות'!$A$5:$A$1004&gt;=A21)*('עסקאות'!$A$5:$A$1004&lt;EDATE(A21,1))*('עסקאות'!$B$5:$B$1004="הפקדה")*'עסקאות'!$F$5:$F$1004)-SUMPRODUCT(('עסקאות'!$A$5:$A$1004&gt;=A21)*('עסקאות'!$A$5:$A$1004&lt;EDATE(A21,1))*('עסקאות'!$B$5:$B$1004="משיכה")*'עסקאות'!$F$5:$F$1004)</f>
        <v/>
      </c>
      <c r="C21" s="30">
        <f>SUMPRODUCT(('עסקאות'!$A$5:$A$1004&gt;=A21)*('עסקאות'!$A$5:$A$1004&lt;EDATE(A21,1))*('עסקאות'!$B$5:$B$1004="דיבידנד")*'עסקאות'!$F$5:$F$1004)</f>
        <v/>
      </c>
      <c r="D21" s="30">
        <f>SUMPRODUCT(('עסקאות'!$A$5:$A$1004&gt;=A21)*('עסקאות'!$A$5:$A$1004&lt;EDATE(A21,1))*'עסקאות'!$J$5:$J$1004)</f>
        <v/>
      </c>
      <c r="E21" s="50" t="n"/>
      <c r="F21" s="30">
        <f>IF(E21&lt;&gt;"",E21,IF(AND(TODAY()&gt;=A21,TODAY()&lt;EDATE(A21,1)),Equity,""))</f>
        <v/>
      </c>
      <c r="G21" s="31">
        <f>IF(OR(F21="",F20=""),"",IF((F20+B21)=0,"",(F21-F20-B21)/(F20+B21)))</f>
        <v/>
      </c>
      <c r="H21" s="31">
        <f>IF(G21="","",(1+IF(H20="",0,H20))*(1+G21)-1)</f>
        <v/>
      </c>
      <c r="I21" s="30">
        <f>IF(OR(F21="",F20=""),"",F21-F20-B21)</f>
        <v/>
      </c>
    </row>
    <row r="22">
      <c r="A22" s="49">
        <f>EDATE(A21,1)</f>
        <v/>
      </c>
      <c r="B22" s="30">
        <f>SUMPRODUCT(('עסקאות'!$A$5:$A$1004&gt;=A22)*('עסקאות'!$A$5:$A$1004&lt;EDATE(A22,1))*('עסקאות'!$B$5:$B$1004="הפקדה")*'עסקאות'!$F$5:$F$1004)-SUMPRODUCT(('עסקאות'!$A$5:$A$1004&gt;=A22)*('עסקאות'!$A$5:$A$1004&lt;EDATE(A22,1))*('עסקאות'!$B$5:$B$1004="משיכה")*'עסקאות'!$F$5:$F$1004)</f>
        <v/>
      </c>
      <c r="C22" s="30">
        <f>SUMPRODUCT(('עסקאות'!$A$5:$A$1004&gt;=A22)*('עסקאות'!$A$5:$A$1004&lt;EDATE(A22,1))*('עסקאות'!$B$5:$B$1004="דיבידנד")*'עסקאות'!$F$5:$F$1004)</f>
        <v/>
      </c>
      <c r="D22" s="30">
        <f>SUMPRODUCT(('עסקאות'!$A$5:$A$1004&gt;=A22)*('עסקאות'!$A$5:$A$1004&lt;EDATE(A22,1))*'עסקאות'!$J$5:$J$1004)</f>
        <v/>
      </c>
      <c r="E22" s="50" t="n"/>
      <c r="F22" s="30">
        <f>IF(E22&lt;&gt;"",E22,IF(AND(TODAY()&gt;=A22,TODAY()&lt;EDATE(A22,1)),Equity,""))</f>
        <v/>
      </c>
      <c r="G22" s="31">
        <f>IF(OR(F22="",F21=""),"",IF((F21+B22)=0,"",(F22-F21-B22)/(F21+B22)))</f>
        <v/>
      </c>
      <c r="H22" s="31">
        <f>IF(G22="","",(1+IF(H21="",0,H21))*(1+G22)-1)</f>
        <v/>
      </c>
      <c r="I22" s="30">
        <f>IF(OR(F22="",F21=""),"",F22-F21-B22)</f>
        <v/>
      </c>
    </row>
    <row r="23">
      <c r="A23" s="49">
        <f>EDATE(A22,1)</f>
        <v/>
      </c>
      <c r="B23" s="30">
        <f>SUMPRODUCT(('עסקאות'!$A$5:$A$1004&gt;=A23)*('עסקאות'!$A$5:$A$1004&lt;EDATE(A23,1))*('עסקאות'!$B$5:$B$1004="הפקדה")*'עסקאות'!$F$5:$F$1004)-SUMPRODUCT(('עסקאות'!$A$5:$A$1004&gt;=A23)*('עסקאות'!$A$5:$A$1004&lt;EDATE(A23,1))*('עסקאות'!$B$5:$B$1004="משיכה")*'עסקאות'!$F$5:$F$1004)</f>
        <v/>
      </c>
      <c r="C23" s="30">
        <f>SUMPRODUCT(('עסקאות'!$A$5:$A$1004&gt;=A23)*('עסקאות'!$A$5:$A$1004&lt;EDATE(A23,1))*('עסקאות'!$B$5:$B$1004="דיבידנד")*'עסקאות'!$F$5:$F$1004)</f>
        <v/>
      </c>
      <c r="D23" s="30">
        <f>SUMPRODUCT(('עסקאות'!$A$5:$A$1004&gt;=A23)*('עסקאות'!$A$5:$A$1004&lt;EDATE(A23,1))*'עסקאות'!$J$5:$J$1004)</f>
        <v/>
      </c>
      <c r="E23" s="50" t="n"/>
      <c r="F23" s="30">
        <f>IF(E23&lt;&gt;"",E23,IF(AND(TODAY()&gt;=A23,TODAY()&lt;EDATE(A23,1)),Equity,""))</f>
        <v/>
      </c>
      <c r="G23" s="31">
        <f>IF(OR(F23="",F22=""),"",IF((F22+B23)=0,"",(F23-F22-B23)/(F22+B23)))</f>
        <v/>
      </c>
      <c r="H23" s="31">
        <f>IF(G23="","",(1+IF(H22="",0,H22))*(1+G23)-1)</f>
        <v/>
      </c>
      <c r="I23" s="30">
        <f>IF(OR(F23="",F22=""),"",F23-F22-B23)</f>
        <v/>
      </c>
    </row>
    <row r="24">
      <c r="A24" s="49">
        <f>EDATE(A23,1)</f>
        <v/>
      </c>
      <c r="B24" s="30">
        <f>SUMPRODUCT(('עסקאות'!$A$5:$A$1004&gt;=A24)*('עסקאות'!$A$5:$A$1004&lt;EDATE(A24,1))*('עסקאות'!$B$5:$B$1004="הפקדה")*'עסקאות'!$F$5:$F$1004)-SUMPRODUCT(('עסקאות'!$A$5:$A$1004&gt;=A24)*('עסקאות'!$A$5:$A$1004&lt;EDATE(A24,1))*('עסקאות'!$B$5:$B$1004="משיכה")*'עסקאות'!$F$5:$F$1004)</f>
        <v/>
      </c>
      <c r="C24" s="30">
        <f>SUMPRODUCT(('עסקאות'!$A$5:$A$1004&gt;=A24)*('עסקאות'!$A$5:$A$1004&lt;EDATE(A24,1))*('עסקאות'!$B$5:$B$1004="דיבידנד")*'עסקאות'!$F$5:$F$1004)</f>
        <v/>
      </c>
      <c r="D24" s="30">
        <f>SUMPRODUCT(('עסקאות'!$A$5:$A$1004&gt;=A24)*('עסקאות'!$A$5:$A$1004&lt;EDATE(A24,1))*'עסקאות'!$J$5:$J$1004)</f>
        <v/>
      </c>
      <c r="E24" s="50" t="n"/>
      <c r="F24" s="30">
        <f>IF(E24&lt;&gt;"",E24,IF(AND(TODAY()&gt;=A24,TODAY()&lt;EDATE(A24,1)),Equity,""))</f>
        <v/>
      </c>
      <c r="G24" s="31">
        <f>IF(OR(F24="",F23=""),"",IF((F23+B24)=0,"",(F24-F23-B24)/(F23+B24)))</f>
        <v/>
      </c>
      <c r="H24" s="31">
        <f>IF(G24="","",(1+IF(H23="",0,H23))*(1+G24)-1)</f>
        <v/>
      </c>
      <c r="I24" s="30">
        <f>IF(OR(F24="",F23=""),"",F24-F23-B24)</f>
        <v/>
      </c>
    </row>
    <row r="25">
      <c r="A25" s="49">
        <f>EDATE(A24,1)</f>
        <v/>
      </c>
      <c r="B25" s="30">
        <f>SUMPRODUCT(('עסקאות'!$A$5:$A$1004&gt;=A25)*('עסקאות'!$A$5:$A$1004&lt;EDATE(A25,1))*('עסקאות'!$B$5:$B$1004="הפקדה")*'עסקאות'!$F$5:$F$1004)-SUMPRODUCT(('עסקאות'!$A$5:$A$1004&gt;=A25)*('עסקאות'!$A$5:$A$1004&lt;EDATE(A25,1))*('עסקאות'!$B$5:$B$1004="משיכה")*'עסקאות'!$F$5:$F$1004)</f>
        <v/>
      </c>
      <c r="C25" s="30">
        <f>SUMPRODUCT(('עסקאות'!$A$5:$A$1004&gt;=A25)*('עסקאות'!$A$5:$A$1004&lt;EDATE(A25,1))*('עסקאות'!$B$5:$B$1004="דיבידנד")*'עסקאות'!$F$5:$F$1004)</f>
        <v/>
      </c>
      <c r="D25" s="30">
        <f>SUMPRODUCT(('עסקאות'!$A$5:$A$1004&gt;=A25)*('עסקאות'!$A$5:$A$1004&lt;EDATE(A25,1))*'עסקאות'!$J$5:$J$1004)</f>
        <v/>
      </c>
      <c r="E25" s="50" t="n"/>
      <c r="F25" s="30">
        <f>IF(E25&lt;&gt;"",E25,IF(AND(TODAY()&gt;=A25,TODAY()&lt;EDATE(A25,1)),Equity,""))</f>
        <v/>
      </c>
      <c r="G25" s="31">
        <f>IF(OR(F25="",F24=""),"",IF((F24+B25)=0,"",(F25-F24-B25)/(F24+B25)))</f>
        <v/>
      </c>
      <c r="H25" s="31">
        <f>IF(G25="","",(1+IF(H24="",0,H24))*(1+G25)-1)</f>
        <v/>
      </c>
      <c r="I25" s="30">
        <f>IF(OR(F25="",F24=""),"",F25-F24-B25)</f>
        <v/>
      </c>
    </row>
    <row r="26">
      <c r="A26" s="49">
        <f>EDATE(A25,1)</f>
        <v/>
      </c>
      <c r="B26" s="30">
        <f>SUMPRODUCT(('עסקאות'!$A$5:$A$1004&gt;=A26)*('עסקאות'!$A$5:$A$1004&lt;EDATE(A26,1))*('עסקאות'!$B$5:$B$1004="הפקדה")*'עסקאות'!$F$5:$F$1004)-SUMPRODUCT(('עסקאות'!$A$5:$A$1004&gt;=A26)*('עסקאות'!$A$5:$A$1004&lt;EDATE(A26,1))*('עסקאות'!$B$5:$B$1004="משיכה")*'עסקאות'!$F$5:$F$1004)</f>
        <v/>
      </c>
      <c r="C26" s="30">
        <f>SUMPRODUCT(('עסקאות'!$A$5:$A$1004&gt;=A26)*('עסקאות'!$A$5:$A$1004&lt;EDATE(A26,1))*('עסקאות'!$B$5:$B$1004="דיבידנד")*'עסקאות'!$F$5:$F$1004)</f>
        <v/>
      </c>
      <c r="D26" s="30">
        <f>SUMPRODUCT(('עסקאות'!$A$5:$A$1004&gt;=A26)*('עסקאות'!$A$5:$A$1004&lt;EDATE(A26,1))*'עסקאות'!$J$5:$J$1004)</f>
        <v/>
      </c>
      <c r="E26" s="50" t="n"/>
      <c r="F26" s="30">
        <f>IF(E26&lt;&gt;"",E26,IF(AND(TODAY()&gt;=A26,TODAY()&lt;EDATE(A26,1)),Equity,""))</f>
        <v/>
      </c>
      <c r="G26" s="31">
        <f>IF(OR(F26="",F25=""),"",IF((F25+B26)=0,"",(F26-F25-B26)/(F25+B26)))</f>
        <v/>
      </c>
      <c r="H26" s="31">
        <f>IF(G26="","",(1+IF(H25="",0,H25))*(1+G26)-1)</f>
        <v/>
      </c>
      <c r="I26" s="30">
        <f>IF(OR(F26="",F25=""),"",F26-F25-B26)</f>
        <v/>
      </c>
    </row>
    <row r="27">
      <c r="A27" s="49">
        <f>EDATE(A26,1)</f>
        <v/>
      </c>
      <c r="B27" s="30">
        <f>SUMPRODUCT(('עסקאות'!$A$5:$A$1004&gt;=A27)*('עסקאות'!$A$5:$A$1004&lt;EDATE(A27,1))*('עסקאות'!$B$5:$B$1004="הפקדה")*'עסקאות'!$F$5:$F$1004)-SUMPRODUCT(('עסקאות'!$A$5:$A$1004&gt;=A27)*('עסקאות'!$A$5:$A$1004&lt;EDATE(A27,1))*('עסקאות'!$B$5:$B$1004="משיכה")*'עסקאות'!$F$5:$F$1004)</f>
        <v/>
      </c>
      <c r="C27" s="30">
        <f>SUMPRODUCT(('עסקאות'!$A$5:$A$1004&gt;=A27)*('עסקאות'!$A$5:$A$1004&lt;EDATE(A27,1))*('עסקאות'!$B$5:$B$1004="דיבידנד")*'עסקאות'!$F$5:$F$1004)</f>
        <v/>
      </c>
      <c r="D27" s="30">
        <f>SUMPRODUCT(('עסקאות'!$A$5:$A$1004&gt;=A27)*('עסקאות'!$A$5:$A$1004&lt;EDATE(A27,1))*'עסקאות'!$J$5:$J$1004)</f>
        <v/>
      </c>
      <c r="E27" s="50" t="n"/>
      <c r="F27" s="30">
        <f>IF(E27&lt;&gt;"",E27,IF(AND(TODAY()&gt;=A27,TODAY()&lt;EDATE(A27,1)),Equity,""))</f>
        <v/>
      </c>
      <c r="G27" s="31">
        <f>IF(OR(F27="",F26=""),"",IF((F26+B27)=0,"",(F27-F26-B27)/(F26+B27)))</f>
        <v/>
      </c>
      <c r="H27" s="31">
        <f>IF(G27="","",(1+IF(H26="",0,H26))*(1+G27)-1)</f>
        <v/>
      </c>
      <c r="I27" s="30">
        <f>IF(OR(F27="",F26=""),"",F27-F26-B27)</f>
        <v/>
      </c>
    </row>
    <row r="28">
      <c r="A28" s="49">
        <f>EDATE(A27,1)</f>
        <v/>
      </c>
      <c r="B28" s="30">
        <f>SUMPRODUCT(('עסקאות'!$A$5:$A$1004&gt;=A28)*('עסקאות'!$A$5:$A$1004&lt;EDATE(A28,1))*('עסקאות'!$B$5:$B$1004="הפקדה")*'עסקאות'!$F$5:$F$1004)-SUMPRODUCT(('עסקאות'!$A$5:$A$1004&gt;=A28)*('עסקאות'!$A$5:$A$1004&lt;EDATE(A28,1))*('עסקאות'!$B$5:$B$1004="משיכה")*'עסקאות'!$F$5:$F$1004)</f>
        <v/>
      </c>
      <c r="C28" s="30">
        <f>SUMPRODUCT(('עסקאות'!$A$5:$A$1004&gt;=A28)*('עסקאות'!$A$5:$A$1004&lt;EDATE(A28,1))*('עסקאות'!$B$5:$B$1004="דיבידנד")*'עסקאות'!$F$5:$F$1004)</f>
        <v/>
      </c>
      <c r="D28" s="30">
        <f>SUMPRODUCT(('עסקאות'!$A$5:$A$1004&gt;=A28)*('עסקאות'!$A$5:$A$1004&lt;EDATE(A28,1))*'עסקאות'!$J$5:$J$1004)</f>
        <v/>
      </c>
      <c r="E28" s="50" t="n"/>
      <c r="F28" s="30">
        <f>IF(E28&lt;&gt;"",E28,IF(AND(TODAY()&gt;=A28,TODAY()&lt;EDATE(A28,1)),Equity,""))</f>
        <v/>
      </c>
      <c r="G28" s="31">
        <f>IF(OR(F28="",F27=""),"",IF((F27+B28)=0,"",(F28-F27-B28)/(F27+B28)))</f>
        <v/>
      </c>
      <c r="H28" s="31">
        <f>IF(G28="","",(1+IF(H27="",0,H27))*(1+G28)-1)</f>
        <v/>
      </c>
      <c r="I28" s="30">
        <f>IF(OR(F28="",F27=""),"",F28-F27-B28)</f>
        <v/>
      </c>
    </row>
  </sheetData>
  <mergeCells count="2">
    <mergeCell ref="A1:I1"/>
    <mergeCell ref="A2:I2"/>
  </mergeCells>
  <conditionalFormatting sqref="G5:I28">
    <cfRule type="cellIs" priority="1" operator="greaterThan" dxfId="5">
      <formula>0</formula>
    </cfRule>
    <cfRule type="cellIs" priority="2" operator="lessThan" dxfId="6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7F8C8D"/>
    <outlinePr summaryBelow="1" summaryRight="1"/>
    <pageSetUpPr/>
  </sheetPr>
  <dimension ref="A1:C28"/>
  <sheetViews>
    <sheetView showGridLines="0" rightToLeft="1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</cols>
  <sheetData>
    <row r="1" ht="34" customHeight="1">
      <c r="A1" s="1" t="inlineStr">
        <is>
          <t>⚙️ הגדרות</t>
        </is>
      </c>
    </row>
    <row r="2" ht="20" customHeight="1">
      <c r="A2" s="2" t="inlineStr">
        <is>
          <t>כל ההנחות במקום אחד. התאים הצהובים הם שלך.</t>
        </is>
      </c>
    </row>
    <row r="4">
      <c r="A4" s="5" t="inlineStr">
        <is>
          <t>סיכון מרבי לעסקה (% מהתיק)</t>
        </is>
      </c>
      <c r="B4" s="51" t="n">
        <v>0.01</v>
      </c>
      <c r="C4" s="52" t="inlineStr">
        <is>
          <t>כלל אצבע: 1%. בתיק של $100,000 — הפסד מרבי של $1,000 לעסקה.</t>
        </is>
      </c>
    </row>
    <row r="5">
      <c r="A5" s="5" t="inlineStr">
        <is>
          <t>תקרת סיכון כוללת לתיק (חום)</t>
        </is>
      </c>
      <c r="B5" s="51" t="n">
        <v>0.08</v>
      </c>
      <c r="C5" s="52" t="inlineStr">
        <is>
          <t>סך ההפסד האפשרי אם כל הסטופים ייפגעו יחד.</t>
        </is>
      </c>
    </row>
    <row r="6">
      <c r="A6" s="5" t="inlineStr">
        <is>
          <t>סף "קרוב לסטופ"</t>
        </is>
      </c>
      <c r="B6" s="51" t="n">
        <v>0.02</v>
      </c>
      <c r="C6" s="52" t="inlineStr">
        <is>
          <t>מתחת למרחק הזה מהסטופ תופיע התראה.</t>
        </is>
      </c>
    </row>
    <row r="7">
      <c r="A7" s="5" t="inlineStr">
        <is>
          <t>R למימוש חלקי</t>
        </is>
      </c>
      <c r="B7" s="53" t="n">
        <v>3</v>
      </c>
      <c r="C7" s="52" t="inlineStr">
        <is>
          <t>מעל מכפיל רווח זה תוצע מכירה חלקית.</t>
        </is>
      </c>
    </row>
    <row r="8">
      <c r="A8" s="5" t="inlineStr">
        <is>
          <t>גודל פוזיציה מרבי (% מהתיק)</t>
        </is>
      </c>
      <c r="B8" s="51" t="n">
        <v>0.2</v>
      </c>
      <c r="C8" s="52" t="inlineStr">
        <is>
          <t>תקרה לגודל פוזיציה חדשה, גם אם הסטופ צמוד.</t>
        </is>
      </c>
    </row>
    <row r="9">
      <c r="A9" s="5" t="inlineStr">
        <is>
          <t>רוחב אזור כניסה ברשימת מעקב</t>
        </is>
      </c>
      <c r="B9" s="51" t="n">
        <v>0.015</v>
      </c>
      <c r="C9" s="52" t="inlineStr">
        <is>
          <t>מחיר עד X% מעל מחיר הכניסה נחשב "באזור".</t>
        </is>
      </c>
    </row>
    <row r="10">
      <c r="A10" s="5" t="inlineStr">
        <is>
          <t>שער דולר-שקל ידני</t>
        </is>
      </c>
      <c r="B10" s="54" t="n">
        <v>3.65</v>
      </c>
      <c r="C10" s="52" t="inlineStr">
        <is>
          <t>גיבוי לשער החי (משמש באקסל). עדכן מדי פעם.</t>
        </is>
      </c>
    </row>
    <row r="11">
      <c r="A11" s="5" t="inlineStr">
        <is>
          <t>שער דולר-שקל בשימוש</t>
        </is>
      </c>
      <c r="B11" s="55">
        <f>IFERROR(GOOGLEFINANCE("CURRENCY:USDILS"),FxManual)</f>
        <v/>
      </c>
      <c r="C11" s="52" t="inlineStr">
        <is>
          <t>חי ב-Google Sheets, ידני באקסל.</t>
        </is>
      </c>
    </row>
    <row r="12">
      <c r="A12" s="5" t="inlineStr">
        <is>
          <t>שנת לוח הדיבידנדים</t>
        </is>
      </c>
      <c r="B12" s="56" t="n">
        <v>2026</v>
      </c>
      <c r="C12" s="52" t="inlineStr">
        <is>
          <t>השנה שמוצגת בלשונית דיבידנדים.</t>
        </is>
      </c>
    </row>
    <row r="13">
      <c r="A13" s="5" t="inlineStr">
        <is>
          <t>חודש התחלת מעקב ביצועים</t>
        </is>
      </c>
      <c r="B13" s="57" t="n">
        <v>46023</v>
      </c>
      <c r="C13" s="52" t="inlineStr">
        <is>
          <t>החודש הראשון בטבלת הביצועים (24 חודשים).</t>
        </is>
      </c>
    </row>
    <row r="15">
      <c r="A15" s="15" t="inlineStr">
        <is>
          <t>סקטורים</t>
        </is>
      </c>
      <c r="C15" s="52" t="inlineStr">
        <is>
          <t>רשימת הסקטורים לבחירה בטבלת התיק. אפשר לשנות שמות.</t>
        </is>
      </c>
    </row>
    <row r="16">
      <c r="A16" s="58" t="inlineStr">
        <is>
          <t>טכנולוגיה</t>
        </is>
      </c>
    </row>
    <row r="17">
      <c r="A17" s="58" t="inlineStr">
        <is>
          <t>תקשורת</t>
        </is>
      </c>
    </row>
    <row r="18">
      <c r="A18" s="58" t="inlineStr">
        <is>
          <t>צריכה מחזורית</t>
        </is>
      </c>
    </row>
    <row r="19">
      <c r="A19" s="58" t="inlineStr">
        <is>
          <t>צריכה בסיסית</t>
        </is>
      </c>
    </row>
    <row r="20">
      <c r="A20" s="58" t="inlineStr">
        <is>
          <t>בריאות</t>
        </is>
      </c>
    </row>
    <row r="21">
      <c r="A21" s="58" t="inlineStr">
        <is>
          <t>פיננסים</t>
        </is>
      </c>
    </row>
    <row r="22">
      <c r="A22" s="58" t="inlineStr">
        <is>
          <t>תעשייה</t>
        </is>
      </c>
    </row>
    <row r="23">
      <c r="A23" s="58" t="inlineStr">
        <is>
          <t>אנרגיה</t>
        </is>
      </c>
    </row>
    <row r="24">
      <c r="A24" s="58" t="inlineStr">
        <is>
          <t>חומרים</t>
        </is>
      </c>
    </row>
    <row r="25">
      <c r="A25" s="58" t="inlineStr">
        <is>
          <t>נדל"ן</t>
        </is>
      </c>
    </row>
    <row r="26">
      <c r="A26" s="58" t="inlineStr">
        <is>
          <t>תשתיות</t>
        </is>
      </c>
    </row>
    <row r="27">
      <c r="A27" s="58" t="inlineStr">
        <is>
          <t>ETF / מדד</t>
        </is>
      </c>
    </row>
    <row r="28">
      <c r="A28" s="58" t="inlineStr">
        <is>
          <t>אחר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2026-10-05T15:08:30Z</dcterms:created>
  <dcterms:modified xsi:type="dcterms:W3CDTF">2026-10-05T15:08:31Z</dcterms:modified>
</cp:coreProperties>
</file>