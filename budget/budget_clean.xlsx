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3.xml.rels" ContentType="application/vnd.openxmlformats-package.relationships+xml"/>
  <Override PartName="/xl/drawings/_rels/drawing8.xml.rels" ContentType="application/vnd.openxmlformats-package.relationships+xml"/>
  <Override PartName="/xl/drawings/_rels/drawing13.xml.rels" ContentType="application/vnd.openxmlformats-package.relationships+xml"/>
  <Override PartName="/xl/drawings/_rels/drawing4.xml.rels" ContentType="application/vnd.openxmlformats-package.relationships+xml"/>
  <Override PartName="/xl/drawings/_rels/drawing14.xml.rels" ContentType="application/vnd.openxmlformats-package.relationships+xml"/>
  <Override PartName="/xl/drawings/_rels/drawing9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15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_rels/drawing7.xml.rels" ContentType="application/vnd.openxmlformats-package.relationships+xml"/>
  <Override PartName="/xl/drawings/_rels/drawing12.xml.rels" ContentType="application/vnd.openxmlformats-package.relationships+xml"/>
  <Override PartName="/xl/drawings/_rels/drawing2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20.xml" ContentType="application/vnd.openxmlformats-officedocument.drawingml.chart+xml"/>
  <Override PartName="/xl/charts/chart19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הוראות" sheetId="1" state="visible" r:id="rId3"/>
    <sheet name="לוח שנתי" sheetId="2" state="visible" r:id="rId4"/>
    <sheet name="תנועות" sheetId="3" state="visible" r:id="rId5"/>
    <sheet name="ינואר" sheetId="4" state="visible" r:id="rId6"/>
    <sheet name="פברואר" sheetId="5" state="visible" r:id="rId7"/>
    <sheet name="מרץ" sheetId="6" state="visible" r:id="rId8"/>
    <sheet name="אפריל" sheetId="7" state="visible" r:id="rId9"/>
    <sheet name="מאי" sheetId="8" state="visible" r:id="rId10"/>
    <sheet name="יוני" sheetId="9" state="visible" r:id="rId11"/>
    <sheet name="יולי" sheetId="10" state="visible" r:id="rId12"/>
    <sheet name="אוגוסט" sheetId="11" state="visible" r:id="rId13"/>
    <sheet name="ספטמבר" sheetId="12" state="visible" r:id="rId14"/>
    <sheet name="אוקטובר" sheetId="13" state="visible" r:id="rId15"/>
    <sheet name="נובמבר" sheetId="14" state="visible" r:id="rId16"/>
    <sheet name="דצמבר" sheetId="15" state="visible" r:id="rId17"/>
    <sheet name="חיסכון" sheetId="16" state="visible" r:id="rId18"/>
    <sheet name="חובות" sheetId="17" state="visible" r:id="rId19"/>
    <sheet name="הגדרות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<sst xmlns="http://schemas.openxmlformats.org/spreadsheetml/2006/main" count="993" uniqueCount="170">
  <si>
    <t xml:space="preserve">📖 תבנית ניהול תקציב שנתי – איך מתחילים?</t>
  </si>
  <si>
    <t xml:space="preserve">טבלת תקציב בעברית מלאה • עובדת ישירות ב-Google Sheets • בלי התקנות ובלי ניסיון קודם</t>
  </si>
  <si>
    <t xml:space="preserve">⚙️ שלב 1 – הגדרות</t>
  </si>
  <si>
    <t xml:space="preserve">בלשונית 'הגדרות' בחרו את שנת התקציב, ורשמו את הקטגוריות שלכם בכל אחד מ-5 הסוגים: הכנסות, תוכניות חיסכון, חשבונות ומנויים, הוצאות משתנות וחובות. לכל קטגוריה הזינו סכום ותדירות – חודשי, דו-שבועי, שבועי, דו-חודשי או שנתי – והתקציב החודשי יחושב אוטומטית.</t>
  </si>
  <si>
    <t xml:space="preserve">📝 שלב 2 – יומן תנועות</t>
  </si>
  <si>
    <t xml:space="preserve">בכל פעם שנכנס או יוצא כסף, הוסיפו שורה בלשונית 'תנועות': תאריך, קטגוריה מהרשימה, תיאור (לא חובה) וסכום חיובי. הסוג והחודש מתמלאים לבד. זה המקום היחיד שבו מזינים נתונים שוטפים.</t>
  </si>
  <si>
    <t xml:space="preserve">🗓️ שלב 3 – לשוניות החודשים</t>
  </si>
  <si>
    <t xml:space="preserve">12 לשוניות (ינואר–דצמבר) מציגות לכל חודש: כרטיסי סיכום, תקציב מול בפועל לכל קטגוריה, מעקב שבועי להוצאות המשתנות וגרפים. רוצים תקציב שונה לחודש מסוים? פשוט הקלידו סכום בעמודת 'תקציב' באותו חודש.</t>
  </si>
  <si>
    <t xml:space="preserve">📊 שלב 4 – לוח שנתי</t>
  </si>
  <si>
    <t xml:space="preserve">תמונה מלאה של כל השנה: הכנסות מול יציאות לפי חודש, תקציב שנתי מול בפועל, פירוט לכל קטגוריה וגרפים שמראים בדיוק לאן הכסף הולך.</t>
  </si>
  <si>
    <t xml:space="preserve">🐷 שלב 5 – חיסכון</t>
  </si>
  <si>
    <t xml:space="preserve">הזינו לכל תוכנית יעד, יתרת פתיחה ותאריך יעד. ההפקדות נמשכות מהתנועות, ותראו כמה כבר נחסך, כמה נשאר וכמה צריך להפקיד כל חודש.</t>
  </si>
  <si>
    <t xml:space="preserve">💳 שלב 6 – חובות</t>
  </si>
  <si>
    <t xml:space="preserve">הזינו סכום מקורי, יתרה בתחילת השנה וריבית. ההחזרים נמשכים מהתנועות, ותראו כמה נפרע, כמה נשאר ומתי תהיו חופשיים מחובות.</t>
  </si>
  <si>
    <t xml:space="preserve">🎨 מקרא צבעים</t>
  </si>
  <si>
    <t xml:space="preserve">תא צהוב = תא למילוי (כל השאר מחושב אוטומטית – לא לגעת)</t>
  </si>
  <si>
    <t xml:space="preserve">הכנסות</t>
  </si>
  <si>
    <t xml:space="preserve">תוכניות חיסכון</t>
  </si>
  <si>
    <t xml:space="preserve">חשבונות ומנויים</t>
  </si>
  <si>
    <t xml:space="preserve">הוצאות משתנות</t>
  </si>
  <si>
    <t xml:space="preserve">חובות</t>
  </si>
  <si>
    <t xml:space="preserve">אדום = חריגה מהתקציב</t>
  </si>
  <si>
    <t xml:space="preserve">⚠️ חשוב לדעת</t>
  </si>
  <si>
    <t xml:space="preserve">• שמות הקטגוריות בהגדרות צריכים להיות ייחודיים. שינוי שם בהגדרות מעדכן את כל הלשוניות; תנועות ישנות עם השם הקודם לא ייספרו.</t>
  </si>
  <si>
    <t xml:space="preserve">• שמות תוכניות החיסכון והחובות נלקחים מההגדרות – הפקדה לחיסכון או החזר חוב פשוט נרשמים כתנועה עם אותה קטגוריה.</t>
  </si>
  <si>
    <t xml:space="preserve">• הסכומים תמיד חיוביים – הסוג (הכנסה / הוצאה) נקבע לפי הקטגוריה.</t>
  </si>
  <si>
    <t xml:space="preserve">• לשנה חדשה: שכפלו את הקובץ, שנו את השנה בהגדרות ומחקו את התנועות.</t>
  </si>
  <si>
    <t xml:space="preserve">סקירה מלאה של ההכנסות וההוצאות לאורך כל השנה • מתעדכן אוטומטית</t>
  </si>
  <si>
    <t xml:space="preserve">💵 הכנסות השנה</t>
  </si>
  <si>
    <t xml:space="preserve">💸 יציאות השנה</t>
  </si>
  <si>
    <t xml:space="preserve">🏦 נשאר בעו"ש</t>
  </si>
  <si>
    <t xml:space="preserve">🐷 שיעור חיסכון</t>
  </si>
  <si>
    <t xml:space="preserve">חודש</t>
  </si>
  <si>
    <t xml:space="preserve">סה"כ יציאות</t>
  </si>
  <si>
    <t xml:space="preserve">נשאר בעו"ש</t>
  </si>
  <si>
    <t xml:space="preserve">ינואר</t>
  </si>
  <si>
    <t xml:space="preserve">פברואר</t>
  </si>
  <si>
    <t xml:space="preserve">מרץ</t>
  </si>
  <si>
    <t xml:space="preserve">אפריל</t>
  </si>
  <si>
    <t xml:space="preserve">מאי</t>
  </si>
  <si>
    <t xml:space="preserve">יוני</t>
  </si>
  <si>
    <t xml:space="preserve">יולי</t>
  </si>
  <si>
    <t xml:space="preserve">אוגוסט</t>
  </si>
  <si>
    <t xml:space="preserve">ספטמבר</t>
  </si>
  <si>
    <t xml:space="preserve">אוקטובר</t>
  </si>
  <si>
    <t xml:space="preserve">נובמבר</t>
  </si>
  <si>
    <t xml:space="preserve">דצמבר</t>
  </si>
  <si>
    <t xml:space="preserve">סה"כ בפועל</t>
  </si>
  <si>
    <t xml:space="preserve">תקציב שנתי</t>
  </si>
  <si>
    <t xml:space="preserve">ממוצע חודשי</t>
  </si>
  <si>
    <t xml:space="preserve">📋 פירוט שנתי לפי קטגוריה</t>
  </si>
  <si>
    <t xml:space="preserve">קטגוריה</t>
  </si>
  <si>
    <t xml:space="preserve">סוג</t>
  </si>
  <si>
    <t xml:space="preserve">בפועל</t>
  </si>
  <si>
    <t xml:space="preserve">הפרש</t>
  </si>
  <si>
    <t xml:space="preserve">% ניצול</t>
  </si>
  <si>
    <t xml:space="preserve">📝 יומן תנועות – כל הכנסה והוצאה במקום אחד</t>
  </si>
  <si>
    <t xml:space="preserve">הזן תאריך, בחר קטגוריה מהרשימה וסכום חיובי. הסוג והחודש מתמלאים לבד, וכל הלשוניות (חודשים, לוח שנתי, חיסכון וחובות) מתעדכנות אוטומטית.</t>
  </si>
  <si>
    <t xml:space="preserve">תאריך</t>
  </si>
  <si>
    <t xml:space="preserve">סוג (אוטומטי)</t>
  </si>
  <si>
    <t xml:space="preserve">תיאור / הערה</t>
  </si>
  <si>
    <t xml:space="preserve">סכום</t>
  </si>
  <si>
    <t xml:space="preserve">סיכום השנה לפי סוג</t>
  </si>
  <si>
    <t xml:space="preserve">תנועות שהוזנו</t>
  </si>
  <si>
    <t xml:space="preserve">התקציב נמשך מלשונית ההגדרות (אפשר לשנות ידנית כאן לחודש הזה בלבד) • הבפועל נמשך מיומן התנועות</t>
  </si>
  <si>
    <t xml:space="preserve">💵 הכנסות החודש</t>
  </si>
  <si>
    <t xml:space="preserve">💸 סה"כ יציאות</t>
  </si>
  <si>
    <t xml:space="preserve">🛒 ניצול תקציב משתנות</t>
  </si>
  <si>
    <t xml:space="preserve">סיכום החודש</t>
  </si>
  <si>
    <t xml:space="preserve">תקציב</t>
  </si>
  <si>
    <t xml:space="preserve">שבוע (משתנות)</t>
  </si>
  <si>
    <t xml:space="preserve">נותר</t>
  </si>
  <si>
    <t xml:space="preserve">ימים 1–7</t>
  </si>
  <si>
    <t xml:space="preserve">ימים 8–14</t>
  </si>
  <si>
    <t xml:space="preserve">ימים 15–21</t>
  </si>
  <si>
    <t xml:space="preserve">ימים 22–28</t>
  </si>
  <si>
    <t xml:space="preserve">ימים 29–סוף</t>
  </si>
  <si>
    <t xml:space="preserve">סה"כ</t>
  </si>
  <si>
    <t xml:space="preserve">💡 תקציב שבועי להוצאות משתנות = התקציב החודשי מחולק לפי מספר הימים בכל שבוע. אדום = חריגה מהתקציב.</t>
  </si>
  <si>
    <t xml:space="preserve">🐷 מעקב תוכניות חיסכון</t>
  </si>
  <si>
    <t xml:space="preserve">עקבו אחרי 5 תוכניות חיסכון – כמה נחסך, כמה נשאר ומה צריך להפקיד כל חודש כדי לעמוד ביעד</t>
  </si>
  <si>
    <t xml:space="preserve">🎯 סך כל היעדים</t>
  </si>
  <si>
    <t xml:space="preserve">💰 נחסך עד כה</t>
  </si>
  <si>
    <t xml:space="preserve">⏳ נותר לחסוך</t>
  </si>
  <si>
    <t xml:space="preserve">📈 התקדמות כוללת</t>
  </si>
  <si>
    <t xml:space="preserve">תוכנית</t>
  </si>
  <si>
    <t xml:space="preserve">יעד</t>
  </si>
  <si>
    <t xml:space="preserve">יתרת פתיחה</t>
  </si>
  <si>
    <t xml:space="preserve">תאריך יעד</t>
  </si>
  <si>
    <t xml:space="preserve">הופקד השנה</t>
  </si>
  <si>
    <t xml:space="preserve">סה"כ נחסך</t>
  </si>
  <si>
    <t xml:space="preserve">נותר לחסוך</t>
  </si>
  <si>
    <t xml:space="preserve">% התקדמות</t>
  </si>
  <si>
    <t xml:space="preserve">מד התקדמות</t>
  </si>
  <si>
    <t xml:space="preserve">חודשים ליעד</t>
  </si>
  <si>
    <t xml:space="preserve">נדרש לחודש</t>
  </si>
  <si>
    <t xml:space="preserve">📅 הפקדות לפי חודש</t>
  </si>
  <si>
    <t xml:space="preserve">נחסך</t>
  </si>
  <si>
    <t xml:space="preserve">💳 מעקב וסילוק חובות</t>
  </si>
  <si>
    <t xml:space="preserve">ראו איך כל חוב יורד אחד אחרי השני ומתי תהיו חופשיים מחובות</t>
  </si>
  <si>
    <t xml:space="preserve">💳 סך החובות (מקורי)</t>
  </si>
  <si>
    <t xml:space="preserve">✅ שולם השנה</t>
  </si>
  <si>
    <t xml:space="preserve">⏳ יתרה לסילוק</t>
  </si>
  <si>
    <t xml:space="preserve">🏁 חופשי מחובות ב-</t>
  </si>
  <si>
    <t xml:space="preserve">חוב</t>
  </si>
  <si>
    <t xml:space="preserve">סכום מקורי</t>
  </si>
  <si>
    <t xml:space="preserve">יתרה בתחילת השנה</t>
  </si>
  <si>
    <t xml:space="preserve">ריבית שנתית</t>
  </si>
  <si>
    <t xml:space="preserve">החזר חודשי</t>
  </si>
  <si>
    <t xml:space="preserve">שולם השנה</t>
  </si>
  <si>
    <t xml:space="preserve">יתרה נוכחית</t>
  </si>
  <si>
    <t xml:space="preserve">% נפרע</t>
  </si>
  <si>
    <t xml:space="preserve">חודשים לסיום</t>
  </si>
  <si>
    <t xml:space="preserve">סיום משוער</t>
  </si>
  <si>
    <t xml:space="preserve">📅 החזרים לפי חודש</t>
  </si>
  <si>
    <t xml:space="preserve">💡 טיפ לסילוק מהיר: שיטת 'כדור השלג' – משלמים מינימום בכל החובות ומפנים כל שקל נוסף לחוב הקטן ביותר. שיטת 'המפולת' – מפנים את התוספת לחוב עם הריבית הגבוהה ביותר (חוסך הכי הרבה כסף). שימו לב: 'יתרה נוכחית' = יתרת תחילת השנה פחות ההחזרים, ללא חישוב ריבית. 'חודשים לסיום' כן מחושב לפי הריבית וההחזר החודשי.</t>
  </si>
  <si>
    <t xml:space="preserve">⚙️ הגדרות – שנה, קטגוריות ותקציב</t>
  </si>
  <si>
    <t xml:space="preserve">שנת התקציב:</t>
  </si>
  <si>
    <t xml:space="preserve">← שנה כאן והכל מתעדכן</t>
  </si>
  <si>
    <t xml:space="preserve">רשום כאן את הקטגוריות שלך. הזן סכום ותדירות (חודשי / דו-שבועי / שבועי / דו-חודשי / שנתי) והטבלה תחשב אוטומטית את התקציב החודשי. תאים צהובים = למילוי.</t>
  </si>
  <si>
    <t xml:space="preserve">סכום לתקופה</t>
  </si>
  <si>
    <t xml:space="preserve">תדירות</t>
  </si>
  <si>
    <t xml:space="preserve">תקציב חודשי</t>
  </si>
  <si>
    <t xml:space="preserve">הערות</t>
  </si>
  <si>
    <t xml:space="preserve">מקדם חודשי</t>
  </si>
  <si>
    <t xml:space="preserve">משכורת 1</t>
  </si>
  <si>
    <t xml:space="preserve">חודשי</t>
  </si>
  <si>
    <t xml:space="preserve">משכורת 2</t>
  </si>
  <si>
    <t xml:space="preserve">דו-שבועי</t>
  </si>
  <si>
    <t xml:space="preserve">עבודה נוספת</t>
  </si>
  <si>
    <t xml:space="preserve">שבועי</t>
  </si>
  <si>
    <t xml:space="preserve">קצבת ילדים</t>
  </si>
  <si>
    <t xml:space="preserve">דו-חודשי</t>
  </si>
  <si>
    <t xml:space="preserve">החזרים והכנסות אחרות</t>
  </si>
  <si>
    <t xml:space="preserve">שנתי</t>
  </si>
  <si>
    <t xml:space="preserve">מס'</t>
  </si>
  <si>
    <t xml:space="preserve">קרן חירום</t>
  </si>
  <si>
    <t xml:space="preserve">חופשה משפחתית</t>
  </si>
  <si>
    <t xml:space="preserve">רכב חדש</t>
  </si>
  <si>
    <t xml:space="preserve">דירה</t>
  </si>
  <si>
    <t xml:space="preserve">השקעות</t>
  </si>
  <si>
    <t xml:space="preserve">שכר דירה / משכנתא</t>
  </si>
  <si>
    <t xml:space="preserve">ארנונה</t>
  </si>
  <si>
    <t xml:space="preserve">חשמל</t>
  </si>
  <si>
    <t xml:space="preserve">מים</t>
  </si>
  <si>
    <t xml:space="preserve">גז</t>
  </si>
  <si>
    <t xml:space="preserve">ועד בית</t>
  </si>
  <si>
    <t xml:space="preserve">אינטרנט וטלוויזיה</t>
  </si>
  <si>
    <t xml:space="preserve">סלולר</t>
  </si>
  <si>
    <t xml:space="preserve">ביטוחי בריאות וחיים</t>
  </si>
  <si>
    <t xml:space="preserve">ביטוח רכב</t>
  </si>
  <si>
    <t xml:space="preserve">תשלום שנתי – מחולק ל-12 חודשים</t>
  </si>
  <si>
    <t xml:space="preserve">סטרימינג ומנויים</t>
  </si>
  <si>
    <t xml:space="preserve">חדר כושר</t>
  </si>
  <si>
    <t xml:space="preserve">סופרמרקט</t>
  </si>
  <si>
    <t xml:space="preserve">תקציב שבועי × 52 ÷ 12</t>
  </si>
  <si>
    <t xml:space="preserve">דלק</t>
  </si>
  <si>
    <t xml:space="preserve">תחבורה ציבורית וחניה</t>
  </si>
  <si>
    <t xml:space="preserve">מסעדות ובילויים</t>
  </si>
  <si>
    <t xml:space="preserve">ביגוד והנעלה</t>
  </si>
  <si>
    <t xml:space="preserve">בריאות ותרופות</t>
  </si>
  <si>
    <t xml:space="preserve">ילדים וחינוך</t>
  </si>
  <si>
    <t xml:space="preserve">מתנות ואירועים</t>
  </si>
  <si>
    <t xml:space="preserve">טיפוח</t>
  </si>
  <si>
    <t xml:space="preserve">בית ותחזוקה</t>
  </si>
  <si>
    <t xml:space="preserve">חיות מחמד</t>
  </si>
  <si>
    <t xml:space="preserve">שונות</t>
  </si>
  <si>
    <t xml:space="preserve">הלוואת רכב</t>
  </si>
  <si>
    <t xml:space="preserve">הלוואה בנקאית</t>
  </si>
  <si>
    <t xml:space="preserve">כרטיס אשראי – פריסה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</si>
</sst>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₪#,##0;[RED]&quot;-₪&quot;#,##0;\–"/>
    <numFmt numFmtId="166" formatCode="0%;[RED]\-0%;\–"/>
    <numFmt numFmtId="167" formatCode="#,##0"/>
    <numFmt numFmtId="168" formatCode="dd/mm/yyyy"/>
    <numFmt numFmtId="169" formatCode="General"/>
    <numFmt numFmtId="170" formatCode="0%"/>
    <numFmt numFmtId="171" formatCode="0"/>
    <numFmt numFmtId="172" formatCode="mm/yyyy"/>
    <numFmt numFmtId="173" formatCode="0.0%"/>
    <numFmt numFmtId="174" formatCode="0.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2F3E46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2"/>
      <color rgb="FF2F3E46"/>
      <name val="Arial"/>
      <family val="0"/>
      <charset val="1"/>
    </font>
    <font>
      <b val="true"/>
      <sz val="10"/>
      <color rgb="FF2F3E46"/>
      <name val="Arial"/>
      <family val="0"/>
      <charset val="1"/>
    </font>
    <font>
      <b val="true"/>
      <sz val="18"/>
      <color rgb="FF2F3E4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i val="true"/>
      <sz val="9"/>
      <color rgb="FF6B7280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9"/>
      <color rgb="FF1F2937"/>
      <name val="Arial"/>
      <family val="0"/>
      <charset val="1"/>
    </font>
    <font>
      <sz val="9"/>
      <color rgb="FF1D4ED8"/>
      <name val="Arial"/>
      <family val="0"/>
      <charset val="1"/>
    </font>
    <font>
      <b val="true"/>
      <sz val="9"/>
      <color rgb="FF1F2937"/>
      <name val="Arial"/>
      <family val="0"/>
      <charset val="1"/>
    </font>
    <font>
      <sz val="10"/>
      <color rgb="FF1D4ED8"/>
      <name val="Arial"/>
      <family val="0"/>
      <charset val="1"/>
    </font>
    <font>
      <sz val="10"/>
      <color rgb="FF6AA84F"/>
      <name val="Arial"/>
      <family val="0"/>
      <charset val="1"/>
    </font>
    <font>
      <sz val="8"/>
      <color rgb="FFFFFFFF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2"/>
      <color rgb="FF1D4ED8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2F3E46"/>
        <bgColor rgb="FF1F2937"/>
      </patternFill>
    </fill>
    <fill>
      <patternFill patternType="solid">
        <fgColor rgb="FFEEF2F6"/>
        <bgColor rgb="FFF3F4F6"/>
      </patternFill>
    </fill>
    <fill>
      <patternFill patternType="solid">
        <fgColor rgb="FFFFF7D6"/>
        <bgColor rgb="FFFDEBD8"/>
      </patternFill>
    </fill>
    <fill>
      <patternFill patternType="solid">
        <fgColor rgb="FF9FC5E8"/>
        <bgColor rgb="FFCBD5E1"/>
      </patternFill>
    </fill>
    <fill>
      <patternFill patternType="solid">
        <fgColor rgb="FF93C47D"/>
        <bgColor rgb="FF6AA84F"/>
      </patternFill>
    </fill>
    <fill>
      <patternFill patternType="solid">
        <fgColor rgb="FFC9A3D9"/>
        <bgColor rgb="FF9FC5E8"/>
      </patternFill>
    </fill>
    <fill>
      <patternFill patternType="solid">
        <fgColor rgb="FFF6B26B"/>
        <bgColor rgb="FFF1C232"/>
      </patternFill>
    </fill>
    <fill>
      <patternFill patternType="solid">
        <fgColor rgb="FFE06666"/>
        <bgColor rgb="FFFF6600"/>
      </patternFill>
    </fill>
    <fill>
      <patternFill patternType="solid">
        <fgColor rgb="FFFDE2E2"/>
        <bgColor rgb="FFF9DEDE"/>
      </patternFill>
    </fill>
    <fill>
      <patternFill patternType="solid">
        <fgColor rgb="FFE3EFFA"/>
        <bgColor rgb="FFEEF2F6"/>
      </patternFill>
    </fill>
    <fill>
      <patternFill patternType="solid">
        <fgColor rgb="FFF9DEDE"/>
        <bgColor rgb="FFFDE2E2"/>
      </patternFill>
    </fill>
    <fill>
      <patternFill patternType="solid">
        <fgColor rgb="FFE5E7EB"/>
        <bgColor rgb="FFE3EFFA"/>
      </patternFill>
    </fill>
    <fill>
      <patternFill patternType="solid">
        <fgColor rgb="FFE6F2E0"/>
        <bgColor rgb="FFEEF2F6"/>
      </patternFill>
    </fill>
    <fill>
      <patternFill patternType="solid">
        <fgColor rgb="FFFFFFFF"/>
        <bgColor rgb="FFF6F8FA"/>
      </patternFill>
    </fill>
    <fill>
      <patternFill patternType="solid">
        <fgColor rgb="FFF6F8FA"/>
        <bgColor rgb="FFF3F4F6"/>
      </patternFill>
    </fill>
    <fill>
      <patternFill patternType="solid">
        <fgColor rgb="FFF3F4F6"/>
        <bgColor rgb="FFEEF2F6"/>
      </patternFill>
    </fill>
    <fill>
      <patternFill patternType="solid">
        <fgColor rgb="FFF2E8F7"/>
        <bgColor rgb="FFEEF2F6"/>
      </patternFill>
    </fill>
    <fill>
      <patternFill patternType="solid">
        <fgColor rgb="FFFDEBD8"/>
        <bgColor rgb="FFFDE2E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  <border diagonalUp="false" diagonalDown="false">
      <left/>
      <right/>
      <top/>
      <bottom style="thin">
        <color rgb="FFD9DE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C00000"/>
      </font>
      <fill>
        <patternFill>
          <bgColor rgb="FFFDE2E2"/>
        </patternFill>
      </fill>
    </dxf>
    <dxf>
      <font>
        <name val="Arial"/>
        <charset val="1"/>
        <family val="0"/>
        <b val="1"/>
        <color rgb="FF1F2937"/>
        <sz val="9"/>
      </font>
      <fill>
        <patternFill>
          <bgColor rgb="FFE3EFFA"/>
        </patternFill>
      </fill>
    </dxf>
    <dxf>
      <font>
        <name val="Arial"/>
        <charset val="1"/>
        <family val="0"/>
        <b val="1"/>
        <color rgb="FF1F2937"/>
        <sz val="9"/>
      </font>
      <fill>
        <patternFill>
          <bgColor rgb="FFE6F2E0"/>
        </patternFill>
      </fill>
    </dxf>
    <dxf>
      <font>
        <name val="Arial"/>
        <charset val="1"/>
        <family val="0"/>
        <b val="1"/>
        <color rgb="FF1F2937"/>
        <sz val="9"/>
      </font>
      <fill>
        <patternFill>
          <bgColor rgb="FFF2E8F7"/>
        </patternFill>
      </fill>
    </dxf>
    <dxf>
      <font>
        <name val="Arial"/>
        <charset val="1"/>
        <family val="0"/>
        <b val="1"/>
        <color rgb="FF1F2937"/>
        <sz val="9"/>
      </font>
      <fill>
        <patternFill>
          <bgColor rgb="FFFDEBD8"/>
        </patternFill>
      </fill>
    </dxf>
    <dxf>
      <font>
        <name val="Arial"/>
        <charset val="1"/>
        <family val="0"/>
        <b val="1"/>
        <color rgb="FF1F2937"/>
        <sz val="9"/>
      </font>
      <fill>
        <patternFill>
          <bgColor rgb="FFF9DEDE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DE2E2"/>
      <rgbColor rgb="FFFF00FF"/>
      <rgbColor rgb="FFF6F8FA"/>
      <rgbColor rgb="FFC00000"/>
      <rgbColor rgb="FF008000"/>
      <rgbColor rgb="FF000080"/>
      <rgbColor rgb="FF808000"/>
      <rgbColor rgb="FF800080"/>
      <rgbColor rgb="FF008080"/>
      <rgbColor rgb="FFD9D9D9"/>
      <rgbColor rgb="FF878787"/>
      <rgbColor rgb="FF4A90D9"/>
      <rgbColor rgb="FF993366"/>
      <rgbColor rgb="FFFFF7D6"/>
      <rgbColor rgb="FFE3EFFA"/>
      <rgbColor rgb="FF660066"/>
      <rgbColor rgb="FFE06666"/>
      <rgbColor rgb="FF1D4ED8"/>
      <rgbColor rgb="FFCBD5E1"/>
      <rgbColor rgb="FF000080"/>
      <rgbColor rgb="FFFF00FF"/>
      <rgbColor rgb="FFE5E7EB"/>
      <rgbColor rgb="FF00FFFF"/>
      <rgbColor rgb="FF800080"/>
      <rgbColor rgb="FF800000"/>
      <rgbColor rgb="FF008080"/>
      <rgbColor rgb="FF0000FF"/>
      <rgbColor rgb="FF00CCFF"/>
      <rgbColor rgb="FFEEF2F6"/>
      <rgbColor rgb="FFE6F2E0"/>
      <rgbColor rgb="FFFDEBD8"/>
      <rgbColor rgb="FF9FC5E8"/>
      <rgbColor rgb="FFF9DEDE"/>
      <rgbColor rgb="FFC9A3D9"/>
      <rgbColor rgb="FFF6B26B"/>
      <rgbColor rgb="FF4F81BD"/>
      <rgbColor rgb="FFF3F4F6"/>
      <rgbColor rgb="FFD9DEE3"/>
      <rgbColor rgb="FFF1C232"/>
      <rgbColor rgb="FFF2E8F7"/>
      <rgbColor rgb="FFFF6600"/>
      <rgbColor rgb="FF6B7280"/>
      <rgbColor rgb="FF93C47D"/>
      <rgbColor rgb="FF003366"/>
      <rgbColor rgb="FF6AA84F"/>
      <rgbColor rgb="FF003300"/>
      <rgbColor rgb="FF1F2937"/>
      <rgbColor rgb="FF993300"/>
      <rgbColor rgb="FF993366"/>
      <rgbColor rgb="FF33339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הכנסות מול יציאות לאורך השנה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'לוח שנתי'!B7</c:f>
              <c:strCache>
                <c:ptCount val="1"/>
                <c:pt idx="0">
                  <c:v>הכנסות</c:v>
                </c:pt>
              </c:strCache>
            </c:strRef>
          </c:tx>
          <c:spPr>
            <a:solidFill>
              <a:srgbClr val="4a90d9"/>
            </a:solidFill>
            <a:ln w="28080">
              <a:solidFill>
                <a:srgbClr val="4a90d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'לוח שנתי'!$A$8:$A$19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'לוח שנתי'!$B$8:$B$19</c:f>
              <c:numCache>
                <c:formatCode>\₪#,##0;[RED]"-₪"#,##0;\–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'לוח שנתי'!G7</c:f>
              <c:strCache>
                <c:ptCount val="1"/>
                <c:pt idx="0">
                  <c:v>סה"כ יציאות</c:v>
                </c:pt>
              </c:strCache>
            </c:strRef>
          </c:tx>
          <c:spPr>
            <a:solidFill>
              <a:srgbClr val="e06666"/>
            </a:solidFill>
            <a:ln w="28080">
              <a:solidFill>
                <a:srgbClr val="e066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'לוח שנתי'!$A$8:$A$19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'לוח שנתי'!$G$8:$G$19</c:f>
              <c:numCache>
                <c:formatCode>\₪#,##0;[RED]"-₪"#,##0;\–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169446"/>
        <c:axId val="96832967"/>
      </c:lineChart>
      <c:catAx>
        <c:axId val="2416944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832967"/>
        <c:crosses val="autoZero"/>
        <c:auto val="1"/>
        <c:lblAlgn val="ctr"/>
        <c:lblOffset val="100"/>
        <c:noMultiLvlLbl val="0"/>
      </c:catAx>
      <c:valAx>
        <c:axId val="9683296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694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התפלגות היציאות בכל 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'לוח שנתי'!C7</c:f>
              <c:strCache>
                <c:ptCount val="1"/>
                <c:pt idx="0">
                  <c:v>תוכניות חיסכון</c:v>
                </c:pt>
              </c:strCache>
            </c:strRef>
          </c:tx>
          <c:spPr>
            <a:solidFill>
              <a:srgbClr val="93c47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'לוח שנתי'!$A$8:$A$19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'לוח שנתי'!$C$8:$C$19</c:f>
              <c:numCache>
                <c:formatCode>\₪#,##0;[RED]"-₪"#,##0;\–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'לוח שנתי'!D7</c:f>
              <c:strCache>
                <c:ptCount val="1"/>
                <c:pt idx="0">
                  <c:v>חשבונות ומנויים</c:v>
                </c:pt>
              </c:strCache>
            </c:strRef>
          </c:tx>
          <c:spPr>
            <a:solidFill>
              <a:srgbClr val="c9a3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'לוח שנתי'!$A$8:$A$19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'לוח שנתי'!$D$8:$D$19</c:f>
              <c:numCache>
                <c:formatCode>\₪#,##0;[RED]"-₪"#,##0;\–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'לוח שנתי'!E7</c:f>
              <c:strCache>
                <c:ptCount val="1"/>
                <c:pt idx="0">
                  <c:v>הוצאות משתנות</c:v>
                </c:pt>
              </c:strCache>
            </c:strRef>
          </c:tx>
          <c:spPr>
            <a:solidFill>
              <a:srgbClr val="f6b2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'לוח שנתי'!$A$8:$A$19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'לוח שנתי'!$E$8:$E$19</c:f>
              <c:numCache>
                <c:formatCode>\₪#,##0;[RED]"-₪"#,##0;\–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'לוח שנתי'!F7</c:f>
              <c:strCache>
                <c:ptCount val="1"/>
                <c:pt idx="0">
                  <c:v>חובות</c:v>
                </c:pt>
              </c:strCache>
            </c:strRef>
          </c:tx>
          <c:spPr>
            <a:solidFill>
              <a:srgbClr val="e0666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'לוח שנתי'!$A$8:$A$19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'לוח שנתי'!$F$8:$F$19</c:f>
              <c:numCache>
                <c:formatCode>\₪#,##0;[RED]"-₪"#,##0;\–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100"/>
        <c:axId val="70988057"/>
        <c:axId val="62544270"/>
      </c:barChart>
      <c:catAx>
        <c:axId val="7098805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44270"/>
        <c:crosses val="autoZero"/>
        <c:auto val="1"/>
        <c:lblAlgn val="ctr"/>
        <c:lblOffset val="100"/>
        <c:noMultiLvlLbl val="0"/>
      </c:catAx>
      <c:valAx>
        <c:axId val="6254427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880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חלוקת היציאות השנתית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'לוח שנתי'!$C$7:$F$7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'לוח שנתי'!$C$20:$F$20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ינואר!$A$9:$A$12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ינואר!$C$9:$C$12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ינואר!B7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ינואר!$A$8:$A$12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ינואר!$B$8:$B$12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ינואר!C7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ינואר!$A$8:$A$12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ינואר!$C$8:$C$12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99190078"/>
        <c:axId val="37075898"/>
      </c:barChart>
      <c:catAx>
        <c:axId val="991900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075898"/>
        <c:crosses val="autoZero"/>
        <c:auto val="1"/>
        <c:lblAlgn val="ctr"/>
        <c:lblOffset val="100"/>
        <c:noMultiLvlLbl val="0"/>
      </c:catAx>
      <c:valAx>
        <c:axId val="3707589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900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פברואר!$A$9:$A$12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פברואר!$C$9:$C$12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פברואר!B7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פברואר!$A$8:$A$12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פברואר!$B$8:$B$12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פברואר!C7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פברואר!$A$8:$A$12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פברואר!$C$8:$C$12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53745204"/>
        <c:axId val="54440279"/>
      </c:barChart>
      <c:catAx>
        <c:axId val="537452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40279"/>
        <c:crosses val="autoZero"/>
        <c:auto val="1"/>
        <c:lblAlgn val="ctr"/>
        <c:lblOffset val="100"/>
        <c:noMultiLvlLbl val="0"/>
      </c:catAx>
      <c:valAx>
        <c:axId val="5444027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452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מרץ!$A$9:$A$12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מרץ!$C$9:$C$12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מרץ!B7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מרץ!$A$8:$A$12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מרץ!$B$8:$B$12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מרץ!C7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מרץ!$A$8:$A$12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מרץ!$C$8:$C$12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90749048"/>
        <c:axId val="11625190"/>
      </c:barChart>
      <c:catAx>
        <c:axId val="90749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25190"/>
        <c:crosses val="autoZero"/>
        <c:auto val="1"/>
        <c:lblAlgn val="ctr"/>
        <c:lblOffset val="100"/>
        <c:noMultiLvlLbl val="0"/>
      </c:catAx>
      <c:valAx>
        <c:axId val="1162519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490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אפריל!$A$9:$A$12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אפריל!$C$9:$C$12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אפריל!B7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אפריל!$A$8:$A$12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אפריל!$B$8:$B$12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אפריל!C7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אפריל!$A$8:$A$12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אפריל!$C$8:$C$12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42920638"/>
        <c:axId val="94578235"/>
      </c:barChart>
      <c:catAx>
        <c:axId val="429206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78235"/>
        <c:crosses val="autoZero"/>
        <c:auto val="1"/>
        <c:lblAlgn val="ctr"/>
        <c:lblOffset val="100"/>
        <c:noMultiLvlLbl val="0"/>
      </c:catAx>
      <c:valAx>
        <c:axId val="9457823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206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מאי!$A$9:$A$12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מאי!$C$9:$C$12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מאי!B7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מאי!$A$8:$A$12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מאי!$B$8:$B$12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מאי!C7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מאי!$A$8:$A$12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מאי!$C$8:$C$12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52109260"/>
        <c:axId val="12133212"/>
      </c:barChart>
      <c:catAx>
        <c:axId val="521092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33212"/>
        <c:crosses val="autoZero"/>
        <c:auto val="1"/>
        <c:lblAlgn val="ctr"/>
        <c:lblOffset val="100"/>
        <c:noMultiLvlLbl val="0"/>
      </c:catAx>
      <c:valAx>
        <c:axId val="1213321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092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יוני!$A$9:$A$12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יוני!$C$9:$C$12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יוני!B7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יוני!$A$8:$A$12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יוני!$B$8:$B$12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יוני!C7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יוני!$A$8:$A$12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יוני!$C$8:$C$12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11309270"/>
        <c:axId val="33690538"/>
      </c:barChart>
      <c:catAx>
        <c:axId val="113092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90538"/>
        <c:crosses val="autoZero"/>
        <c:auto val="1"/>
        <c:lblAlgn val="ctr"/>
        <c:lblOffset val="100"/>
        <c:noMultiLvlLbl val="0"/>
      </c:catAx>
      <c:valAx>
        <c:axId val="3369053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092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יולי!$A$9:$A$12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יולי!$C$9:$C$12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יולי!B7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יולי!$A$8:$A$12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יולי!$B$8:$B$12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יולי!C7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יולי!$A$8:$A$12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יולי!$C$8:$C$12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53238620"/>
        <c:axId val="56400794"/>
      </c:barChart>
      <c:catAx>
        <c:axId val="532386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400794"/>
        <c:crosses val="autoZero"/>
        <c:auto val="1"/>
        <c:lblAlgn val="ctr"/>
        <c:lblOffset val="100"/>
        <c:noMultiLvlLbl val="0"/>
      </c:catAx>
      <c:valAx>
        <c:axId val="5640079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386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אוגוסט!$A$9:$A$12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אוגוסט!$C$9:$C$12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אוגוסט!B7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אוגוסט!$A$8:$A$12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אוגוסט!$B$8:$B$12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אוגוסט!C7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אוגוסט!$A$8:$A$12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אוגוסט!$C$8:$C$12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35947310"/>
        <c:axId val="82277115"/>
      </c:barChart>
      <c:catAx>
        <c:axId val="359473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77115"/>
        <c:crosses val="autoZero"/>
        <c:auto val="1"/>
        <c:lblAlgn val="ctr"/>
        <c:lblOffset val="100"/>
        <c:noMultiLvlLbl val="0"/>
      </c:catAx>
      <c:valAx>
        <c:axId val="8227711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473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ספטמבר!$A$9:$A$12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ספטמבר!$C$9:$C$12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ספטמבר!B7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ספטמבר!$A$8:$A$12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ספטמבר!$B$8:$B$12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ספטמבר!C7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ספטמבר!$A$8:$A$12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ספטמבר!$C$8:$C$12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1372595"/>
        <c:axId val="5617261"/>
      </c:barChart>
      <c:catAx>
        <c:axId val="13725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7261"/>
        <c:crosses val="autoZero"/>
        <c:auto val="1"/>
        <c:lblAlgn val="ctr"/>
        <c:lblOffset val="100"/>
        <c:noMultiLvlLbl val="0"/>
      </c:catAx>
      <c:valAx>
        <c:axId val="561726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25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אוקטובר!$A$9:$A$12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אוקטובר!$C$9:$C$12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אוקטובר!B7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אוקטובר!$A$8:$A$12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אוקטובר!$B$8:$B$12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אוקטובר!C7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אוקטובר!$A$8:$A$12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אוקטובר!$C$8:$C$12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51125257"/>
        <c:axId val="34114594"/>
      </c:barChart>
      <c:catAx>
        <c:axId val="511252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114594"/>
        <c:crosses val="autoZero"/>
        <c:auto val="1"/>
        <c:lblAlgn val="ctr"/>
        <c:lblOffset val="100"/>
        <c:noMultiLvlLbl val="0"/>
      </c:catAx>
      <c:valAx>
        <c:axId val="3411459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252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נובמבר!$A$9:$A$12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נובמבר!$C$9:$C$12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נובמבר!B7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נובמבר!$A$8:$A$12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נובמבר!$B$8:$B$12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נובמבר!C7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נובמבר!$A$8:$A$12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נובמבר!$C$8:$C$12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68147264"/>
        <c:axId val="36913290"/>
      </c:barChart>
      <c:catAx>
        <c:axId val="6814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13290"/>
        <c:crosses val="autoZero"/>
        <c:auto val="1"/>
        <c:lblAlgn val="ctr"/>
        <c:lblOffset val="100"/>
        <c:noMultiLvlLbl val="0"/>
      </c:catAx>
      <c:valAx>
        <c:axId val="3691329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472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לאן הלך הכסף החודש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3c47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9a3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b26b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066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דצמבר!$A$9:$A$12</c:f>
              <c:strCache>
                <c:ptCount val="4"/>
                <c:pt idx="0">
                  <c:v>תוכניות חיסכון</c:v>
                </c:pt>
                <c:pt idx="1">
                  <c:v>חשבונות ומנויים</c:v>
                </c:pt>
                <c:pt idx="2">
                  <c:v>הוצאות משתנות</c:v>
                </c:pt>
                <c:pt idx="3">
                  <c:v>חובות</c:v>
                </c:pt>
              </c:strCache>
            </c:strRef>
          </c:cat>
          <c:val>
            <c:numRef>
              <c:f>דצמבר!$C$9:$C$12</c:f>
              <c:numCache>
                <c:formatCode>\₪#,##0;[RED]"-₪"#,##0;\–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תקציב מול בפועל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דצמבר!B7</c:f>
              <c:strCache>
                <c:ptCount val="1"/>
                <c:pt idx="0">
                  <c:v>תקציב</c:v>
                </c:pt>
              </c:strCache>
            </c:strRef>
          </c:tx>
          <c:spPr>
            <a:solidFill>
              <a:srgbClr val="cbd5e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דצמבר!$A$8:$A$12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דצמבר!$B$8:$B$12</c:f>
              <c:numCache>
                <c:formatCode>\₪#,##0;[RED]"-₪"#,##0;\–</c:formatCode>
                <c:ptCount val="5"/>
                <c:pt idx="0">
                  <c:v>25320</c:v>
                </c:pt>
                <c:pt idx="1">
                  <c:v>5400</c:v>
                </c:pt>
                <c:pt idx="2">
                  <c:v>7925</c:v>
                </c:pt>
                <c:pt idx="3">
                  <c:v>7400</c:v>
                </c:pt>
                <c:pt idx="4">
                  <c:v>2300</c:v>
                </c:pt>
              </c:numCache>
            </c:numRef>
          </c:val>
        </c:ser>
        <c:ser>
          <c:idx val="1"/>
          <c:order val="1"/>
          <c:tx>
            <c:strRef>
              <c:f>דצמבר!C7</c:f>
              <c:strCache>
                <c:ptCount val="1"/>
                <c:pt idx="0">
                  <c:v>בפועל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דצמבר!$A$8:$A$12</c:f>
              <c:strCache>
                <c:ptCount val="5"/>
                <c:pt idx="0">
                  <c:v>הכנסות</c:v>
                </c:pt>
                <c:pt idx="1">
                  <c:v>תוכניות חיסכון</c:v>
                </c:pt>
                <c:pt idx="2">
                  <c:v>חשבונות ומנויים</c:v>
                </c:pt>
                <c:pt idx="3">
                  <c:v>הוצאות משתנות</c:v>
                </c:pt>
                <c:pt idx="4">
                  <c:v>חובות</c:v>
                </c:pt>
              </c:strCache>
            </c:strRef>
          </c:cat>
          <c:val>
            <c:numRef>
              <c:f>דצמבר!$C$8:$C$12</c:f>
              <c:numCache>
                <c:formatCode>\₪#,##0;[RED]"-₪"#,##0;\–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80367738"/>
        <c:axId val="62893393"/>
      </c:barChart>
      <c:catAx>
        <c:axId val="803677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93393"/>
        <c:crosses val="autoZero"/>
        <c:auto val="1"/>
        <c:lblAlgn val="ctr"/>
        <c:lblOffset val="100"/>
        <c:noMultiLvlLbl val="0"/>
      </c:catAx>
      <c:valAx>
        <c:axId val="6289339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677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יעד מול נחסך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חיסכון!B7</c:f>
              <c:strCache>
                <c:ptCount val="1"/>
                <c:pt idx="0">
                  <c:v>יעד</c:v>
                </c:pt>
              </c:strCache>
            </c:strRef>
          </c:tx>
          <c:spPr>
            <a:solidFill>
              <a:srgbClr val="e5e7e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חיסכון!$A$8:$A$12</c:f>
              <c:strCache>
                <c:ptCount val="5"/>
                <c:pt idx="0">
                  <c:v>קרן חירום</c:v>
                </c:pt>
                <c:pt idx="1">
                  <c:v>חופשה משפחתית</c:v>
                </c:pt>
                <c:pt idx="2">
                  <c:v>רכב חדש</c:v>
                </c:pt>
                <c:pt idx="3">
                  <c:v>דירה</c:v>
                </c:pt>
                <c:pt idx="4">
                  <c:v>השקעות</c:v>
                </c:pt>
              </c:strCache>
            </c:strRef>
          </c:cat>
          <c:val>
            <c:numRef>
              <c:f>חיסכון!$B$8:$B$12</c:f>
              <c:numCache>
                <c:formatCode>\₪#,##0;[RED]"-₪"#,##0;\–</c:formatCode>
                <c:ptCount val="5"/>
                <c:pt idx="0">
                  <c:v>30000</c:v>
                </c:pt>
                <c:pt idx="1">
                  <c:v>12000</c:v>
                </c:pt>
                <c:pt idx="2">
                  <c:v>40000</c:v>
                </c:pt>
                <c:pt idx="3">
                  <c:v>150000</c:v>
                </c:pt>
                <c:pt idx="4">
                  <c:v>50000</c:v>
                </c:pt>
              </c:numCache>
            </c:numRef>
          </c:val>
        </c:ser>
        <c:ser>
          <c:idx val="1"/>
          <c:order val="1"/>
          <c:tx>
            <c:strRef>
              <c:f>חיסכון!F7</c:f>
              <c:strCache>
                <c:ptCount val="1"/>
                <c:pt idx="0">
                  <c:v>סה"כ נחסך</c:v>
                </c:pt>
              </c:strCache>
            </c:strRef>
          </c:tx>
          <c:spPr>
            <a:solidFill>
              <a:srgbClr val="6aa8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חיסכון!$A$8:$A$12</c:f>
              <c:strCache>
                <c:ptCount val="5"/>
                <c:pt idx="0">
                  <c:v>קרן חירום</c:v>
                </c:pt>
                <c:pt idx="1">
                  <c:v>חופשה משפחתית</c:v>
                </c:pt>
                <c:pt idx="2">
                  <c:v>רכב חדש</c:v>
                </c:pt>
                <c:pt idx="3">
                  <c:v>דירה</c:v>
                </c:pt>
                <c:pt idx="4">
                  <c:v>השקעות</c:v>
                </c:pt>
              </c:strCache>
            </c:strRef>
          </c:cat>
          <c:val>
            <c:numRef>
              <c:f>חיסכון!$F$8:$F$12</c:f>
              <c:numCache>
                <c:formatCode>\₪#,##0;[RED]"-₪"#,##0;\–</c:formatCode>
                <c:ptCount val="5"/>
                <c:pt idx="0">
                  <c:v>18000</c:v>
                </c:pt>
                <c:pt idx="1">
                  <c:v>2500</c:v>
                </c:pt>
                <c:pt idx="2">
                  <c:v>15000</c:v>
                </c:pt>
                <c:pt idx="3">
                  <c:v>62000</c:v>
                </c:pt>
                <c:pt idx="4">
                  <c:v>21000</c:v>
                </c:pt>
              </c:numCache>
            </c:numRef>
          </c:val>
        </c:ser>
        <c:gapWidth val="150"/>
        <c:overlap val="0"/>
        <c:axId val="15176254"/>
        <c:axId val="22044771"/>
      </c:barChart>
      <c:catAx>
        <c:axId val="15176254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44771"/>
        <c:crosses val="autoZero"/>
        <c:auto val="1"/>
        <c:lblAlgn val="ctr"/>
        <c:lblOffset val="100"/>
        <c:noMultiLvlLbl val="0"/>
      </c:catAx>
      <c:valAx>
        <c:axId val="2204477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762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התקדמות כוללת לעבר כל היעדים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6aa84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5e7eb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חיסכון!$N$40:$N$41</c:f>
              <c:strCache>
                <c:ptCount val="2"/>
                <c:pt idx="0">
                  <c:v>נחסך</c:v>
                </c:pt>
                <c:pt idx="1">
                  <c:v>נותר</c:v>
                </c:pt>
              </c:strCache>
            </c:strRef>
          </c:cat>
          <c:val>
            <c:numRef>
              <c:f>חיסכון!$O$40:$O$41</c:f>
              <c:numCache>
                <c:formatCode>\₪#,##0;[RED]"-₪"#,##0;\–</c:formatCode>
                <c:ptCount val="2"/>
                <c:pt idx="0">
                  <c:v>118500</c:v>
                </c:pt>
                <c:pt idx="1">
                  <c:v>163500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שולם מול נותר לכל חוב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חובות!F7</c:f>
              <c:strCache>
                <c:ptCount val="1"/>
                <c:pt idx="0">
                  <c:v>שולם השנה</c:v>
                </c:pt>
              </c:strCache>
            </c:strRef>
          </c:tx>
          <c:spPr>
            <a:solidFill>
              <a:srgbClr val="6aa8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חובות!$A$8:$A$13</c:f>
              <c:strCache>
                <c:ptCount val="6"/>
                <c:pt idx="0">
                  <c:v>הלוואת רכב</c:v>
                </c:pt>
                <c:pt idx="1">
                  <c:v>הלוואה בנקאית</c:v>
                </c:pt>
                <c:pt idx="2">
                  <c:v>כרטיס אשראי – פריסה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חובות!$F$8:$F$13</c:f>
              <c:numCache>
                <c:formatCode>\₪#,##0;[RED]"-₪"#,##0;\–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חובות!G7</c:f>
              <c:strCache>
                <c:ptCount val="1"/>
                <c:pt idx="0">
                  <c:v>יתרה נוכחית</c:v>
                </c:pt>
              </c:strCache>
            </c:strRef>
          </c:tx>
          <c:spPr>
            <a:solidFill>
              <a:srgbClr val="e0666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חובות!$A$8:$A$13</c:f>
              <c:strCache>
                <c:ptCount val="6"/>
                <c:pt idx="0">
                  <c:v>הלוואת רכב</c:v>
                </c:pt>
                <c:pt idx="1">
                  <c:v>הלוואה בנקאית</c:v>
                </c:pt>
                <c:pt idx="2">
                  <c:v>כרטיס אשראי – פריסה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חובות!$G$8:$G$13</c:f>
              <c:numCache>
                <c:formatCode>\₪#,##0;[RED]"-₪"#,##0;\–</c:formatCode>
                <c:ptCount val="6"/>
                <c:pt idx="0">
                  <c:v>38000</c:v>
                </c:pt>
                <c:pt idx="1">
                  <c:v>22000</c:v>
                </c:pt>
                <c:pt idx="2">
                  <c:v>4800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596378"/>
        <c:axId val="38611443"/>
      </c:barChart>
      <c:catAx>
        <c:axId val="5963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11443"/>
        <c:crosses val="autoZero"/>
        <c:auto val="1"/>
        <c:lblAlgn val="ctr"/>
        <c:lblOffset val="100"/>
        <c:noMultiLvlLbl val="0"/>
      </c:catAx>
      <c:valAx>
        <c:axId val="3861144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3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החזרי חובות לפי חודש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חובות!H17</c:f>
              <c:strCache>
                <c:ptCount val="1"/>
                <c:pt idx="0">
                  <c:v>סה"כ</c:v>
                </c:pt>
              </c:strCache>
            </c:strRef>
          </c:tx>
          <c:spPr>
            <a:solidFill>
              <a:srgbClr val="e0666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חובות!$A$18:$A$29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חובות!$H$18:$H$29</c:f>
              <c:numCache>
                <c:formatCode>\₪#,##0;[RED]"-₪"#,##0;\–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51583953"/>
        <c:axId val="32441192"/>
      </c:barChart>
      <c:catAx>
        <c:axId val="5158395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41192"/>
        <c:crosses val="autoZero"/>
        <c:auto val="1"/>
        <c:lblAlgn val="ctr"/>
        <c:lblOffset val="100"/>
        <c:noMultiLvlLbl val="0"/>
      </c:catAx>
      <c:valAx>
        <c:axId val="32441192"/>
        <c:scaling>
          <c:orientation val="minMax"/>
        </c:scaling>
        <c:delete val="0"/>
        <c:axPos val="l"/>
        <c:numFmt formatCode="\₪#,##0;[RED]&quot;-₪&quot;#,##0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839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-370440</xdr:colOff>
      <xdr:row>2</xdr:row>
      <xdr:rowOff>0</xdr:rowOff>
    </xdr:from>
    <xdr:to>
      <xdr:col>18</xdr:col>
      <xdr:colOff>0</xdr:colOff>
      <xdr:row>16</xdr:row>
      <xdr:rowOff>97200</xdr:rowOff>
    </xdr:to>
    <xdr:graphicFrame>
      <xdr:nvGraphicFramePr>
        <xdr:cNvPr id="0" name="Chart 1"/>
        <xdr:cNvGraphicFramePr/>
      </xdr:nvGraphicFramePr>
      <xdr:xfrm>
        <a:off x="-18756720" y="75240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-370440</xdr:colOff>
      <xdr:row>20</xdr:row>
      <xdr:rowOff>0</xdr:rowOff>
    </xdr:from>
    <xdr:to>
      <xdr:col>18</xdr:col>
      <xdr:colOff>0</xdr:colOff>
      <xdr:row>36</xdr:row>
      <xdr:rowOff>11520</xdr:rowOff>
    </xdr:to>
    <xdr:graphicFrame>
      <xdr:nvGraphicFramePr>
        <xdr:cNvPr id="1" name="Chart 2"/>
        <xdr:cNvGraphicFramePr/>
      </xdr:nvGraphicFramePr>
      <xdr:xfrm>
        <a:off x="-18756720" y="447660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-370440</xdr:colOff>
      <xdr:row>38</xdr:row>
      <xdr:rowOff>0</xdr:rowOff>
    </xdr:from>
    <xdr:to>
      <xdr:col>18</xdr:col>
      <xdr:colOff>0</xdr:colOff>
      <xdr:row>54</xdr:row>
      <xdr:rowOff>11520</xdr:rowOff>
    </xdr:to>
    <xdr:graphicFrame>
      <xdr:nvGraphicFramePr>
        <xdr:cNvPr id="2" name="Chart 3"/>
        <xdr:cNvGraphicFramePr/>
      </xdr:nvGraphicFramePr>
      <xdr:xfrm>
        <a:off x="-18756720" y="790560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3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4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5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6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7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8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9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10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11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12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13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14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15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16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17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18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19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20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21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22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23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24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-843840</xdr:colOff>
      <xdr:row>6</xdr:row>
      <xdr:rowOff>0</xdr:rowOff>
    </xdr:from>
    <xdr:to>
      <xdr:col>12</xdr:col>
      <xdr:colOff>0</xdr:colOff>
      <xdr:row>20</xdr:row>
      <xdr:rowOff>68760</xdr:rowOff>
    </xdr:to>
    <xdr:graphicFrame>
      <xdr:nvGraphicFramePr>
        <xdr:cNvPr id="25" name="Chart 1"/>
        <xdr:cNvGraphicFramePr/>
      </xdr:nvGraphicFramePr>
      <xdr:xfrm>
        <a:off x="-13378680" y="1809720"/>
        <a:ext cx="35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-172080</xdr:colOff>
      <xdr:row>6</xdr:row>
      <xdr:rowOff>0</xdr:rowOff>
    </xdr:from>
    <xdr:to>
      <xdr:col>21</xdr:col>
      <xdr:colOff>0</xdr:colOff>
      <xdr:row>20</xdr:row>
      <xdr:rowOff>68760</xdr:rowOff>
    </xdr:to>
    <xdr:graphicFrame>
      <xdr:nvGraphicFramePr>
        <xdr:cNvPr id="26" name="Chart 2"/>
        <xdr:cNvGraphicFramePr/>
      </xdr:nvGraphicFramePr>
      <xdr:xfrm>
        <a:off x="-21508200" y="18097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-448200</xdr:colOff>
      <xdr:row>2</xdr:row>
      <xdr:rowOff>0</xdr:rowOff>
    </xdr:from>
    <xdr:to>
      <xdr:col>19</xdr:col>
      <xdr:colOff>0</xdr:colOff>
      <xdr:row>15</xdr:row>
      <xdr:rowOff>107640</xdr:rowOff>
    </xdr:to>
    <xdr:graphicFrame>
      <xdr:nvGraphicFramePr>
        <xdr:cNvPr id="27" name="Chart 1"/>
        <xdr:cNvGraphicFramePr/>
      </xdr:nvGraphicFramePr>
      <xdr:xfrm>
        <a:off x="-19272600" y="7524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-448200</xdr:colOff>
      <xdr:row>20</xdr:row>
      <xdr:rowOff>0</xdr:rowOff>
    </xdr:from>
    <xdr:to>
      <xdr:col>19</xdr:col>
      <xdr:colOff>0</xdr:colOff>
      <xdr:row>35</xdr:row>
      <xdr:rowOff>21960</xdr:rowOff>
    </xdr:to>
    <xdr:graphicFrame>
      <xdr:nvGraphicFramePr>
        <xdr:cNvPr id="28" name="Chart 2"/>
        <xdr:cNvGraphicFramePr/>
      </xdr:nvGraphicFramePr>
      <xdr:xfrm>
        <a:off x="-19272600" y="44766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-448200</xdr:colOff>
      <xdr:row>2</xdr:row>
      <xdr:rowOff>0</xdr:rowOff>
    </xdr:from>
    <xdr:to>
      <xdr:col>19</xdr:col>
      <xdr:colOff>0</xdr:colOff>
      <xdr:row>15</xdr:row>
      <xdr:rowOff>107640</xdr:rowOff>
    </xdr:to>
    <xdr:graphicFrame>
      <xdr:nvGraphicFramePr>
        <xdr:cNvPr id="29" name="Chart 1"/>
        <xdr:cNvGraphicFramePr/>
      </xdr:nvGraphicFramePr>
      <xdr:xfrm>
        <a:off x="-19361520" y="7524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-448200</xdr:colOff>
      <xdr:row>19</xdr:row>
      <xdr:rowOff>78120</xdr:rowOff>
    </xdr:from>
    <xdr:to>
      <xdr:col>19</xdr:col>
      <xdr:colOff>0</xdr:colOff>
      <xdr:row>34</xdr:row>
      <xdr:rowOff>100080</xdr:rowOff>
    </xdr:to>
    <xdr:graphicFrame>
      <xdr:nvGraphicFramePr>
        <xdr:cNvPr id="30" name="Chart 2"/>
        <xdr:cNvGraphicFramePr/>
      </xdr:nvGraphicFramePr>
      <xdr:xfrm>
        <a:off x="-19361520" y="44766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C232"/>
    <pageSetUpPr fitToPage="true"/>
  </sheetPr>
  <dimension ref="A1:C24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80"/>
  </cols>
  <sheetData>
    <row r="1" customFormat="false" ht="39.75" hidden="false" customHeight="true" outlineLevel="0" collapsed="false">
      <c r="A1" s="1" t="s">
        <v>0</v>
      </c>
      <c r="B1" s="1"/>
      <c r="C1" s="1"/>
    </row>
    <row r="2" customFormat="false" ht="19.5" hidden="false" customHeight="true" outlineLevel="0" collapsed="false">
      <c r="A2" s="2" t="s">
        <v>1</v>
      </c>
      <c r="B2" s="2"/>
      <c r="C2" s="2"/>
    </row>
    <row r="4" customFormat="false" ht="48" hidden="false" customHeight="true" outlineLevel="0" collapsed="false">
      <c r="B4" s="3" t="s">
        <v>2</v>
      </c>
      <c r="C4" s="4" t="s">
        <v>3</v>
      </c>
    </row>
    <row r="5" customFormat="false" ht="48" hidden="false" customHeight="true" outlineLevel="0" collapsed="false">
      <c r="B5" s="3" t="s">
        <v>4</v>
      </c>
      <c r="C5" s="4" t="s">
        <v>5</v>
      </c>
    </row>
    <row r="6" customFormat="false" ht="48" hidden="false" customHeight="true" outlineLevel="0" collapsed="false">
      <c r="B6" s="3" t="s">
        <v>6</v>
      </c>
      <c r="C6" s="4" t="s">
        <v>7</v>
      </c>
    </row>
    <row r="7" customFormat="false" ht="48" hidden="false" customHeight="true" outlineLevel="0" collapsed="false">
      <c r="B7" s="3" t="s">
        <v>8</v>
      </c>
      <c r="C7" s="4" t="s">
        <v>9</v>
      </c>
    </row>
    <row r="8" customFormat="false" ht="48" hidden="false" customHeight="true" outlineLevel="0" collapsed="false">
      <c r="B8" s="3" t="s">
        <v>10</v>
      </c>
      <c r="C8" s="4" t="s">
        <v>11</v>
      </c>
    </row>
    <row r="9" customFormat="false" ht="48" hidden="false" customHeight="true" outlineLevel="0" collapsed="false">
      <c r="B9" s="3" t="s">
        <v>12</v>
      </c>
      <c r="C9" s="4" t="s">
        <v>13</v>
      </c>
    </row>
    <row r="11" customFormat="false" ht="15" hidden="false" customHeight="false" outlineLevel="0" collapsed="false">
      <c r="B11" s="5" t="s">
        <v>14</v>
      </c>
    </row>
    <row r="12" customFormat="false" ht="15" hidden="false" customHeight="false" outlineLevel="0" collapsed="false">
      <c r="B12" s="6"/>
      <c r="C12" s="7" t="s">
        <v>15</v>
      </c>
    </row>
    <row r="13" customFormat="false" ht="15" hidden="false" customHeight="false" outlineLevel="0" collapsed="false">
      <c r="B13" s="8"/>
      <c r="C13" s="7" t="s">
        <v>16</v>
      </c>
    </row>
    <row r="14" customFormat="false" ht="15" hidden="false" customHeight="false" outlineLevel="0" collapsed="false">
      <c r="B14" s="9"/>
      <c r="C14" s="7" t="s">
        <v>17</v>
      </c>
    </row>
    <row r="15" customFormat="false" ht="15" hidden="false" customHeight="false" outlineLevel="0" collapsed="false">
      <c r="B15" s="10"/>
      <c r="C15" s="7" t="s">
        <v>18</v>
      </c>
    </row>
    <row r="16" customFormat="false" ht="15" hidden="false" customHeight="false" outlineLevel="0" collapsed="false">
      <c r="B16" s="11"/>
      <c r="C16" s="7" t="s">
        <v>19</v>
      </c>
    </row>
    <row r="17" customFormat="false" ht="15" hidden="false" customHeight="false" outlineLevel="0" collapsed="false">
      <c r="B17" s="12"/>
      <c r="C17" s="7" t="s">
        <v>20</v>
      </c>
    </row>
    <row r="18" customFormat="false" ht="15" hidden="false" customHeight="false" outlineLevel="0" collapsed="false">
      <c r="B18" s="13"/>
      <c r="C18" s="7" t="s">
        <v>21</v>
      </c>
    </row>
    <row r="20" customFormat="false" ht="15" hidden="false" customHeight="false" outlineLevel="0" collapsed="false">
      <c r="B20" s="5" t="s">
        <v>22</v>
      </c>
    </row>
    <row r="21" customFormat="false" ht="30" hidden="false" customHeight="true" outlineLevel="0" collapsed="false">
      <c r="B21" s="14" t="s">
        <v>23</v>
      </c>
      <c r="C21" s="14"/>
    </row>
    <row r="22" customFormat="false" ht="30" hidden="false" customHeight="true" outlineLevel="0" collapsed="false">
      <c r="B22" s="14" t="s">
        <v>24</v>
      </c>
      <c r="C22" s="14"/>
    </row>
    <row r="23" customFormat="false" ht="30" hidden="false" customHeight="true" outlineLevel="0" collapsed="false">
      <c r="B23" s="14" t="s">
        <v>25</v>
      </c>
      <c r="C23" s="14"/>
    </row>
    <row r="24" customFormat="false" ht="30" hidden="false" customHeight="true" outlineLevel="0" collapsed="false">
      <c r="B24" s="14" t="s">
        <v>26</v>
      </c>
      <c r="C24" s="14"/>
    </row>
  </sheetData>
  <mergeCells count="6">
    <mergeCell ref="A1:C1"/>
    <mergeCell ref="A2:C2"/>
    <mergeCell ref="B21:C21"/>
    <mergeCell ref="B22:C22"/>
    <mergeCell ref="B23:C23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3E46"/>
    <pageSetUpPr fitToPage="true"/>
  </sheetPr>
  <dimension ref="A1:H7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5"/>
    <col collapsed="false" customWidth="true" hidden="false" outlineLevel="0" max="9" min="9" style="0" width="3"/>
  </cols>
  <sheetData>
    <row r="1" customFormat="false" ht="39.75" hidden="false" customHeight="true" outlineLevel="0" collapsed="false">
      <c r="A1" s="1" t="str">
        <f aca="false">"📊 לוח שנתי – סיכום "&amp;הגדרות!$C$3</f>
        <v>📊 לוח שנתי – סיכום 2026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15" t="s">
        <v>28</v>
      </c>
      <c r="B4" s="15"/>
      <c r="C4" s="16" t="s">
        <v>29</v>
      </c>
      <c r="D4" s="16"/>
      <c r="E4" s="17" t="s">
        <v>30</v>
      </c>
      <c r="F4" s="17"/>
      <c r="G4" s="18" t="s">
        <v>31</v>
      </c>
      <c r="H4" s="18"/>
    </row>
    <row r="5" customFormat="false" ht="33.75" hidden="false" customHeight="true" outlineLevel="0" collapsed="false">
      <c r="A5" s="19" t="n">
        <f aca="false">B20</f>
        <v>0</v>
      </c>
      <c r="B5" s="19"/>
      <c r="C5" s="20" t="n">
        <f aca="false">G20</f>
        <v>0</v>
      </c>
      <c r="D5" s="20"/>
      <c r="E5" s="21" t="n">
        <f aca="false">H20</f>
        <v>0</v>
      </c>
      <c r="F5" s="21"/>
      <c r="G5" s="22" t="str">
        <f aca="false">IF(B20=0,"–",C20/B20)</f>
        <v>–</v>
      </c>
      <c r="H5" s="22"/>
    </row>
    <row r="7" customFormat="false" ht="15" hidden="false" customHeight="false" outlineLevel="0" collapsed="false">
      <c r="A7" s="23" t="s">
        <v>32</v>
      </c>
      <c r="B7" s="24" t="s">
        <v>16</v>
      </c>
      <c r="C7" s="25" t="s">
        <v>17</v>
      </c>
      <c r="D7" s="26" t="s">
        <v>18</v>
      </c>
      <c r="E7" s="27" t="s">
        <v>19</v>
      </c>
      <c r="F7" s="28" t="s">
        <v>20</v>
      </c>
      <c r="G7" s="23" t="s">
        <v>33</v>
      </c>
      <c r="H7" s="23" t="s">
        <v>34</v>
      </c>
    </row>
    <row r="8" customFormat="false" ht="15" hidden="false" customHeight="false" outlineLevel="0" collapsed="false">
      <c r="A8" s="29" t="s">
        <v>35</v>
      </c>
      <c r="B8" s="30" t="n">
        <f aca="false">ינואר!$C$8</f>
        <v>0</v>
      </c>
      <c r="C8" s="30" t="n">
        <f aca="false">ינואר!$C$9</f>
        <v>0</v>
      </c>
      <c r="D8" s="30" t="n">
        <f aca="false">ינואר!$C$10</f>
        <v>0</v>
      </c>
      <c r="E8" s="30" t="n">
        <f aca="false">ינואר!$C$11</f>
        <v>0</v>
      </c>
      <c r="F8" s="30" t="n">
        <f aca="false">ינואר!$C$12</f>
        <v>0</v>
      </c>
      <c r="G8" s="31" t="n">
        <f aca="false">SUM(C8:F8)</f>
        <v>0</v>
      </c>
      <c r="H8" s="31" t="n">
        <f aca="false">B8-G8</f>
        <v>0</v>
      </c>
    </row>
    <row r="9" customFormat="false" ht="15" hidden="false" customHeight="false" outlineLevel="0" collapsed="false">
      <c r="A9" s="32" t="s">
        <v>36</v>
      </c>
      <c r="B9" s="33" t="n">
        <f aca="false">פברואר!$C$8</f>
        <v>0</v>
      </c>
      <c r="C9" s="33" t="n">
        <f aca="false">פברואר!$C$9</f>
        <v>0</v>
      </c>
      <c r="D9" s="33" t="n">
        <f aca="false">פברואר!$C$10</f>
        <v>0</v>
      </c>
      <c r="E9" s="33" t="n">
        <f aca="false">פברואר!$C$11</f>
        <v>0</v>
      </c>
      <c r="F9" s="33" t="n">
        <f aca="false">פברואר!$C$12</f>
        <v>0</v>
      </c>
      <c r="G9" s="34" t="n">
        <f aca="false">SUM(C9:F9)</f>
        <v>0</v>
      </c>
      <c r="H9" s="34" t="n">
        <f aca="false">B9-G9</f>
        <v>0</v>
      </c>
    </row>
    <row r="10" customFormat="false" ht="15" hidden="false" customHeight="false" outlineLevel="0" collapsed="false">
      <c r="A10" s="29" t="s">
        <v>37</v>
      </c>
      <c r="B10" s="30" t="n">
        <f aca="false">מרץ!$C$8</f>
        <v>0</v>
      </c>
      <c r="C10" s="30" t="n">
        <f aca="false">מרץ!$C$9</f>
        <v>0</v>
      </c>
      <c r="D10" s="30" t="n">
        <f aca="false">מרץ!$C$10</f>
        <v>0</v>
      </c>
      <c r="E10" s="30" t="n">
        <f aca="false">מרץ!$C$11</f>
        <v>0</v>
      </c>
      <c r="F10" s="30" t="n">
        <f aca="false">מרץ!$C$12</f>
        <v>0</v>
      </c>
      <c r="G10" s="31" t="n">
        <f aca="false">SUM(C10:F10)</f>
        <v>0</v>
      </c>
      <c r="H10" s="31" t="n">
        <f aca="false">B10-G10</f>
        <v>0</v>
      </c>
    </row>
    <row r="11" customFormat="false" ht="15" hidden="false" customHeight="false" outlineLevel="0" collapsed="false">
      <c r="A11" s="32" t="s">
        <v>38</v>
      </c>
      <c r="B11" s="33" t="n">
        <f aca="false">אפריל!$C$8</f>
        <v>0</v>
      </c>
      <c r="C11" s="33" t="n">
        <f aca="false">אפריל!$C$9</f>
        <v>0</v>
      </c>
      <c r="D11" s="33" t="n">
        <f aca="false">אפריל!$C$10</f>
        <v>0</v>
      </c>
      <c r="E11" s="33" t="n">
        <f aca="false">אפריל!$C$11</f>
        <v>0</v>
      </c>
      <c r="F11" s="33" t="n">
        <f aca="false">אפריל!$C$12</f>
        <v>0</v>
      </c>
      <c r="G11" s="34" t="n">
        <f aca="false">SUM(C11:F11)</f>
        <v>0</v>
      </c>
      <c r="H11" s="34" t="n">
        <f aca="false">B11-G11</f>
        <v>0</v>
      </c>
    </row>
    <row r="12" customFormat="false" ht="15" hidden="false" customHeight="false" outlineLevel="0" collapsed="false">
      <c r="A12" s="29" t="s">
        <v>39</v>
      </c>
      <c r="B12" s="30" t="n">
        <f aca="false">מאי!$C$8</f>
        <v>0</v>
      </c>
      <c r="C12" s="30" t="n">
        <f aca="false">מאי!$C$9</f>
        <v>0</v>
      </c>
      <c r="D12" s="30" t="n">
        <f aca="false">מאי!$C$10</f>
        <v>0</v>
      </c>
      <c r="E12" s="30" t="n">
        <f aca="false">מאי!$C$11</f>
        <v>0</v>
      </c>
      <c r="F12" s="30" t="n">
        <f aca="false">מאי!$C$12</f>
        <v>0</v>
      </c>
      <c r="G12" s="31" t="n">
        <f aca="false">SUM(C12:F12)</f>
        <v>0</v>
      </c>
      <c r="H12" s="31" t="n">
        <f aca="false">B12-G12</f>
        <v>0</v>
      </c>
    </row>
    <row r="13" customFormat="false" ht="15" hidden="false" customHeight="false" outlineLevel="0" collapsed="false">
      <c r="A13" s="32" t="s">
        <v>40</v>
      </c>
      <c r="B13" s="33" t="n">
        <f aca="false">יוני!$C$8</f>
        <v>0</v>
      </c>
      <c r="C13" s="33" t="n">
        <f aca="false">יוני!$C$9</f>
        <v>0</v>
      </c>
      <c r="D13" s="33" t="n">
        <f aca="false">יוני!$C$10</f>
        <v>0</v>
      </c>
      <c r="E13" s="33" t="n">
        <f aca="false">יוני!$C$11</f>
        <v>0</v>
      </c>
      <c r="F13" s="33" t="n">
        <f aca="false">יוני!$C$12</f>
        <v>0</v>
      </c>
      <c r="G13" s="34" t="n">
        <f aca="false">SUM(C13:F13)</f>
        <v>0</v>
      </c>
      <c r="H13" s="34" t="n">
        <f aca="false">B13-G13</f>
        <v>0</v>
      </c>
    </row>
    <row r="14" customFormat="false" ht="15" hidden="false" customHeight="false" outlineLevel="0" collapsed="false">
      <c r="A14" s="29" t="s">
        <v>41</v>
      </c>
      <c r="B14" s="30" t="n">
        <f aca="false">יולי!$C$8</f>
        <v>0</v>
      </c>
      <c r="C14" s="30" t="n">
        <f aca="false">יולי!$C$9</f>
        <v>0</v>
      </c>
      <c r="D14" s="30" t="n">
        <f aca="false">יולי!$C$10</f>
        <v>0</v>
      </c>
      <c r="E14" s="30" t="n">
        <f aca="false">יולי!$C$11</f>
        <v>0</v>
      </c>
      <c r="F14" s="30" t="n">
        <f aca="false">יולי!$C$12</f>
        <v>0</v>
      </c>
      <c r="G14" s="31" t="n">
        <f aca="false">SUM(C14:F14)</f>
        <v>0</v>
      </c>
      <c r="H14" s="31" t="n">
        <f aca="false">B14-G14</f>
        <v>0</v>
      </c>
    </row>
    <row r="15" customFormat="false" ht="15" hidden="false" customHeight="false" outlineLevel="0" collapsed="false">
      <c r="A15" s="32" t="s">
        <v>42</v>
      </c>
      <c r="B15" s="33" t="n">
        <f aca="false">אוגוסט!$C$8</f>
        <v>0</v>
      </c>
      <c r="C15" s="33" t="n">
        <f aca="false">אוגוסט!$C$9</f>
        <v>0</v>
      </c>
      <c r="D15" s="33" t="n">
        <f aca="false">אוגוסט!$C$10</f>
        <v>0</v>
      </c>
      <c r="E15" s="33" t="n">
        <f aca="false">אוגוסט!$C$11</f>
        <v>0</v>
      </c>
      <c r="F15" s="33" t="n">
        <f aca="false">אוגוסט!$C$12</f>
        <v>0</v>
      </c>
      <c r="G15" s="34" t="n">
        <f aca="false">SUM(C15:F15)</f>
        <v>0</v>
      </c>
      <c r="H15" s="34" t="n">
        <f aca="false">B15-G15</f>
        <v>0</v>
      </c>
    </row>
    <row r="16" customFormat="false" ht="15" hidden="false" customHeight="false" outlineLevel="0" collapsed="false">
      <c r="A16" s="29" t="s">
        <v>43</v>
      </c>
      <c r="B16" s="30" t="n">
        <f aca="false">ספטמבר!$C$8</f>
        <v>0</v>
      </c>
      <c r="C16" s="30" t="n">
        <f aca="false">ספטמבר!$C$9</f>
        <v>0</v>
      </c>
      <c r="D16" s="30" t="n">
        <f aca="false">ספטמבר!$C$10</f>
        <v>0</v>
      </c>
      <c r="E16" s="30" t="n">
        <f aca="false">ספטמבר!$C$11</f>
        <v>0</v>
      </c>
      <c r="F16" s="30" t="n">
        <f aca="false">ספטמבר!$C$12</f>
        <v>0</v>
      </c>
      <c r="G16" s="31" t="n">
        <f aca="false">SUM(C16:F16)</f>
        <v>0</v>
      </c>
      <c r="H16" s="31" t="n">
        <f aca="false">B16-G16</f>
        <v>0</v>
      </c>
    </row>
    <row r="17" customFormat="false" ht="15" hidden="false" customHeight="false" outlineLevel="0" collapsed="false">
      <c r="A17" s="32" t="s">
        <v>44</v>
      </c>
      <c r="B17" s="33" t="n">
        <f aca="false">אוקטובר!$C$8</f>
        <v>0</v>
      </c>
      <c r="C17" s="33" t="n">
        <f aca="false">אוקטובר!$C$9</f>
        <v>0</v>
      </c>
      <c r="D17" s="33" t="n">
        <f aca="false">אוקטובר!$C$10</f>
        <v>0</v>
      </c>
      <c r="E17" s="33" t="n">
        <f aca="false">אוקטובר!$C$11</f>
        <v>0</v>
      </c>
      <c r="F17" s="33" t="n">
        <f aca="false">אוקטובר!$C$12</f>
        <v>0</v>
      </c>
      <c r="G17" s="34" t="n">
        <f aca="false">SUM(C17:F17)</f>
        <v>0</v>
      </c>
      <c r="H17" s="34" t="n">
        <f aca="false">B17-G17</f>
        <v>0</v>
      </c>
    </row>
    <row r="18" customFormat="false" ht="15" hidden="false" customHeight="false" outlineLevel="0" collapsed="false">
      <c r="A18" s="29" t="s">
        <v>45</v>
      </c>
      <c r="B18" s="30" t="n">
        <f aca="false">נובמבר!$C$8</f>
        <v>0</v>
      </c>
      <c r="C18" s="30" t="n">
        <f aca="false">נובמבר!$C$9</f>
        <v>0</v>
      </c>
      <c r="D18" s="30" t="n">
        <f aca="false">נובמבר!$C$10</f>
        <v>0</v>
      </c>
      <c r="E18" s="30" t="n">
        <f aca="false">נובמבר!$C$11</f>
        <v>0</v>
      </c>
      <c r="F18" s="30" t="n">
        <f aca="false">נובמבר!$C$12</f>
        <v>0</v>
      </c>
      <c r="G18" s="31" t="n">
        <f aca="false">SUM(C18:F18)</f>
        <v>0</v>
      </c>
      <c r="H18" s="31" t="n">
        <f aca="false">B18-G18</f>
        <v>0</v>
      </c>
    </row>
    <row r="19" customFormat="false" ht="15" hidden="false" customHeight="false" outlineLevel="0" collapsed="false">
      <c r="A19" s="32" t="s">
        <v>46</v>
      </c>
      <c r="B19" s="33" t="n">
        <f aca="false">דצמבר!$C$8</f>
        <v>0</v>
      </c>
      <c r="C19" s="33" t="n">
        <f aca="false">דצמבר!$C$9</f>
        <v>0</v>
      </c>
      <c r="D19" s="33" t="n">
        <f aca="false">דצמבר!$C$10</f>
        <v>0</v>
      </c>
      <c r="E19" s="33" t="n">
        <f aca="false">דצמבר!$C$11</f>
        <v>0</v>
      </c>
      <c r="F19" s="33" t="n">
        <f aca="false">דצמבר!$C$12</f>
        <v>0</v>
      </c>
      <c r="G19" s="34" t="n">
        <f aca="false">SUM(C19:F19)</f>
        <v>0</v>
      </c>
      <c r="H19" s="34" t="n">
        <f aca="false">B19-G19</f>
        <v>0</v>
      </c>
    </row>
    <row r="20" customFormat="false" ht="15" hidden="false" customHeight="false" outlineLevel="0" collapsed="false">
      <c r="A20" s="35" t="s">
        <v>47</v>
      </c>
      <c r="B20" s="36" t="n">
        <f aca="false">SUM(B8:B19)</f>
        <v>0</v>
      </c>
      <c r="C20" s="36" t="n">
        <f aca="false">SUM(C8:C19)</f>
        <v>0</v>
      </c>
      <c r="D20" s="36" t="n">
        <f aca="false">SUM(D8:D19)</f>
        <v>0</v>
      </c>
      <c r="E20" s="36" t="n">
        <f aca="false">SUM(E8:E19)</f>
        <v>0</v>
      </c>
      <c r="F20" s="36" t="n">
        <f aca="false">SUM(F8:F19)</f>
        <v>0</v>
      </c>
      <c r="G20" s="36" t="n">
        <f aca="false">SUM(G8:G19)</f>
        <v>0</v>
      </c>
      <c r="H20" s="36" t="n">
        <f aca="false">SUM(H8:H19)</f>
        <v>0</v>
      </c>
    </row>
    <row r="21" customFormat="false" ht="15" hidden="false" customHeight="false" outlineLevel="0" collapsed="false">
      <c r="A21" s="37" t="s">
        <v>48</v>
      </c>
      <c r="B21" s="38" t="n">
        <f aca="false">ינואר!$B$8+פברואר!$B$8+מרץ!$B$8+אפריל!$B$8+מאי!$B$8+יוני!$B$8+יולי!$B$8+אוגוסט!$B$8+ספטמבר!$B$8+אוקטובר!$B$8+נובמבר!$B$8+דצמבר!$B$8</f>
        <v>303840</v>
      </c>
      <c r="C21" s="38" t="n">
        <f aca="false">ינואר!$B$9+פברואר!$B$9+מרץ!$B$9+אפריל!$B$9+מאי!$B$9+יוני!$B$9+יולי!$B$9+אוגוסט!$B$9+ספטמבר!$B$9+אוקטובר!$B$9+נובמבר!$B$9+דצמבר!$B$9</f>
        <v>64800</v>
      </c>
      <c r="D21" s="38" t="n">
        <f aca="false">ינואר!$B$10+פברואר!$B$10+מרץ!$B$10+אפריל!$B$10+מאי!$B$10+יוני!$B$10+יולי!$B$10+אוגוסט!$B$10+ספטמבר!$B$10+אוקטובר!$B$10+נובמבר!$B$10+דצמבר!$B$10</f>
        <v>95100</v>
      </c>
      <c r="E21" s="38" t="n">
        <f aca="false">ינואר!$B$11+פברואר!$B$11+מרץ!$B$11+אפריל!$B$11+מאי!$B$11+יוני!$B$11+יולי!$B$11+אוגוסט!$B$11+ספטמבר!$B$11+אוקטובר!$B$11+נובמבר!$B$11+דצמבר!$B$11</f>
        <v>88800</v>
      </c>
      <c r="F21" s="38" t="n">
        <f aca="false">ינואר!$B$12+פברואר!$B$12+מרץ!$B$12+אפריל!$B$12+מאי!$B$12+יוני!$B$12+יולי!$B$12+אוגוסט!$B$12+ספטמבר!$B$12+אוקטובר!$B$12+נובמבר!$B$12+דצמבר!$B$12</f>
        <v>27600</v>
      </c>
      <c r="G21" s="38" t="n">
        <f aca="false">SUM(C21:F21)</f>
        <v>276300</v>
      </c>
      <c r="H21" s="38" t="n">
        <f aca="false">B21-G21</f>
        <v>27540</v>
      </c>
    </row>
    <row r="22" customFormat="false" ht="15" hidden="false" customHeight="false" outlineLevel="0" collapsed="false">
      <c r="A22" s="37" t="s">
        <v>49</v>
      </c>
      <c r="B22" s="38" t="n">
        <f aca="false">B20/12</f>
        <v>0</v>
      </c>
      <c r="C22" s="38" t="n">
        <f aca="false">C20/12</f>
        <v>0</v>
      </c>
      <c r="D22" s="38" t="n">
        <f aca="false">D20/12</f>
        <v>0</v>
      </c>
      <c r="E22" s="38" t="n">
        <f aca="false">E20/12</f>
        <v>0</v>
      </c>
      <c r="F22" s="38" t="n">
        <f aca="false">F20/12</f>
        <v>0</v>
      </c>
      <c r="G22" s="38" t="n">
        <f aca="false">G20/12</f>
        <v>0</v>
      </c>
      <c r="H22" s="38" t="n">
        <f aca="false">H20/12</f>
        <v>0</v>
      </c>
    </row>
    <row r="25" customFormat="false" ht="15" hidden="false" customHeight="false" outlineLevel="0" collapsed="false">
      <c r="A25" s="39" t="s">
        <v>50</v>
      </c>
      <c r="B25" s="39"/>
      <c r="C25" s="39"/>
      <c r="D25" s="39"/>
      <c r="E25" s="39"/>
      <c r="F25" s="39"/>
    </row>
    <row r="26" customFormat="false" ht="15" hidden="false" customHeight="false" outlineLevel="0" collapsed="false">
      <c r="A26" s="40" t="s">
        <v>51</v>
      </c>
      <c r="B26" s="40" t="s">
        <v>52</v>
      </c>
      <c r="C26" s="40" t="s">
        <v>48</v>
      </c>
      <c r="D26" s="40" t="s">
        <v>53</v>
      </c>
      <c r="E26" s="40" t="s">
        <v>54</v>
      </c>
      <c r="F26" s="40" t="s">
        <v>55</v>
      </c>
    </row>
    <row r="27" customFormat="false" ht="15" hidden="false" customHeight="false" outlineLevel="0" collapsed="false">
      <c r="A27" s="7" t="str">
        <f aca="false">IF(הגדרות!$B$8="","",הגדרות!$B$8)</f>
        <v>משכורת 1</v>
      </c>
      <c r="B27" s="41" t="str">
        <f aca="false">IF(A27="","","הכנסות")</f>
        <v>הכנסות</v>
      </c>
      <c r="C27" s="42" t="n">
        <f aca="false">IF(A27="","",N(ינואר!B26)+N(פברואר!B26)+N(מרץ!B26)+N(אפריל!B26)+N(מאי!B26)+N(יוני!B26)+N(יולי!B26)+N(אוגוסט!B26)+N(ספטמבר!B26)+N(אוקטובר!B26)+N(נובמבר!B26)+N(דצמבר!B26))</f>
        <v>168000</v>
      </c>
      <c r="D27" s="43" t="n">
        <f aca="false">IF(A27="","",SUMIFS(תנועות!$E$6:$E$2005,תנועות!$B$6:$B$2005,A27,תנועות!$A$6:$A$2005,"&gt;="&amp;DATE(הגדרות!$C$3,1,1),תנועות!$A$6:$A$2005,"&lt;"&amp;DATE(הגדרות!$C$3+1,1,1)))</f>
        <v>0</v>
      </c>
      <c r="E27" s="42" t="n">
        <f aca="false">IF(A27="","",D27-C27)</f>
        <v>-168000</v>
      </c>
      <c r="F27" s="44" t="n">
        <f aca="false">IF(OR(A27="",N(C27)=0),"",D27/C27)</f>
        <v>0</v>
      </c>
    </row>
    <row r="28" customFormat="false" ht="15" hidden="false" customHeight="false" outlineLevel="0" collapsed="false">
      <c r="A28" s="7" t="str">
        <f aca="false">IF(הגדרות!$B$9="","",הגדרות!$B$9)</f>
        <v>משכורת 2</v>
      </c>
      <c r="B28" s="41" t="str">
        <f aca="false">IF(A28="","","הכנסות")</f>
        <v>הכנסות</v>
      </c>
      <c r="C28" s="42" t="n">
        <f aca="false">IF(A28="","",N(ינואר!B27)+N(פברואר!B27)+N(מרץ!B27)+N(אפריל!B27)+N(מאי!B27)+N(יוני!B27)+N(יולי!B27)+N(אוגוסט!B27)+N(ספטמבר!B27)+N(אוקטובר!B27)+N(נובמבר!B27)+N(דצמבר!B27))</f>
        <v>114000</v>
      </c>
      <c r="D28" s="43" t="n">
        <f aca="false">IF(A28="","",SUMIFS(תנועות!$E$6:$E$2005,תנועות!$B$6:$B$2005,A28,תנועות!$A$6:$A$2005,"&gt;="&amp;DATE(הגדרות!$C$3,1,1),תנועות!$A$6:$A$2005,"&lt;"&amp;DATE(הגדרות!$C$3+1,1,1)))</f>
        <v>0</v>
      </c>
      <c r="E28" s="42" t="n">
        <f aca="false">IF(A28="","",D28-C28)</f>
        <v>-114000</v>
      </c>
      <c r="F28" s="44" t="n">
        <f aca="false">IF(OR(A28="",N(C28)=0),"",D28/C28)</f>
        <v>0</v>
      </c>
    </row>
    <row r="29" customFormat="false" ht="15" hidden="false" customHeight="false" outlineLevel="0" collapsed="false">
      <c r="A29" s="7" t="str">
        <f aca="false">IF(הגדרות!$B$10="","",הגדרות!$B$10)</f>
        <v>עבודה נוספת</v>
      </c>
      <c r="B29" s="41" t="str">
        <f aca="false">IF(A29="","","הכנסות")</f>
        <v>הכנסות</v>
      </c>
      <c r="C29" s="42" t="n">
        <f aca="false">IF(A29="","",N(ינואר!B28)+N(פברואר!B28)+N(מרץ!B28)+N(אפריל!B28)+N(מאי!B28)+N(יוני!B28)+N(יולי!B28)+N(אוגוסט!B28)+N(ספטמבר!B28)+N(אוקטובר!B28)+N(נובמבר!B28)+N(דצמבר!B28))</f>
        <v>18000</v>
      </c>
      <c r="D29" s="43" t="n">
        <f aca="false">IF(A29="","",SUMIFS(תנועות!$E$6:$E$2005,תנועות!$B$6:$B$2005,A29,תנועות!$A$6:$A$2005,"&gt;="&amp;DATE(הגדרות!$C$3,1,1),תנועות!$A$6:$A$2005,"&lt;"&amp;DATE(הגדרות!$C$3+1,1,1)))</f>
        <v>0</v>
      </c>
      <c r="E29" s="42" t="n">
        <f aca="false">IF(A29="","",D29-C29)</f>
        <v>-18000</v>
      </c>
      <c r="F29" s="44" t="n">
        <f aca="false">IF(OR(A29="",N(C29)=0),"",D29/C29)</f>
        <v>0</v>
      </c>
    </row>
    <row r="30" customFormat="false" ht="15" hidden="false" customHeight="false" outlineLevel="0" collapsed="false">
      <c r="A30" s="7" t="str">
        <f aca="false">IF(הגדרות!$B$11="","",הגדרות!$B$11)</f>
        <v>קצבת ילדים</v>
      </c>
      <c r="B30" s="41" t="str">
        <f aca="false">IF(A30="","","הכנסות")</f>
        <v>הכנסות</v>
      </c>
      <c r="C30" s="42" t="n">
        <f aca="false">IF(A30="","",N(ינואר!B29)+N(פברואר!B29)+N(מרץ!B29)+N(אפריל!B29)+N(מאי!B29)+N(יוני!B29)+N(יולי!B29)+N(אוגוסט!B29)+N(ספטמבר!B29)+N(אוקטובר!B29)+N(נובמבר!B29)+N(דצמבר!B29))</f>
        <v>3840</v>
      </c>
      <c r="D30" s="43" t="n">
        <f aca="false">IF(A30="","",SUMIFS(תנועות!$E$6:$E$2005,תנועות!$B$6:$B$2005,A30,תנועות!$A$6:$A$2005,"&gt;="&amp;DATE(הגדרות!$C$3,1,1),תנועות!$A$6:$A$2005,"&lt;"&amp;DATE(הגדרות!$C$3+1,1,1)))</f>
        <v>0</v>
      </c>
      <c r="E30" s="42" t="n">
        <f aca="false">IF(A30="","",D30-C30)</f>
        <v>-3840</v>
      </c>
      <c r="F30" s="44" t="n">
        <f aca="false">IF(OR(A30="",N(C30)=0),"",D30/C30)</f>
        <v>0</v>
      </c>
    </row>
    <row r="31" customFormat="false" ht="15" hidden="false" customHeight="false" outlineLevel="0" collapsed="false">
      <c r="A31" s="7" t="str">
        <f aca="false">IF(הגדרות!$B$12="","",הגדרות!$B$12)</f>
        <v>החזרים והכנסות אחרות</v>
      </c>
      <c r="B31" s="41" t="str">
        <f aca="false">IF(A31="","","הכנסות")</f>
        <v>הכנסות</v>
      </c>
      <c r="C31" s="42" t="n">
        <f aca="false">IF(A31="","",N(ינואר!B30)+N(פברואר!B30)+N(מרץ!B30)+N(אפריל!B30)+N(מאי!B30)+N(יוני!B30)+N(יולי!B30)+N(אוגוסט!B30)+N(ספטמבר!B30)+N(אוקטובר!B30)+N(נובמבר!B30)+N(דצמבר!B30))</f>
        <v>0</v>
      </c>
      <c r="D31" s="43" t="n">
        <f aca="false">IF(A31="","",SUMIFS(תנועות!$E$6:$E$2005,תנועות!$B$6:$B$2005,A31,תנועות!$A$6:$A$2005,"&gt;="&amp;DATE(הגדרות!$C$3,1,1),תנועות!$A$6:$A$2005,"&lt;"&amp;DATE(הגדרות!$C$3+1,1,1)))</f>
        <v>0</v>
      </c>
      <c r="E31" s="42" t="n">
        <f aca="false">IF(A31="","",D31-C31)</f>
        <v>0</v>
      </c>
      <c r="F31" s="44" t="str">
        <f aca="false">IF(OR(A31="",N(C31)=0),"",D31/C31)</f>
        <v/>
      </c>
    </row>
    <row r="32" customFormat="false" ht="15" hidden="false" customHeight="false" outlineLevel="0" collapsed="false">
      <c r="A32" s="7" t="str">
        <f aca="false">IF(הגדרות!$B$13="","",הגדרות!$B$13)</f>
        <v/>
      </c>
      <c r="B32" s="41" t="str">
        <f aca="false">IF(A32="","","הכנסות")</f>
        <v/>
      </c>
      <c r="C32" s="42" t="str">
        <f aca="false">IF(A32="","",N(ינואר!B31)+N(פברואר!B31)+N(מרץ!B31)+N(אפריל!B31)+N(מאי!B31)+N(יוני!B31)+N(יולי!B31)+N(אוגוסט!B31)+N(ספטמבר!B31)+N(אוקטובר!B31)+N(נובמבר!B31)+N(דצמבר!B31))</f>
        <v/>
      </c>
      <c r="D32" s="43" t="str">
        <f aca="false">IF(A32="","",SUMIFS(תנועות!$E$6:$E$2005,תנועות!$B$6:$B$2005,A32,תנועות!$A$6:$A$2005,"&gt;="&amp;DATE(הגדרות!$C$3,1,1),תנועות!$A$6:$A$2005,"&lt;"&amp;DATE(הגדרות!$C$3+1,1,1)))</f>
        <v/>
      </c>
      <c r="E32" s="42" t="str">
        <f aca="false">IF(A32="","",D32-C32)</f>
        <v/>
      </c>
      <c r="F32" s="44" t="str">
        <f aca="false">IF(OR(A32="",N(C32)=0),"",D32/C32)</f>
        <v/>
      </c>
    </row>
    <row r="33" customFormat="false" ht="15" hidden="false" customHeight="false" outlineLevel="0" collapsed="false">
      <c r="A33" s="7" t="str">
        <f aca="false">IF(הגדרות!$B$14="","",הגדרות!$B$14)</f>
        <v/>
      </c>
      <c r="B33" s="41" t="str">
        <f aca="false">IF(A33="","","הכנסות")</f>
        <v/>
      </c>
      <c r="C33" s="42" t="str">
        <f aca="false">IF(A33="","",N(ינואר!B32)+N(פברואר!B32)+N(מרץ!B32)+N(אפריל!B32)+N(מאי!B32)+N(יוני!B32)+N(יולי!B32)+N(אוגוסט!B32)+N(ספטמבר!B32)+N(אוקטובר!B32)+N(נובמבר!B32)+N(דצמבר!B32))</f>
        <v/>
      </c>
      <c r="D33" s="43" t="str">
        <f aca="false">IF(A33="","",SUMIFS(תנועות!$E$6:$E$2005,תנועות!$B$6:$B$2005,A33,תנועות!$A$6:$A$2005,"&gt;="&amp;DATE(הגדרות!$C$3,1,1),תנועות!$A$6:$A$2005,"&lt;"&amp;DATE(הגדרות!$C$3+1,1,1)))</f>
        <v/>
      </c>
      <c r="E33" s="42" t="str">
        <f aca="false">IF(A33="","",D33-C33)</f>
        <v/>
      </c>
      <c r="F33" s="44" t="str">
        <f aca="false">IF(OR(A33="",N(C33)=0),"",D33/C33)</f>
        <v/>
      </c>
    </row>
    <row r="34" customFormat="false" ht="15" hidden="false" customHeight="false" outlineLevel="0" collapsed="false">
      <c r="A34" s="7" t="str">
        <f aca="false">IF(הגדרות!$B$15="","",הגדרות!$B$15)</f>
        <v/>
      </c>
      <c r="B34" s="41" t="str">
        <f aca="false">IF(A34="","","הכנסות")</f>
        <v/>
      </c>
      <c r="C34" s="42" t="str">
        <f aca="false">IF(A34="","",N(ינואר!B33)+N(פברואר!B33)+N(מרץ!B33)+N(אפריל!B33)+N(מאי!B33)+N(יוני!B33)+N(יולי!B33)+N(אוגוסט!B33)+N(ספטמבר!B33)+N(אוקטובר!B33)+N(נובמבר!B33)+N(דצמבר!B33))</f>
        <v/>
      </c>
      <c r="D34" s="43" t="str">
        <f aca="false">IF(A34="","",SUMIFS(תנועות!$E$6:$E$2005,תנועות!$B$6:$B$2005,A34,תנועות!$A$6:$A$2005,"&gt;="&amp;DATE(הגדרות!$C$3,1,1),תנועות!$A$6:$A$2005,"&lt;"&amp;DATE(הגדרות!$C$3+1,1,1)))</f>
        <v/>
      </c>
      <c r="E34" s="42" t="str">
        <f aca="false">IF(A34="","",D34-C34)</f>
        <v/>
      </c>
      <c r="F34" s="44" t="str">
        <f aca="false">IF(OR(A34="",N(C34)=0),"",D34/C34)</f>
        <v/>
      </c>
    </row>
    <row r="35" customFormat="false" ht="15" hidden="false" customHeight="false" outlineLevel="0" collapsed="false">
      <c r="A35" s="7" t="str">
        <f aca="false">IF(הגדרות!$B$16="","",הגדרות!$B$16)</f>
        <v>קרן חירום</v>
      </c>
      <c r="B35" s="45" t="str">
        <f aca="false">IF(A35="","","תוכניות חיסכון")</f>
        <v>תוכניות חיסכון</v>
      </c>
      <c r="C35" s="42" t="n">
        <f aca="false">IF(A35="","",N(ינואר!G26)+N(פברואר!G26)+N(מרץ!G26)+N(אפריל!G26)+N(מאי!G26)+N(יוני!G26)+N(יולי!G26)+N(אוגוסט!G26)+N(ספטמבר!G26)+N(אוקטובר!G26)+N(נובמבר!G26)+N(דצמבר!G26))</f>
        <v>18000</v>
      </c>
      <c r="D35" s="43" t="n">
        <f aca="false">IF(A35="","",SUMIFS(תנועות!$E$6:$E$2005,תנועות!$B$6:$B$2005,A35,תנועות!$A$6:$A$2005,"&gt;="&amp;DATE(הגדרות!$C$3,1,1),תנועות!$A$6:$A$2005,"&lt;"&amp;DATE(הגדרות!$C$3+1,1,1)))</f>
        <v>0</v>
      </c>
      <c r="E35" s="42" t="n">
        <f aca="false">IF(A35="","",C35-D35)</f>
        <v>18000</v>
      </c>
      <c r="F35" s="44" t="n">
        <f aca="false">IF(OR(A35="",N(C35)=0),"",D35/C35)</f>
        <v>0</v>
      </c>
    </row>
    <row r="36" customFormat="false" ht="15" hidden="false" customHeight="false" outlineLevel="0" collapsed="false">
      <c r="A36" s="7" t="str">
        <f aca="false">IF(הגדרות!$B$17="","",הגדרות!$B$17)</f>
        <v>חופשה משפחתית</v>
      </c>
      <c r="B36" s="45" t="str">
        <f aca="false">IF(A36="","","תוכניות חיסכון")</f>
        <v>תוכניות חיסכון</v>
      </c>
      <c r="C36" s="42" t="n">
        <f aca="false">IF(A36="","",N(ינואר!G27)+N(פברואר!G27)+N(מרץ!G27)+N(אפריל!G27)+N(מאי!G27)+N(יוני!G27)+N(יולי!G27)+N(אוגוסט!G27)+N(ספטמבר!G27)+N(אוקטובר!G27)+N(נובמבר!G27)+N(דצמבר!G27))</f>
        <v>7200</v>
      </c>
      <c r="D36" s="43" t="n">
        <f aca="false">IF(A36="","",SUMIFS(תנועות!$E$6:$E$2005,תנועות!$B$6:$B$2005,A36,תנועות!$A$6:$A$2005,"&gt;="&amp;DATE(הגדרות!$C$3,1,1),תנועות!$A$6:$A$2005,"&lt;"&amp;DATE(הגדרות!$C$3+1,1,1)))</f>
        <v>0</v>
      </c>
      <c r="E36" s="42" t="n">
        <f aca="false">IF(A36="","",C36-D36)</f>
        <v>7200</v>
      </c>
      <c r="F36" s="44" t="n">
        <f aca="false">IF(OR(A36="",N(C36)=0),"",D36/C36)</f>
        <v>0</v>
      </c>
    </row>
    <row r="37" customFormat="false" ht="15" hidden="false" customHeight="false" outlineLevel="0" collapsed="false">
      <c r="A37" s="7" t="str">
        <f aca="false">IF(הגדרות!$B$18="","",הגדרות!$B$18)</f>
        <v>רכב חדש</v>
      </c>
      <c r="B37" s="45" t="str">
        <f aca="false">IF(A37="","","תוכניות חיסכון")</f>
        <v>תוכניות חיסכון</v>
      </c>
      <c r="C37" s="42" t="n">
        <f aca="false">IF(A37="","",N(ינואר!G28)+N(פברואר!G28)+N(מרץ!G28)+N(אפריל!G28)+N(מאי!G28)+N(יוני!G28)+N(יולי!G28)+N(אוגוסט!G28)+N(ספטמבר!G28)+N(אוקטובר!G28)+N(נובמבר!G28)+N(דצמבר!G28))</f>
        <v>9600</v>
      </c>
      <c r="D37" s="43" t="n">
        <f aca="false">IF(A37="","",SUMIFS(תנועות!$E$6:$E$2005,תנועות!$B$6:$B$2005,A37,תנועות!$A$6:$A$2005,"&gt;="&amp;DATE(הגדרות!$C$3,1,1),תנועות!$A$6:$A$2005,"&lt;"&amp;DATE(הגדרות!$C$3+1,1,1)))</f>
        <v>0</v>
      </c>
      <c r="E37" s="42" t="n">
        <f aca="false">IF(A37="","",C37-D37)</f>
        <v>9600</v>
      </c>
      <c r="F37" s="44" t="n">
        <f aca="false">IF(OR(A37="",N(C37)=0),"",D37/C37)</f>
        <v>0</v>
      </c>
    </row>
    <row r="38" customFormat="false" ht="15" hidden="false" customHeight="false" outlineLevel="0" collapsed="false">
      <c r="A38" s="7" t="str">
        <f aca="false">IF(הגדרות!$B$19="","",הגדרות!$B$19)</f>
        <v>דירה</v>
      </c>
      <c r="B38" s="45" t="str">
        <f aca="false">IF(A38="","","תוכניות חיסכון")</f>
        <v>תוכניות חיסכון</v>
      </c>
      <c r="C38" s="42" t="n">
        <f aca="false">IF(A38="","",N(ינואר!G29)+N(פברואר!G29)+N(מרץ!G29)+N(אפריל!G29)+N(מאי!G29)+N(יוני!G29)+N(יולי!G29)+N(אוגוסט!G29)+N(ספטמבר!G29)+N(אוקטובר!G29)+N(נובמבר!G29)+N(דצמבר!G29))</f>
        <v>18000</v>
      </c>
      <c r="D38" s="43" t="n">
        <f aca="false">IF(A38="","",SUMIFS(תנועות!$E$6:$E$2005,תנועות!$B$6:$B$2005,A38,תנועות!$A$6:$A$2005,"&gt;="&amp;DATE(הגדרות!$C$3,1,1),תנועות!$A$6:$A$2005,"&lt;"&amp;DATE(הגדרות!$C$3+1,1,1)))</f>
        <v>0</v>
      </c>
      <c r="E38" s="42" t="n">
        <f aca="false">IF(A38="","",C38-D38)</f>
        <v>18000</v>
      </c>
      <c r="F38" s="44" t="n">
        <f aca="false">IF(OR(A38="",N(C38)=0),"",D38/C38)</f>
        <v>0</v>
      </c>
    </row>
    <row r="39" customFormat="false" ht="15" hidden="false" customHeight="false" outlineLevel="0" collapsed="false">
      <c r="A39" s="7" t="str">
        <f aca="false">IF(הגדרות!$B$20="","",הגדרות!$B$20)</f>
        <v>השקעות</v>
      </c>
      <c r="B39" s="45" t="str">
        <f aca="false">IF(A39="","","תוכניות חיסכון")</f>
        <v>תוכניות חיסכון</v>
      </c>
      <c r="C39" s="42" t="n">
        <f aca="false">IF(A39="","",N(ינואר!G30)+N(פברואר!G30)+N(מרץ!G30)+N(אפריל!G30)+N(מאי!G30)+N(יוני!G30)+N(יולי!G30)+N(אוגוסט!G30)+N(ספטמבר!G30)+N(אוקטובר!G30)+N(נובמבר!G30)+N(דצמבר!G30))</f>
        <v>12000</v>
      </c>
      <c r="D39" s="43" t="n">
        <f aca="false">IF(A39="","",SUMIFS(תנועות!$E$6:$E$2005,תנועות!$B$6:$B$2005,A39,תנועות!$A$6:$A$2005,"&gt;="&amp;DATE(הגדרות!$C$3,1,1),תנועות!$A$6:$A$2005,"&lt;"&amp;DATE(הגדרות!$C$3+1,1,1)))</f>
        <v>0</v>
      </c>
      <c r="E39" s="42" t="n">
        <f aca="false">IF(A39="","",C39-D39)</f>
        <v>12000</v>
      </c>
      <c r="F39" s="44" t="n">
        <f aca="false">IF(OR(A39="",N(C39)=0),"",D39/C39)</f>
        <v>0</v>
      </c>
    </row>
    <row r="40" customFormat="false" ht="15" hidden="false" customHeight="false" outlineLevel="0" collapsed="false">
      <c r="A40" s="7" t="str">
        <f aca="false">IF(הגדרות!$B$21="","",הגדרות!$B$21)</f>
        <v>שכר דירה / משכנתא</v>
      </c>
      <c r="B40" s="46" t="str">
        <f aca="false">IF(A40="","","חשבונות ומנויים")</f>
        <v>חשבונות ומנויים</v>
      </c>
      <c r="C40" s="42" t="n">
        <f aca="false">IF(A40="","",N(ינואר!L26)+N(פברואר!L26)+N(מרץ!L26)+N(אפריל!L26)+N(מאי!L26)+N(יוני!L26)+N(יולי!L26)+N(אוגוסט!L26)+N(ספטמבר!L26)+N(אוקטובר!L26)+N(נובמבר!L26)+N(דצמבר!L26))</f>
        <v>62400</v>
      </c>
      <c r="D40" s="43" t="n">
        <f aca="false">IF(A40="","",SUMIFS(תנועות!$E$6:$E$2005,תנועות!$B$6:$B$2005,A40,תנועות!$A$6:$A$2005,"&gt;="&amp;DATE(הגדרות!$C$3,1,1),תנועות!$A$6:$A$2005,"&lt;"&amp;DATE(הגדרות!$C$3+1,1,1)))</f>
        <v>0</v>
      </c>
      <c r="E40" s="42" t="n">
        <f aca="false">IF(A40="","",C40-D40)</f>
        <v>62400</v>
      </c>
      <c r="F40" s="44" t="n">
        <f aca="false">IF(OR(A40="",N(C40)=0),"",D40/C40)</f>
        <v>0</v>
      </c>
    </row>
    <row r="41" customFormat="false" ht="15" hidden="false" customHeight="false" outlineLevel="0" collapsed="false">
      <c r="A41" s="7" t="str">
        <f aca="false">IF(הגדרות!$B$22="","",הגדרות!$B$22)</f>
        <v>ארנונה</v>
      </c>
      <c r="B41" s="46" t="str">
        <f aca="false">IF(A41="","","חשבונות ומנויים")</f>
        <v>חשבונות ומנויים</v>
      </c>
      <c r="C41" s="42" t="n">
        <f aca="false">IF(A41="","",N(ינואר!L27)+N(פברואר!L27)+N(מרץ!L27)+N(אפריל!L27)+N(מאי!L27)+N(יוני!L27)+N(יולי!L27)+N(אוגוסט!L27)+N(ספטמבר!L27)+N(אוקטובר!L27)+N(נובמבר!L27)+N(דצמבר!L27))</f>
        <v>5400</v>
      </c>
      <c r="D41" s="43" t="n">
        <f aca="false">IF(A41="","",SUMIFS(תנועות!$E$6:$E$2005,תנועות!$B$6:$B$2005,A41,תנועות!$A$6:$A$2005,"&gt;="&amp;DATE(הגדרות!$C$3,1,1),תנועות!$A$6:$A$2005,"&lt;"&amp;DATE(הגדרות!$C$3+1,1,1)))</f>
        <v>0</v>
      </c>
      <c r="E41" s="42" t="n">
        <f aca="false">IF(A41="","",C41-D41)</f>
        <v>5400</v>
      </c>
      <c r="F41" s="44" t="n">
        <f aca="false">IF(OR(A41="",N(C41)=0),"",D41/C41)</f>
        <v>0</v>
      </c>
    </row>
    <row r="42" customFormat="false" ht="15" hidden="false" customHeight="false" outlineLevel="0" collapsed="false">
      <c r="A42" s="7" t="str">
        <f aca="false">IF(הגדרות!$B$23="","",הגדרות!$B$23)</f>
        <v>חשמל</v>
      </c>
      <c r="B42" s="46" t="str">
        <f aca="false">IF(A42="","","חשבונות ומנויים")</f>
        <v>חשבונות ומנויים</v>
      </c>
      <c r="C42" s="42" t="n">
        <f aca="false">IF(A42="","",N(ינואר!L28)+N(פברואר!L28)+N(מרץ!L28)+N(אפריל!L28)+N(מאי!L28)+N(יוני!L28)+N(יולי!L28)+N(אוגוסט!L28)+N(ספטמבר!L28)+N(אוקטובר!L28)+N(נובמבר!L28)+N(דצמבר!L28))</f>
        <v>4200</v>
      </c>
      <c r="D42" s="43" t="n">
        <f aca="false">IF(A42="","",SUMIFS(תנועות!$E$6:$E$2005,תנועות!$B$6:$B$2005,A42,תנועות!$A$6:$A$2005,"&gt;="&amp;DATE(הגדרות!$C$3,1,1),תנועות!$A$6:$A$2005,"&lt;"&amp;DATE(הגדרות!$C$3+1,1,1)))</f>
        <v>0</v>
      </c>
      <c r="E42" s="42" t="n">
        <f aca="false">IF(A42="","",C42-D42)</f>
        <v>4200</v>
      </c>
      <c r="F42" s="44" t="n">
        <f aca="false">IF(OR(A42="",N(C42)=0),"",D42/C42)</f>
        <v>0</v>
      </c>
    </row>
    <row r="43" customFormat="false" ht="15" hidden="false" customHeight="false" outlineLevel="0" collapsed="false">
      <c r="A43" s="7" t="str">
        <f aca="false">IF(הגדרות!$B$24="","",הגדרות!$B$24)</f>
        <v>מים</v>
      </c>
      <c r="B43" s="46" t="str">
        <f aca="false">IF(A43="","","חשבונות ומנויים")</f>
        <v>חשבונות ומנויים</v>
      </c>
      <c r="C43" s="42" t="n">
        <f aca="false">IF(A43="","",N(ינואר!L29)+N(פברואר!L29)+N(מרץ!L29)+N(אפריל!L29)+N(מאי!L29)+N(יוני!L29)+N(יולי!L29)+N(אוגוסט!L29)+N(ספטמבר!L29)+N(אוקטובר!L29)+N(נובמבר!L29)+N(דצמבר!L29))</f>
        <v>1500</v>
      </c>
      <c r="D43" s="43" t="n">
        <f aca="false">IF(A43="","",SUMIFS(תנועות!$E$6:$E$2005,תנועות!$B$6:$B$2005,A43,תנועות!$A$6:$A$2005,"&gt;="&amp;DATE(הגדרות!$C$3,1,1),תנועות!$A$6:$A$2005,"&lt;"&amp;DATE(הגדרות!$C$3+1,1,1)))</f>
        <v>0</v>
      </c>
      <c r="E43" s="42" t="n">
        <f aca="false">IF(A43="","",C43-D43)</f>
        <v>1500</v>
      </c>
      <c r="F43" s="44" t="n">
        <f aca="false">IF(OR(A43="",N(C43)=0),"",D43/C43)</f>
        <v>0</v>
      </c>
    </row>
    <row r="44" customFormat="false" ht="15" hidden="false" customHeight="false" outlineLevel="0" collapsed="false">
      <c r="A44" s="7" t="str">
        <f aca="false">IF(הגדרות!$B$25="","",הגדרות!$B$25)</f>
        <v>גז</v>
      </c>
      <c r="B44" s="46" t="str">
        <f aca="false">IF(A44="","","חשבונות ומנויים")</f>
        <v>חשבונות ומנויים</v>
      </c>
      <c r="C44" s="42" t="n">
        <f aca="false">IF(A44="","",N(ינואר!L30)+N(פברואר!L30)+N(מרץ!L30)+N(אפריל!L30)+N(מאי!L30)+N(יוני!L30)+N(יולי!L30)+N(אוגוסט!L30)+N(ספטמבר!L30)+N(אוקטובר!L30)+N(נובמבר!L30)+N(דצמבר!L30))</f>
        <v>720</v>
      </c>
      <c r="D44" s="43" t="n">
        <f aca="false">IF(A44="","",SUMIFS(תנועות!$E$6:$E$2005,תנועות!$B$6:$B$2005,A44,תנועות!$A$6:$A$2005,"&gt;="&amp;DATE(הגדרות!$C$3,1,1),תנועות!$A$6:$A$2005,"&lt;"&amp;DATE(הגדרות!$C$3+1,1,1)))</f>
        <v>0</v>
      </c>
      <c r="E44" s="42" t="n">
        <f aca="false">IF(A44="","",C44-D44)</f>
        <v>720</v>
      </c>
      <c r="F44" s="44" t="n">
        <f aca="false">IF(OR(A44="",N(C44)=0),"",D44/C44)</f>
        <v>0</v>
      </c>
    </row>
    <row r="45" customFormat="false" ht="15" hidden="false" customHeight="false" outlineLevel="0" collapsed="false">
      <c r="A45" s="7" t="str">
        <f aca="false">IF(הגדרות!$B$26="","",הגדרות!$B$26)</f>
        <v>ועד בית</v>
      </c>
      <c r="B45" s="46" t="str">
        <f aca="false">IF(A45="","","חשבונות ומנויים")</f>
        <v>חשבונות ומנויים</v>
      </c>
      <c r="C45" s="42" t="n">
        <f aca="false">IF(A45="","",N(ינואר!L31)+N(פברואר!L31)+N(מרץ!L31)+N(אפריל!L31)+N(מאי!L31)+N(יוני!L31)+N(יולי!L31)+N(אוגוסט!L31)+N(ספטמבר!L31)+N(אוקטובר!L31)+N(נובמבר!L31)+N(דצמבר!L31))</f>
        <v>3000</v>
      </c>
      <c r="D45" s="43" t="n">
        <f aca="false">IF(A45="","",SUMIFS(תנועות!$E$6:$E$2005,תנועות!$B$6:$B$2005,A45,תנועות!$A$6:$A$2005,"&gt;="&amp;DATE(הגדרות!$C$3,1,1),תנועות!$A$6:$A$2005,"&lt;"&amp;DATE(הגדרות!$C$3+1,1,1)))</f>
        <v>0</v>
      </c>
      <c r="E45" s="42" t="n">
        <f aca="false">IF(A45="","",C45-D45)</f>
        <v>3000</v>
      </c>
      <c r="F45" s="44" t="n">
        <f aca="false">IF(OR(A45="",N(C45)=0),"",D45/C45)</f>
        <v>0</v>
      </c>
    </row>
    <row r="46" customFormat="false" ht="15" hidden="false" customHeight="false" outlineLevel="0" collapsed="false">
      <c r="A46" s="7" t="str">
        <f aca="false">IF(הגדרות!$B$27="","",הגדרות!$B$27)</f>
        <v>אינטרנט וטלוויזיה</v>
      </c>
      <c r="B46" s="46" t="str">
        <f aca="false">IF(A46="","","חשבונות ומנויים")</f>
        <v>חשבונות ומנויים</v>
      </c>
      <c r="C46" s="42" t="n">
        <f aca="false">IF(A46="","",N(ינואר!L32)+N(פברואר!L32)+N(מרץ!L32)+N(אפריל!L32)+N(מאי!L32)+N(יוני!L32)+N(יולי!L32)+N(אוגוסט!L32)+N(ספטמבר!L32)+N(אוקטובר!L32)+N(נובמבר!L32)+N(דצמבר!L32))</f>
        <v>2160</v>
      </c>
      <c r="D46" s="43" t="n">
        <f aca="false">IF(A46="","",SUMIFS(תנועות!$E$6:$E$2005,תנועות!$B$6:$B$2005,A46,תנועות!$A$6:$A$2005,"&gt;="&amp;DATE(הגדרות!$C$3,1,1),תנועות!$A$6:$A$2005,"&lt;"&amp;DATE(הגדרות!$C$3+1,1,1)))</f>
        <v>0</v>
      </c>
      <c r="E46" s="42" t="n">
        <f aca="false">IF(A46="","",C46-D46)</f>
        <v>2160</v>
      </c>
      <c r="F46" s="44" t="n">
        <f aca="false">IF(OR(A46="",N(C46)=0),"",D46/C46)</f>
        <v>0</v>
      </c>
    </row>
    <row r="47" customFormat="false" ht="15" hidden="false" customHeight="false" outlineLevel="0" collapsed="false">
      <c r="A47" s="7" t="str">
        <f aca="false">IF(הגדרות!$B$28="","",הגדרות!$B$28)</f>
        <v>סלולר</v>
      </c>
      <c r="B47" s="46" t="str">
        <f aca="false">IF(A47="","","חשבונות ומנויים")</f>
        <v>חשבונות ומנויים</v>
      </c>
      <c r="C47" s="42" t="n">
        <f aca="false">IF(A47="","",N(ינואר!L33)+N(פברואר!L33)+N(מרץ!L33)+N(אפריל!L33)+N(מאי!L33)+N(יוני!L33)+N(יולי!L33)+N(אוגוסט!L33)+N(ספטמבר!L33)+N(אוקטובר!L33)+N(נובמבר!L33)+N(דצמבר!L33))</f>
        <v>1440</v>
      </c>
      <c r="D47" s="43" t="n">
        <f aca="false">IF(A47="","",SUMIFS(תנועות!$E$6:$E$2005,תנועות!$B$6:$B$2005,A47,תנועות!$A$6:$A$2005,"&gt;="&amp;DATE(הגדרות!$C$3,1,1),תנועות!$A$6:$A$2005,"&lt;"&amp;DATE(הגדרות!$C$3+1,1,1)))</f>
        <v>0</v>
      </c>
      <c r="E47" s="42" t="n">
        <f aca="false">IF(A47="","",C47-D47)</f>
        <v>1440</v>
      </c>
      <c r="F47" s="44" t="n">
        <f aca="false">IF(OR(A47="",N(C47)=0),"",D47/C47)</f>
        <v>0</v>
      </c>
    </row>
    <row r="48" customFormat="false" ht="15" hidden="false" customHeight="false" outlineLevel="0" collapsed="false">
      <c r="A48" s="7" t="str">
        <f aca="false">IF(הגדרות!$B$29="","",הגדרות!$B$29)</f>
        <v>ביטוחי בריאות וחיים</v>
      </c>
      <c r="B48" s="46" t="str">
        <f aca="false">IF(A48="","","חשבונות ומנויים")</f>
        <v>חשבונות ומנויים</v>
      </c>
      <c r="C48" s="42" t="n">
        <f aca="false">IF(A48="","",N(ינואר!L34)+N(פברואר!L34)+N(מרץ!L34)+N(אפריל!L34)+N(מאי!L34)+N(יוני!L34)+N(יולי!L34)+N(אוגוסט!L34)+N(ספטמבר!L34)+N(אוקטובר!L34)+N(נובמבר!L34)+N(דצמבר!L34))</f>
        <v>5400</v>
      </c>
      <c r="D48" s="43" t="n">
        <f aca="false">IF(A48="","",SUMIFS(תנועות!$E$6:$E$2005,תנועות!$B$6:$B$2005,A48,תנועות!$A$6:$A$2005,"&gt;="&amp;DATE(הגדרות!$C$3,1,1),תנועות!$A$6:$A$2005,"&lt;"&amp;DATE(הגדרות!$C$3+1,1,1)))</f>
        <v>0</v>
      </c>
      <c r="E48" s="42" t="n">
        <f aca="false">IF(A48="","",C48-D48)</f>
        <v>5400</v>
      </c>
      <c r="F48" s="44" t="n">
        <f aca="false">IF(OR(A48="",N(C48)=0),"",D48/C48)</f>
        <v>0</v>
      </c>
    </row>
    <row r="49" customFormat="false" ht="15" hidden="false" customHeight="false" outlineLevel="0" collapsed="false">
      <c r="A49" s="7" t="str">
        <f aca="false">IF(הגדרות!$B$30="","",הגדרות!$B$30)</f>
        <v>ביטוח רכב</v>
      </c>
      <c r="B49" s="46" t="str">
        <f aca="false">IF(A49="","","חשבונות ומנויים")</f>
        <v>חשבונות ומנויים</v>
      </c>
      <c r="C49" s="42" t="n">
        <f aca="false">IF(A49="","",N(ינואר!L35)+N(פברואר!L35)+N(מרץ!L35)+N(אפריל!L35)+N(מאי!L35)+N(יוני!L35)+N(יולי!L35)+N(אוגוסט!L35)+N(ספטמבר!L35)+N(אוקטובר!L35)+N(נובמבר!L35)+N(דצמבר!L35))</f>
        <v>4800</v>
      </c>
      <c r="D49" s="43" t="n">
        <f aca="false">IF(A49="","",SUMIFS(תנועות!$E$6:$E$2005,תנועות!$B$6:$B$2005,A49,תנועות!$A$6:$A$2005,"&gt;="&amp;DATE(הגדרות!$C$3,1,1),תנועות!$A$6:$A$2005,"&lt;"&amp;DATE(הגדרות!$C$3+1,1,1)))</f>
        <v>0</v>
      </c>
      <c r="E49" s="42" t="n">
        <f aca="false">IF(A49="","",C49-D49)</f>
        <v>4800</v>
      </c>
      <c r="F49" s="44" t="n">
        <f aca="false">IF(OR(A49="",N(C49)=0),"",D49/C49)</f>
        <v>0</v>
      </c>
    </row>
    <row r="50" customFormat="false" ht="15" hidden="false" customHeight="false" outlineLevel="0" collapsed="false">
      <c r="A50" s="7" t="str">
        <f aca="false">IF(הגדרות!$B$31="","",הגדרות!$B$31)</f>
        <v>סטרימינג ומנויים</v>
      </c>
      <c r="B50" s="46" t="str">
        <f aca="false">IF(A50="","","חשבונות ומנויים")</f>
        <v>חשבונות ומנויים</v>
      </c>
      <c r="C50" s="42" t="n">
        <f aca="false">IF(A50="","",N(ינואר!L36)+N(פברואר!L36)+N(מרץ!L36)+N(אפריל!L36)+N(מאי!L36)+N(יוני!L36)+N(יולי!L36)+N(אוגוסט!L36)+N(ספטמבר!L36)+N(אוקטובר!L36)+N(נובמבר!L36)+N(דצמבר!L36))</f>
        <v>1080</v>
      </c>
      <c r="D50" s="43" t="n">
        <f aca="false">IF(A50="","",SUMIFS(תנועות!$E$6:$E$2005,תנועות!$B$6:$B$2005,A50,תנועות!$A$6:$A$2005,"&gt;="&amp;DATE(הגדרות!$C$3,1,1),תנועות!$A$6:$A$2005,"&lt;"&amp;DATE(הגדרות!$C$3+1,1,1)))</f>
        <v>0</v>
      </c>
      <c r="E50" s="42" t="n">
        <f aca="false">IF(A50="","",C50-D50)</f>
        <v>1080</v>
      </c>
      <c r="F50" s="44" t="n">
        <f aca="false">IF(OR(A50="",N(C50)=0),"",D50/C50)</f>
        <v>0</v>
      </c>
    </row>
    <row r="51" customFormat="false" ht="15" hidden="false" customHeight="false" outlineLevel="0" collapsed="false">
      <c r="A51" s="7" t="str">
        <f aca="false">IF(הגדרות!$B$32="","",הגדרות!$B$32)</f>
        <v>חדר כושר</v>
      </c>
      <c r="B51" s="46" t="str">
        <f aca="false">IF(A51="","","חשבונות ומנויים")</f>
        <v>חשבונות ומנויים</v>
      </c>
      <c r="C51" s="42" t="n">
        <f aca="false">IF(A51="","",N(ינואר!L37)+N(פברואר!L37)+N(מרץ!L37)+N(אפריל!L37)+N(מאי!L37)+N(יוני!L37)+N(יולי!L37)+N(אוגוסט!L37)+N(ספטמבר!L37)+N(אוקטובר!L37)+N(נובמבר!L37)+N(דצמבר!L37))</f>
        <v>3000</v>
      </c>
      <c r="D51" s="43" t="n">
        <f aca="false">IF(A51="","",SUMIFS(תנועות!$E$6:$E$2005,תנועות!$B$6:$B$2005,A51,תנועות!$A$6:$A$2005,"&gt;="&amp;DATE(הגדרות!$C$3,1,1),תנועות!$A$6:$A$2005,"&lt;"&amp;DATE(הגדרות!$C$3+1,1,1)))</f>
        <v>0</v>
      </c>
      <c r="E51" s="42" t="n">
        <f aca="false">IF(A51="","",C51-D51)</f>
        <v>3000</v>
      </c>
      <c r="F51" s="44" t="n">
        <f aca="false">IF(OR(A51="",N(C51)=0),"",D51/C51)</f>
        <v>0</v>
      </c>
    </row>
    <row r="52" customFormat="false" ht="15" hidden="false" customHeight="false" outlineLevel="0" collapsed="false">
      <c r="A52" s="7" t="str">
        <f aca="false">IF(הגדרות!$B$33="","",הגדרות!$B$33)</f>
        <v>סופרמרקט</v>
      </c>
      <c r="B52" s="47" t="str">
        <f aca="false">IF(A52="","","הוצאות משתנות")</f>
        <v>הוצאות משתנות</v>
      </c>
      <c r="C52" s="42" t="n">
        <f aca="false">IF(A52="","",N(ינואר!Q26)+N(פברואר!Q26)+N(מרץ!Q26)+N(אפריל!Q26)+N(מאי!Q26)+N(יוני!Q26)+N(יולי!Q26)+N(אוגוסט!Q26)+N(ספטמבר!Q26)+N(אוקטובר!Q26)+N(נובמבר!Q26)+N(דצמבר!Q26))</f>
        <v>33800</v>
      </c>
      <c r="D52" s="43" t="n">
        <f aca="false">IF(A52="","",SUMIFS(תנועות!$E$6:$E$2005,תנועות!$B$6:$B$2005,A52,תנועות!$A$6:$A$2005,"&gt;="&amp;DATE(הגדרות!$C$3,1,1),תנועות!$A$6:$A$2005,"&lt;"&amp;DATE(הגדרות!$C$3+1,1,1)))</f>
        <v>0</v>
      </c>
      <c r="E52" s="42" t="n">
        <f aca="false">IF(A52="","",C52-D52)</f>
        <v>33800</v>
      </c>
      <c r="F52" s="44" t="n">
        <f aca="false">IF(OR(A52="",N(C52)=0),"",D52/C52)</f>
        <v>0</v>
      </c>
    </row>
    <row r="53" customFormat="false" ht="15" hidden="false" customHeight="false" outlineLevel="0" collapsed="false">
      <c r="A53" s="7" t="str">
        <f aca="false">IF(הגדרות!$B$34="","",הגדרות!$B$34)</f>
        <v>דלק</v>
      </c>
      <c r="B53" s="47" t="str">
        <f aca="false">IF(A53="","","הוצאות משתנות")</f>
        <v>הוצאות משתנות</v>
      </c>
      <c r="C53" s="42" t="n">
        <f aca="false">IF(A53="","",N(ינואר!Q27)+N(פברואר!Q27)+N(מרץ!Q27)+N(אפריל!Q27)+N(מאי!Q27)+N(יוני!Q27)+N(יולי!Q27)+N(אוגוסט!Q27)+N(ספטמבר!Q27)+N(אוקטובר!Q27)+N(נובמבר!Q27)+N(דצמבר!Q27))</f>
        <v>7200</v>
      </c>
      <c r="D53" s="43" t="n">
        <f aca="false">IF(A53="","",SUMIFS(תנועות!$E$6:$E$2005,תנועות!$B$6:$B$2005,A53,תנועות!$A$6:$A$2005,"&gt;="&amp;DATE(הגדרות!$C$3,1,1),תנועות!$A$6:$A$2005,"&lt;"&amp;DATE(הגדרות!$C$3+1,1,1)))</f>
        <v>0</v>
      </c>
      <c r="E53" s="42" t="n">
        <f aca="false">IF(A53="","",C53-D53)</f>
        <v>7200</v>
      </c>
      <c r="F53" s="44" t="n">
        <f aca="false">IF(OR(A53="",N(C53)=0),"",D53/C53)</f>
        <v>0</v>
      </c>
    </row>
    <row r="54" customFormat="false" ht="15" hidden="false" customHeight="false" outlineLevel="0" collapsed="false">
      <c r="A54" s="7" t="str">
        <f aca="false">IF(הגדרות!$B$35="","",הגדרות!$B$35)</f>
        <v>תחבורה ציבורית וחניה</v>
      </c>
      <c r="B54" s="47" t="str">
        <f aca="false">IF(A54="","","הוצאות משתנות")</f>
        <v>הוצאות משתנות</v>
      </c>
      <c r="C54" s="42" t="n">
        <f aca="false">IF(A54="","",N(ינואר!Q28)+N(פברואר!Q28)+N(מרץ!Q28)+N(אפריל!Q28)+N(מאי!Q28)+N(יוני!Q28)+N(יולי!Q28)+N(אוגוסט!Q28)+N(ספטמבר!Q28)+N(אוקטובר!Q28)+N(נובמבר!Q28)+N(דצמבר!Q28))</f>
        <v>1800</v>
      </c>
      <c r="D54" s="43" t="n">
        <f aca="false">IF(A54="","",SUMIFS(תנועות!$E$6:$E$2005,תנועות!$B$6:$B$2005,A54,תנועות!$A$6:$A$2005,"&gt;="&amp;DATE(הגדרות!$C$3,1,1),תנועות!$A$6:$A$2005,"&lt;"&amp;DATE(הגדרות!$C$3+1,1,1)))</f>
        <v>0</v>
      </c>
      <c r="E54" s="42" t="n">
        <f aca="false">IF(A54="","",C54-D54)</f>
        <v>1800</v>
      </c>
      <c r="F54" s="44" t="n">
        <f aca="false">IF(OR(A54="",N(C54)=0),"",D54/C54)</f>
        <v>0</v>
      </c>
    </row>
    <row r="55" customFormat="false" ht="15" hidden="false" customHeight="false" outlineLevel="0" collapsed="false">
      <c r="A55" s="7" t="str">
        <f aca="false">IF(הגדרות!$B$36="","",הגדרות!$B$36)</f>
        <v>מסעדות ובילויים</v>
      </c>
      <c r="B55" s="47" t="str">
        <f aca="false">IF(A55="","","הוצאות משתנות")</f>
        <v>הוצאות משתנות</v>
      </c>
      <c r="C55" s="42" t="n">
        <f aca="false">IF(A55="","",N(ינואר!Q29)+N(פברואר!Q29)+N(מרץ!Q29)+N(אפריל!Q29)+N(מאי!Q29)+N(יוני!Q29)+N(יולי!Q29)+N(אוגוסט!Q29)+N(ספטמבר!Q29)+N(אוקטובר!Q29)+N(נובמבר!Q29)+N(דצמבר!Q29))</f>
        <v>13000</v>
      </c>
      <c r="D55" s="43" t="n">
        <f aca="false">IF(A55="","",SUMIFS(תנועות!$E$6:$E$2005,תנועות!$B$6:$B$2005,A55,תנועות!$A$6:$A$2005,"&gt;="&amp;DATE(הגדרות!$C$3,1,1),תנועות!$A$6:$A$2005,"&lt;"&amp;DATE(הגדרות!$C$3+1,1,1)))</f>
        <v>0</v>
      </c>
      <c r="E55" s="42" t="n">
        <f aca="false">IF(A55="","",C55-D55)</f>
        <v>13000</v>
      </c>
      <c r="F55" s="44" t="n">
        <f aca="false">IF(OR(A55="",N(C55)=0),"",D55/C55)</f>
        <v>0</v>
      </c>
    </row>
    <row r="56" customFormat="false" ht="15" hidden="false" customHeight="false" outlineLevel="0" collapsed="false">
      <c r="A56" s="7" t="str">
        <f aca="false">IF(הגדרות!$B$37="","",הגדרות!$B$37)</f>
        <v>ביגוד והנעלה</v>
      </c>
      <c r="B56" s="47" t="str">
        <f aca="false">IF(A56="","","הוצאות משתנות")</f>
        <v>הוצאות משתנות</v>
      </c>
      <c r="C56" s="42" t="n">
        <f aca="false">IF(A56="","",N(ינואר!Q30)+N(פברואר!Q30)+N(מרץ!Q30)+N(אפריל!Q30)+N(מאי!Q30)+N(יוני!Q30)+N(יולי!Q30)+N(אוגוסט!Q30)+N(ספטמבר!Q30)+N(אוקטובר!Q30)+N(נובמבר!Q30)+N(דצמבר!Q30))</f>
        <v>4800</v>
      </c>
      <c r="D56" s="43" t="n">
        <f aca="false">IF(A56="","",SUMIFS(תנועות!$E$6:$E$2005,תנועות!$B$6:$B$2005,A56,תנועות!$A$6:$A$2005,"&gt;="&amp;DATE(הגדרות!$C$3,1,1),תנועות!$A$6:$A$2005,"&lt;"&amp;DATE(הגדרות!$C$3+1,1,1)))</f>
        <v>0</v>
      </c>
      <c r="E56" s="42" t="n">
        <f aca="false">IF(A56="","",C56-D56)</f>
        <v>4800</v>
      </c>
      <c r="F56" s="44" t="n">
        <f aca="false">IF(OR(A56="",N(C56)=0),"",D56/C56)</f>
        <v>0</v>
      </c>
    </row>
    <row r="57" customFormat="false" ht="15" hidden="false" customHeight="false" outlineLevel="0" collapsed="false">
      <c r="A57" s="7" t="str">
        <f aca="false">IF(הגדרות!$B$38="","",הגדרות!$B$38)</f>
        <v>בריאות ותרופות</v>
      </c>
      <c r="B57" s="47" t="str">
        <f aca="false">IF(A57="","","הוצאות משתנות")</f>
        <v>הוצאות משתנות</v>
      </c>
      <c r="C57" s="42" t="n">
        <f aca="false">IF(A57="","",N(ינואר!Q31)+N(פברואר!Q31)+N(מרץ!Q31)+N(אפריל!Q31)+N(מאי!Q31)+N(יוני!Q31)+N(יולי!Q31)+N(אוגוסט!Q31)+N(ספטמבר!Q31)+N(אוקטובר!Q31)+N(נובמבר!Q31)+N(דצמבר!Q31))</f>
        <v>2400</v>
      </c>
      <c r="D57" s="43" t="n">
        <f aca="false">IF(A57="","",SUMIFS(תנועות!$E$6:$E$2005,תנועות!$B$6:$B$2005,A57,תנועות!$A$6:$A$2005,"&gt;="&amp;DATE(הגדרות!$C$3,1,1),תנועות!$A$6:$A$2005,"&lt;"&amp;DATE(הגדרות!$C$3+1,1,1)))</f>
        <v>0</v>
      </c>
      <c r="E57" s="42" t="n">
        <f aca="false">IF(A57="","",C57-D57)</f>
        <v>2400</v>
      </c>
      <c r="F57" s="44" t="n">
        <f aca="false">IF(OR(A57="",N(C57)=0),"",D57/C57)</f>
        <v>0</v>
      </c>
    </row>
    <row r="58" customFormat="false" ht="15" hidden="false" customHeight="false" outlineLevel="0" collapsed="false">
      <c r="A58" s="7" t="str">
        <f aca="false">IF(הגדרות!$B$39="","",הגדרות!$B$39)</f>
        <v>ילדים וחינוך</v>
      </c>
      <c r="B58" s="47" t="str">
        <f aca="false">IF(A58="","","הוצאות משתנות")</f>
        <v>הוצאות משתנות</v>
      </c>
      <c r="C58" s="42" t="n">
        <f aca="false">IF(A58="","",N(ינואר!Q32)+N(פברואר!Q32)+N(מרץ!Q32)+N(אפריל!Q32)+N(מאי!Q32)+N(יוני!Q32)+N(יולי!Q32)+N(אוגוסט!Q32)+N(ספטמבר!Q32)+N(אוקטובר!Q32)+N(נובמבר!Q32)+N(דצמבר!Q32))</f>
        <v>10800</v>
      </c>
      <c r="D58" s="43" t="n">
        <f aca="false">IF(A58="","",SUMIFS(תנועות!$E$6:$E$2005,תנועות!$B$6:$B$2005,A58,תנועות!$A$6:$A$2005,"&gt;="&amp;DATE(הגדרות!$C$3,1,1),תנועות!$A$6:$A$2005,"&lt;"&amp;DATE(הגדרות!$C$3+1,1,1)))</f>
        <v>0</v>
      </c>
      <c r="E58" s="42" t="n">
        <f aca="false">IF(A58="","",C58-D58)</f>
        <v>10800</v>
      </c>
      <c r="F58" s="44" t="n">
        <f aca="false">IF(OR(A58="",N(C58)=0),"",D58/C58)</f>
        <v>0</v>
      </c>
    </row>
    <row r="59" customFormat="false" ht="15" hidden="false" customHeight="false" outlineLevel="0" collapsed="false">
      <c r="A59" s="7" t="str">
        <f aca="false">IF(הגדרות!$B$40="","",הגדרות!$B$40)</f>
        <v>מתנות ואירועים</v>
      </c>
      <c r="B59" s="47" t="str">
        <f aca="false">IF(A59="","","הוצאות משתנות")</f>
        <v>הוצאות משתנות</v>
      </c>
      <c r="C59" s="42" t="n">
        <f aca="false">IF(A59="","",N(ינואר!Q33)+N(פברואר!Q33)+N(מרץ!Q33)+N(אפריל!Q33)+N(מאי!Q33)+N(יוני!Q33)+N(יולי!Q33)+N(אוגוסט!Q33)+N(ספטמבר!Q33)+N(אוקטובר!Q33)+N(נובמבר!Q33)+N(דצמבר!Q33))</f>
        <v>3600</v>
      </c>
      <c r="D59" s="43" t="n">
        <f aca="false">IF(A59="","",SUMIFS(תנועות!$E$6:$E$2005,תנועות!$B$6:$B$2005,A59,תנועות!$A$6:$A$2005,"&gt;="&amp;DATE(הגדרות!$C$3,1,1),תנועות!$A$6:$A$2005,"&lt;"&amp;DATE(הגדרות!$C$3+1,1,1)))</f>
        <v>0</v>
      </c>
      <c r="E59" s="42" t="n">
        <f aca="false">IF(A59="","",C59-D59)</f>
        <v>3600</v>
      </c>
      <c r="F59" s="44" t="n">
        <f aca="false">IF(OR(A59="",N(C59)=0),"",D59/C59)</f>
        <v>0</v>
      </c>
    </row>
    <row r="60" customFormat="false" ht="15" hidden="false" customHeight="false" outlineLevel="0" collapsed="false">
      <c r="A60" s="7" t="str">
        <f aca="false">IF(הגדרות!$B$41="","",הגדרות!$B$41)</f>
        <v>טיפוח</v>
      </c>
      <c r="B60" s="47" t="str">
        <f aca="false">IF(A60="","","הוצאות משתנות")</f>
        <v>הוצאות משתנות</v>
      </c>
      <c r="C60" s="42" t="n">
        <f aca="false">IF(A60="","",N(ינואר!Q34)+N(פברואר!Q34)+N(מרץ!Q34)+N(אפריל!Q34)+N(מאי!Q34)+N(יוני!Q34)+N(יולי!Q34)+N(אוגוסט!Q34)+N(ספטמבר!Q34)+N(אוקטובר!Q34)+N(נובמבר!Q34)+N(דצמבר!Q34))</f>
        <v>2400</v>
      </c>
      <c r="D60" s="43" t="n">
        <f aca="false">IF(A60="","",SUMIFS(תנועות!$E$6:$E$2005,תנועות!$B$6:$B$2005,A60,תנועות!$A$6:$A$2005,"&gt;="&amp;DATE(הגדרות!$C$3,1,1),תנועות!$A$6:$A$2005,"&lt;"&amp;DATE(הגדרות!$C$3+1,1,1)))</f>
        <v>0</v>
      </c>
      <c r="E60" s="42" t="n">
        <f aca="false">IF(A60="","",C60-D60)</f>
        <v>2400</v>
      </c>
      <c r="F60" s="44" t="n">
        <f aca="false">IF(OR(A60="",N(C60)=0),"",D60/C60)</f>
        <v>0</v>
      </c>
    </row>
    <row r="61" customFormat="false" ht="15" hidden="false" customHeight="false" outlineLevel="0" collapsed="false">
      <c r="A61" s="7" t="str">
        <f aca="false">IF(הגדרות!$B$42="","",הגדרות!$B$42)</f>
        <v>בית ותחזוקה</v>
      </c>
      <c r="B61" s="47" t="str">
        <f aca="false">IF(A61="","","הוצאות משתנות")</f>
        <v>הוצאות משתנות</v>
      </c>
      <c r="C61" s="42" t="n">
        <f aca="false">IF(A61="","",N(ינואר!Q35)+N(פברואר!Q35)+N(מרץ!Q35)+N(אפריל!Q35)+N(מאי!Q35)+N(יוני!Q35)+N(יולי!Q35)+N(אוגוסט!Q35)+N(ספטמבר!Q35)+N(אוקטובר!Q35)+N(נובמבר!Q35)+N(דצמבר!Q35))</f>
        <v>3600</v>
      </c>
      <c r="D61" s="43" t="n">
        <f aca="false">IF(A61="","",SUMIFS(תנועות!$E$6:$E$2005,תנועות!$B$6:$B$2005,A61,תנועות!$A$6:$A$2005,"&gt;="&amp;DATE(הגדרות!$C$3,1,1),תנועות!$A$6:$A$2005,"&lt;"&amp;DATE(הגדרות!$C$3+1,1,1)))</f>
        <v>0</v>
      </c>
      <c r="E61" s="42" t="n">
        <f aca="false">IF(A61="","",C61-D61)</f>
        <v>3600</v>
      </c>
      <c r="F61" s="44" t="n">
        <f aca="false">IF(OR(A61="",N(C61)=0),"",D61/C61)</f>
        <v>0</v>
      </c>
    </row>
    <row r="62" customFormat="false" ht="15" hidden="false" customHeight="false" outlineLevel="0" collapsed="false">
      <c r="A62" s="7" t="str">
        <f aca="false">IF(הגדרות!$B$43="","",הגדרות!$B$43)</f>
        <v>חיות מחמד</v>
      </c>
      <c r="B62" s="47" t="str">
        <f aca="false">IF(A62="","","הוצאות משתנות")</f>
        <v>הוצאות משתנות</v>
      </c>
      <c r="C62" s="42" t="n">
        <f aca="false">IF(A62="","",N(ינואר!Q36)+N(פברואר!Q36)+N(מרץ!Q36)+N(אפריל!Q36)+N(מאי!Q36)+N(יוני!Q36)+N(יולי!Q36)+N(אוגוסט!Q36)+N(ספטמבר!Q36)+N(אוקטובר!Q36)+N(נובמבר!Q36)+N(דצמבר!Q36))</f>
        <v>1800</v>
      </c>
      <c r="D62" s="43" t="n">
        <f aca="false">IF(A62="","",SUMIFS(תנועות!$E$6:$E$2005,תנועות!$B$6:$B$2005,A62,תנועות!$A$6:$A$2005,"&gt;="&amp;DATE(הגדרות!$C$3,1,1),תנועות!$A$6:$A$2005,"&lt;"&amp;DATE(הגדרות!$C$3+1,1,1)))</f>
        <v>0</v>
      </c>
      <c r="E62" s="42" t="n">
        <f aca="false">IF(A62="","",C62-D62)</f>
        <v>1800</v>
      </c>
      <c r="F62" s="44" t="n">
        <f aca="false">IF(OR(A62="",N(C62)=0),"",D62/C62)</f>
        <v>0</v>
      </c>
    </row>
    <row r="63" customFormat="false" ht="15" hidden="false" customHeight="false" outlineLevel="0" collapsed="false">
      <c r="A63" s="7" t="str">
        <f aca="false">IF(הגדרות!$B$44="","",הגדרות!$B$44)</f>
        <v>שונות</v>
      </c>
      <c r="B63" s="47" t="str">
        <f aca="false">IF(A63="","","הוצאות משתנות")</f>
        <v>הוצאות משתנות</v>
      </c>
      <c r="C63" s="42" t="n">
        <f aca="false">IF(A63="","",N(ינואר!Q37)+N(פברואר!Q37)+N(מרץ!Q37)+N(אפריל!Q37)+N(מאי!Q37)+N(יוני!Q37)+N(יולי!Q37)+N(אוגוסט!Q37)+N(ספטמבר!Q37)+N(אוקטובר!Q37)+N(נובמבר!Q37)+N(דצמבר!Q37))</f>
        <v>3600</v>
      </c>
      <c r="D63" s="43" t="n">
        <f aca="false">IF(A63="","",SUMIFS(תנועות!$E$6:$E$2005,תנועות!$B$6:$B$2005,A63,תנועות!$A$6:$A$2005,"&gt;="&amp;DATE(הגדרות!$C$3,1,1),תנועות!$A$6:$A$2005,"&lt;"&amp;DATE(הגדרות!$C$3+1,1,1)))</f>
        <v>0</v>
      </c>
      <c r="E63" s="42" t="n">
        <f aca="false">IF(A63="","",C63-D63)</f>
        <v>3600</v>
      </c>
      <c r="F63" s="44" t="n">
        <f aca="false">IF(OR(A63="",N(C63)=0),"",D63/C63)</f>
        <v>0</v>
      </c>
    </row>
    <row r="64" customFormat="false" ht="15" hidden="false" customHeight="false" outlineLevel="0" collapsed="false">
      <c r="A64" s="7" t="str">
        <f aca="false">IF(הגדרות!$B$45="","",הגדרות!$B$45)</f>
        <v/>
      </c>
      <c r="B64" s="47" t="str">
        <f aca="false">IF(A64="","","הוצאות משתנות")</f>
        <v/>
      </c>
      <c r="C64" s="42" t="str">
        <f aca="false">IF(A64="","",N(ינואר!Q38)+N(פברואר!Q38)+N(מרץ!Q38)+N(אפריל!Q38)+N(מאי!Q38)+N(יוני!Q38)+N(יולי!Q38)+N(אוגוסט!Q38)+N(ספטמבר!Q38)+N(אוקטובר!Q38)+N(נובמבר!Q38)+N(דצמבר!Q38))</f>
        <v/>
      </c>
      <c r="D64" s="43" t="str">
        <f aca="false">IF(A64="","",SUMIFS(תנועות!$E$6:$E$2005,תנועות!$B$6:$B$2005,A64,תנועות!$A$6:$A$2005,"&gt;="&amp;DATE(הגדרות!$C$3,1,1),תנועות!$A$6:$A$2005,"&lt;"&amp;DATE(הגדרות!$C$3+1,1,1)))</f>
        <v/>
      </c>
      <c r="E64" s="42" t="str">
        <f aca="false">IF(A64="","",C64-D64)</f>
        <v/>
      </c>
      <c r="F64" s="44" t="str">
        <f aca="false">IF(OR(A64="",N(C64)=0),"",D64/C64)</f>
        <v/>
      </c>
    </row>
    <row r="65" customFormat="false" ht="15" hidden="false" customHeight="false" outlineLevel="0" collapsed="false">
      <c r="A65" s="7" t="str">
        <f aca="false">IF(הגדרות!$B$46="","",הגדרות!$B$46)</f>
        <v/>
      </c>
      <c r="B65" s="47" t="str">
        <f aca="false">IF(A65="","","הוצאות משתנות")</f>
        <v/>
      </c>
      <c r="C65" s="42" t="str">
        <f aca="false">IF(A65="","",N(ינואר!Q39)+N(פברואר!Q39)+N(מרץ!Q39)+N(אפריל!Q39)+N(מאי!Q39)+N(יוני!Q39)+N(יולי!Q39)+N(אוגוסט!Q39)+N(ספטמבר!Q39)+N(אוקטובר!Q39)+N(נובמבר!Q39)+N(דצמבר!Q39))</f>
        <v/>
      </c>
      <c r="D65" s="43" t="str">
        <f aca="false">IF(A65="","",SUMIFS(תנועות!$E$6:$E$2005,תנועות!$B$6:$B$2005,A65,תנועות!$A$6:$A$2005,"&gt;="&amp;DATE(הגדרות!$C$3,1,1),תנועות!$A$6:$A$2005,"&lt;"&amp;DATE(הגדרות!$C$3+1,1,1)))</f>
        <v/>
      </c>
      <c r="E65" s="42" t="str">
        <f aca="false">IF(A65="","",C65-D65)</f>
        <v/>
      </c>
      <c r="F65" s="44" t="str">
        <f aca="false">IF(OR(A65="",N(C65)=0),"",D65/C65)</f>
        <v/>
      </c>
    </row>
    <row r="66" customFormat="false" ht="15" hidden="false" customHeight="false" outlineLevel="0" collapsed="false">
      <c r="A66" s="7" t="str">
        <f aca="false">IF(הגדרות!$B$47="","",הגדרות!$B$47)</f>
        <v/>
      </c>
      <c r="B66" s="47" t="str">
        <f aca="false">IF(A66="","","הוצאות משתנות")</f>
        <v/>
      </c>
      <c r="C66" s="42" t="str">
        <f aca="false">IF(A66="","",N(ינואר!Q40)+N(פברואר!Q40)+N(מרץ!Q40)+N(אפריל!Q40)+N(מאי!Q40)+N(יוני!Q40)+N(יולי!Q40)+N(אוגוסט!Q40)+N(ספטמבר!Q40)+N(אוקטובר!Q40)+N(נובמבר!Q40)+N(דצמבר!Q40))</f>
        <v/>
      </c>
      <c r="D66" s="43" t="str">
        <f aca="false">IF(A66="","",SUMIFS(תנועות!$E$6:$E$2005,תנועות!$B$6:$B$2005,A66,תנועות!$A$6:$A$2005,"&gt;="&amp;DATE(הגדרות!$C$3,1,1),תנועות!$A$6:$A$2005,"&lt;"&amp;DATE(הגדרות!$C$3+1,1,1)))</f>
        <v/>
      </c>
      <c r="E66" s="42" t="str">
        <f aca="false">IF(A66="","",C66-D66)</f>
        <v/>
      </c>
      <c r="F66" s="44" t="str">
        <f aca="false">IF(OR(A66="",N(C66)=0),"",D66/C66)</f>
        <v/>
      </c>
    </row>
    <row r="67" customFormat="false" ht="15" hidden="false" customHeight="false" outlineLevel="0" collapsed="false">
      <c r="A67" s="7" t="str">
        <f aca="false">IF(הגדרות!$B$48="","",הגדרות!$B$48)</f>
        <v>הלוואת רכב</v>
      </c>
      <c r="B67" s="48" t="str">
        <f aca="false">IF(A67="","","חובות")</f>
        <v>חובות</v>
      </c>
      <c r="C67" s="42" t="n">
        <f aca="false">IF(A67="","",N(ינואר!V26)+N(פברואר!V26)+N(מרץ!V26)+N(אפריל!V26)+N(מאי!V26)+N(יוני!V26)+N(יולי!V26)+N(אוגוסט!V26)+N(ספטמבר!V26)+N(אוקטובר!V26)+N(נובמבר!V26)+N(דצמבר!V26))</f>
        <v>13200</v>
      </c>
      <c r="D67" s="43" t="n">
        <f aca="false">IF(A67="","",SUMIFS(תנועות!$E$6:$E$2005,תנועות!$B$6:$B$2005,A67,תנועות!$A$6:$A$2005,"&gt;="&amp;DATE(הגדרות!$C$3,1,1),תנועות!$A$6:$A$2005,"&lt;"&amp;DATE(הגדרות!$C$3+1,1,1)))</f>
        <v>0</v>
      </c>
      <c r="E67" s="42" t="n">
        <f aca="false">IF(A67="","",C67-D67)</f>
        <v>13200</v>
      </c>
      <c r="F67" s="44" t="n">
        <f aca="false">IF(OR(A67="",N(C67)=0),"",D67/C67)</f>
        <v>0</v>
      </c>
    </row>
    <row r="68" customFormat="false" ht="15" hidden="false" customHeight="false" outlineLevel="0" collapsed="false">
      <c r="A68" s="7" t="str">
        <f aca="false">IF(הגדרות!$B$49="","",הגדרות!$B$49)</f>
        <v>הלוואה בנקאית</v>
      </c>
      <c r="B68" s="48" t="str">
        <f aca="false">IF(A68="","","חובות")</f>
        <v>חובות</v>
      </c>
      <c r="C68" s="42" t="n">
        <f aca="false">IF(A68="","",N(ינואר!V27)+N(פברואר!V27)+N(מרץ!V27)+N(אפריל!V27)+N(מאי!V27)+N(יוני!V27)+N(יולי!V27)+N(אוגוסט!V27)+N(ספטמבר!V27)+N(אוקטובר!V27)+N(נובמבר!V27)+N(דצמבר!V27))</f>
        <v>9600</v>
      </c>
      <c r="D68" s="43" t="n">
        <f aca="false">IF(A68="","",SUMIFS(תנועות!$E$6:$E$2005,תנועות!$B$6:$B$2005,A68,תנועות!$A$6:$A$2005,"&gt;="&amp;DATE(הגדרות!$C$3,1,1),תנועות!$A$6:$A$2005,"&lt;"&amp;DATE(הגדרות!$C$3+1,1,1)))</f>
        <v>0</v>
      </c>
      <c r="E68" s="42" t="n">
        <f aca="false">IF(A68="","",C68-D68)</f>
        <v>9600</v>
      </c>
      <c r="F68" s="44" t="n">
        <f aca="false">IF(OR(A68="",N(C68)=0),"",D68/C68)</f>
        <v>0</v>
      </c>
    </row>
    <row r="69" customFormat="false" ht="15" hidden="false" customHeight="false" outlineLevel="0" collapsed="false">
      <c r="A69" s="7" t="str">
        <f aca="false">IF(הגדרות!$B$50="","",הגדרות!$B$50)</f>
        <v>כרטיס אשראי – פריסה</v>
      </c>
      <c r="B69" s="48" t="str">
        <f aca="false">IF(A69="","","חובות")</f>
        <v>חובות</v>
      </c>
      <c r="C69" s="42" t="n">
        <f aca="false">IF(A69="","",N(ינואר!V28)+N(פברואר!V28)+N(מרץ!V28)+N(אפריל!V28)+N(מאי!V28)+N(יוני!V28)+N(יולי!V28)+N(אוגוסט!V28)+N(ספטמבר!V28)+N(אוקטובר!V28)+N(נובמבר!V28)+N(דצמבר!V28))</f>
        <v>4800</v>
      </c>
      <c r="D69" s="43" t="n">
        <f aca="false">IF(A69="","",SUMIFS(תנועות!$E$6:$E$2005,תנועות!$B$6:$B$2005,A69,תנועות!$A$6:$A$2005,"&gt;="&amp;DATE(הגדרות!$C$3,1,1),תנועות!$A$6:$A$2005,"&lt;"&amp;DATE(הגדרות!$C$3+1,1,1)))</f>
        <v>0</v>
      </c>
      <c r="E69" s="42" t="n">
        <f aca="false">IF(A69="","",C69-D69)</f>
        <v>4800</v>
      </c>
      <c r="F69" s="44" t="n">
        <f aca="false">IF(OR(A69="",N(C69)=0),"",D69/C69)</f>
        <v>0</v>
      </c>
    </row>
    <row r="70" customFormat="false" ht="15" hidden="false" customHeight="false" outlineLevel="0" collapsed="false">
      <c r="A70" s="7" t="str">
        <f aca="false">IF(הגדרות!$B$51="","",הגדרות!$B$51)</f>
        <v/>
      </c>
      <c r="B70" s="48" t="str">
        <f aca="false">IF(A70="","","חובות")</f>
        <v/>
      </c>
      <c r="C70" s="42" t="str">
        <f aca="false">IF(A70="","",N(ינואר!V29)+N(פברואר!V29)+N(מרץ!V29)+N(אפריל!V29)+N(מאי!V29)+N(יוני!V29)+N(יולי!V29)+N(אוגוסט!V29)+N(ספטמבר!V29)+N(אוקטובר!V29)+N(נובמבר!V29)+N(דצמבר!V29))</f>
        <v/>
      </c>
      <c r="D70" s="43" t="str">
        <f aca="false">IF(A70="","",SUMIFS(תנועות!$E$6:$E$2005,תנועות!$B$6:$B$2005,A70,תנועות!$A$6:$A$2005,"&gt;="&amp;DATE(הגדרות!$C$3,1,1),תנועות!$A$6:$A$2005,"&lt;"&amp;DATE(הגדרות!$C$3+1,1,1)))</f>
        <v/>
      </c>
      <c r="E70" s="42" t="str">
        <f aca="false">IF(A70="","",C70-D70)</f>
        <v/>
      </c>
      <c r="F70" s="44" t="str">
        <f aca="false">IF(OR(A70="",N(C70)=0),"",D70/C70)</f>
        <v/>
      </c>
    </row>
    <row r="71" customFormat="false" ht="15" hidden="false" customHeight="false" outlineLevel="0" collapsed="false">
      <c r="A71" s="7" t="str">
        <f aca="false">IF(הגדרות!$B$52="","",הגדרות!$B$52)</f>
        <v/>
      </c>
      <c r="B71" s="48" t="str">
        <f aca="false">IF(A71="","","חובות")</f>
        <v/>
      </c>
      <c r="C71" s="42" t="str">
        <f aca="false">IF(A71="","",N(ינואר!V30)+N(פברואר!V30)+N(מרץ!V30)+N(אפריל!V30)+N(מאי!V30)+N(יוני!V30)+N(יולי!V30)+N(אוגוסט!V30)+N(ספטמבר!V30)+N(אוקטובר!V30)+N(נובמבר!V30)+N(דצמבר!V30))</f>
        <v/>
      </c>
      <c r="D71" s="43" t="str">
        <f aca="false">IF(A71="","",SUMIFS(תנועות!$E$6:$E$2005,תנועות!$B$6:$B$2005,A71,תנועות!$A$6:$A$2005,"&gt;="&amp;DATE(הגדרות!$C$3,1,1),תנועות!$A$6:$A$2005,"&lt;"&amp;DATE(הגדרות!$C$3+1,1,1)))</f>
        <v/>
      </c>
      <c r="E71" s="42" t="str">
        <f aca="false">IF(A71="","",C71-D71)</f>
        <v/>
      </c>
      <c r="F71" s="44" t="str">
        <f aca="false">IF(OR(A71="",N(C71)=0),"",D71/C71)</f>
        <v/>
      </c>
    </row>
    <row r="72" customFormat="false" ht="15" hidden="false" customHeight="false" outlineLevel="0" collapsed="false">
      <c r="A72" s="7" t="str">
        <f aca="false">IF(הגדרות!$B$53="","",הגדרות!$B$53)</f>
        <v/>
      </c>
      <c r="B72" s="48" t="str">
        <f aca="false">IF(A72="","","חובות")</f>
        <v/>
      </c>
      <c r="C72" s="42" t="str">
        <f aca="false">IF(A72="","",N(ינואר!V31)+N(פברואר!V31)+N(מרץ!V31)+N(אפריל!V31)+N(מאי!V31)+N(יוני!V31)+N(יולי!V31)+N(אוגוסט!V31)+N(ספטמבר!V31)+N(אוקטובר!V31)+N(נובמבר!V31)+N(דצמבר!V31))</f>
        <v/>
      </c>
      <c r="D72" s="43" t="str">
        <f aca="false">IF(A72="","",SUMIFS(תנועות!$E$6:$E$2005,תנועות!$B$6:$B$2005,A72,תנועות!$A$6:$A$2005,"&gt;="&amp;DATE(הגדרות!$C$3,1,1),תנועות!$A$6:$A$2005,"&lt;"&amp;DATE(הגדרות!$C$3+1,1,1)))</f>
        <v/>
      </c>
      <c r="E72" s="42" t="str">
        <f aca="false">IF(A72="","",C72-D72)</f>
        <v/>
      </c>
      <c r="F72" s="44" t="str">
        <f aca="false">IF(OR(A72="",N(C72)=0),"",D72/C72)</f>
        <v/>
      </c>
    </row>
  </sheetData>
  <mergeCells count="11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25:F25"/>
  </mergeCells>
  <conditionalFormatting sqref="F27:F72">
    <cfRule type="expression" priority="2" aboveAverage="0" equalAverage="0" bottom="0" percent="0" rank="0" text="" dxfId="0">
      <formula>AND($B27&lt;&gt;"הכנסות",ISNUMBER($F27),$F27&gt;1)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937"/>
    <pageSetUpPr fitToPage="true"/>
  </sheetPr>
  <dimension ref="A1:I200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</cols>
  <sheetData>
    <row r="1" customFormat="false" ht="39.75" hidden="false" customHeight="true" outlineLevel="0" collapsed="false">
      <c r="A1" s="1" t="s">
        <v>56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49" t="s">
        <v>57</v>
      </c>
      <c r="B2" s="49"/>
      <c r="C2" s="49"/>
      <c r="D2" s="49"/>
      <c r="E2" s="49"/>
      <c r="F2" s="49"/>
    </row>
    <row r="5" customFormat="false" ht="15" hidden="false" customHeight="false" outlineLevel="0" collapsed="false">
      <c r="A5" s="23" t="s">
        <v>58</v>
      </c>
      <c r="B5" s="23" t="s">
        <v>51</v>
      </c>
      <c r="C5" s="23" t="s">
        <v>59</v>
      </c>
      <c r="D5" s="23" t="s">
        <v>60</v>
      </c>
      <c r="E5" s="23" t="s">
        <v>61</v>
      </c>
      <c r="F5" s="23" t="s">
        <v>32</v>
      </c>
      <c r="H5" s="40" t="s">
        <v>62</v>
      </c>
      <c r="I5" s="40" t="s">
        <v>61</v>
      </c>
    </row>
    <row r="6" customFormat="false" ht="15" hidden="false" customHeight="false" outlineLevel="0" collapsed="false">
      <c r="A6" s="50"/>
      <c r="B6" s="51"/>
      <c r="C6" s="52" t="str">
        <f aca="false">IF(B6="","",IFERROR(INDEX(הגדרות!$A$8:$A$53,MATCH(B6,הגדרות!$B$8:$B$53,0)),"⚠ לא בהגדרות"))</f>
        <v/>
      </c>
      <c r="D6" s="51"/>
      <c r="E6" s="53"/>
      <c r="F6" s="52" t="str">
        <f aca="false">IF(A6="","",INDEX(הגדרות!$H$16:$H$27,MONTH(A6)))</f>
        <v/>
      </c>
      <c r="H6" s="54" t="s">
        <v>16</v>
      </c>
      <c r="I6" s="43" t="n">
        <f aca="false">SUMIFS(תנועות!$E$6:$E$2005,תנועות!$C$6:$C$2005,H6,תנועות!$A$6:$A$2005,"&gt;="&amp;DATE(הגדרות!$C$3,1,1),תנועות!$A$6:$A$2005,"&lt;"&amp;DATE(הגדרות!$C$3+1,1,1))</f>
        <v>0</v>
      </c>
    </row>
    <row r="7" customFormat="false" ht="15" hidden="false" customHeight="false" outlineLevel="0" collapsed="false">
      <c r="A7" s="55"/>
      <c r="B7" s="56"/>
      <c r="C7" s="57" t="str">
        <f aca="false">IF(B7="","",IFERROR(INDEX(הגדרות!$A$8:$A$53,MATCH(B7,הגדרות!$B$8:$B$53,0)),"⚠ לא בהגדרות"))</f>
        <v/>
      </c>
      <c r="D7" s="56"/>
      <c r="E7" s="58"/>
      <c r="F7" s="57" t="str">
        <f aca="false">IF(A7="","",INDEX(הגדרות!$H$16:$H$27,MONTH(A7)))</f>
        <v/>
      </c>
      <c r="H7" s="59" t="s">
        <v>17</v>
      </c>
      <c r="I7" s="43" t="n">
        <f aca="false">SUMIFS(תנועות!$E$6:$E$2005,תנועות!$C$6:$C$2005,H7,תנועות!$A$6:$A$2005,"&gt;="&amp;DATE(הגדרות!$C$3,1,1),תנועות!$A$6:$A$2005,"&lt;"&amp;DATE(הגדרות!$C$3+1,1,1))</f>
        <v>0</v>
      </c>
    </row>
    <row r="8" customFormat="false" ht="15" hidden="false" customHeight="false" outlineLevel="0" collapsed="false">
      <c r="A8" s="50"/>
      <c r="B8" s="51"/>
      <c r="C8" s="52" t="str">
        <f aca="false">IF(B8="","",IFERROR(INDEX(הגדרות!$A$8:$A$53,MATCH(B8,הגדרות!$B$8:$B$53,0)),"⚠ לא בהגדרות"))</f>
        <v/>
      </c>
      <c r="D8" s="51"/>
      <c r="E8" s="53"/>
      <c r="F8" s="52" t="str">
        <f aca="false">IF(A8="","",INDEX(הגדרות!$H$16:$H$27,MONTH(A8)))</f>
        <v/>
      </c>
      <c r="H8" s="60" t="s">
        <v>18</v>
      </c>
      <c r="I8" s="43" t="n">
        <f aca="false">SUMIFS(תנועות!$E$6:$E$2005,תנועות!$C$6:$C$2005,H8,תנועות!$A$6:$A$2005,"&gt;="&amp;DATE(הגדרות!$C$3,1,1),תנועות!$A$6:$A$2005,"&lt;"&amp;DATE(הגדרות!$C$3+1,1,1))</f>
        <v>0</v>
      </c>
    </row>
    <row r="9" customFormat="false" ht="15" hidden="false" customHeight="false" outlineLevel="0" collapsed="false">
      <c r="A9" s="55"/>
      <c r="B9" s="56"/>
      <c r="C9" s="57" t="str">
        <f aca="false">IF(B9="","",IFERROR(INDEX(הגדרות!$A$8:$A$53,MATCH(B9,הגדרות!$B$8:$B$53,0)),"⚠ לא בהגדרות"))</f>
        <v/>
      </c>
      <c r="D9" s="56"/>
      <c r="E9" s="58"/>
      <c r="F9" s="57" t="str">
        <f aca="false">IF(A9="","",INDEX(הגדרות!$H$16:$H$27,MONTH(A9)))</f>
        <v/>
      </c>
      <c r="H9" s="61" t="s">
        <v>19</v>
      </c>
      <c r="I9" s="43" t="n">
        <f aca="false">SUMIFS(תנועות!$E$6:$E$2005,תנועות!$C$6:$C$2005,H9,תנועות!$A$6:$A$2005,"&gt;="&amp;DATE(הגדרות!$C$3,1,1),תנועות!$A$6:$A$2005,"&lt;"&amp;DATE(הגדרות!$C$3+1,1,1))</f>
        <v>0</v>
      </c>
    </row>
    <row r="10" customFormat="false" ht="15" hidden="false" customHeight="false" outlineLevel="0" collapsed="false">
      <c r="A10" s="50"/>
      <c r="B10" s="51"/>
      <c r="C10" s="52" t="str">
        <f aca="false">IF(B10="","",IFERROR(INDEX(הגדרות!$A$8:$A$53,MATCH(B10,הגדרות!$B$8:$B$53,0)),"⚠ לא בהגדרות"))</f>
        <v/>
      </c>
      <c r="D10" s="51"/>
      <c r="E10" s="53"/>
      <c r="F10" s="52" t="str">
        <f aca="false">IF(A10="","",INDEX(הגדרות!$H$16:$H$27,MONTH(A10)))</f>
        <v/>
      </c>
      <c r="H10" s="62" t="s">
        <v>20</v>
      </c>
      <c r="I10" s="43" t="n">
        <f aca="false">SUMIFS(תנועות!$E$6:$E$2005,תנועות!$C$6:$C$2005,H10,תנועות!$A$6:$A$2005,"&gt;="&amp;DATE(הגדרות!$C$3,1,1),תנועות!$A$6:$A$2005,"&lt;"&amp;DATE(הגדרות!$C$3+1,1,1))</f>
        <v>0</v>
      </c>
    </row>
    <row r="11" customFormat="false" ht="15" hidden="false" customHeight="false" outlineLevel="0" collapsed="false">
      <c r="A11" s="55"/>
      <c r="B11" s="56"/>
      <c r="C11" s="57" t="str">
        <f aca="false">IF(B11="","",IFERROR(INDEX(הגדרות!$A$8:$A$53,MATCH(B11,הגדרות!$B$8:$B$53,0)),"⚠ לא בהגדרות"))</f>
        <v/>
      </c>
      <c r="D11" s="56"/>
      <c r="E11" s="58"/>
      <c r="F11" s="57" t="str">
        <f aca="false">IF(A11="","",INDEX(הגדרות!$H$16:$H$27,MONTH(A11)))</f>
        <v/>
      </c>
      <c r="H11" s="7" t="s">
        <v>63</v>
      </c>
      <c r="I11" s="63" t="n">
        <f aca="false">COUNT(E6:E2005)</f>
        <v>0</v>
      </c>
    </row>
    <row r="12" customFormat="false" ht="15" hidden="false" customHeight="false" outlineLevel="0" collapsed="false">
      <c r="A12" s="50"/>
      <c r="B12" s="51"/>
      <c r="C12" s="52" t="str">
        <f aca="false">IF(B12="","",IFERROR(INDEX(הגדרות!$A$8:$A$53,MATCH(B12,הגדרות!$B$8:$B$53,0)),"⚠ לא בהגדרות"))</f>
        <v/>
      </c>
      <c r="D12" s="51"/>
      <c r="E12" s="53"/>
      <c r="F12" s="52" t="str">
        <f aca="false">IF(A12="","",INDEX(הגדרות!$H$16:$H$27,MONTH(A12)))</f>
        <v/>
      </c>
    </row>
    <row r="13" customFormat="false" ht="15" hidden="false" customHeight="false" outlineLevel="0" collapsed="false">
      <c r="A13" s="55"/>
      <c r="B13" s="56"/>
      <c r="C13" s="57" t="str">
        <f aca="false">IF(B13="","",IFERROR(INDEX(הגדרות!$A$8:$A$53,MATCH(B13,הגדרות!$B$8:$B$53,0)),"⚠ לא בהגדרות"))</f>
        <v/>
      </c>
      <c r="D13" s="56"/>
      <c r="E13" s="58"/>
      <c r="F13" s="57" t="str">
        <f aca="false">IF(A13="","",INDEX(הגדרות!$H$16:$H$27,MONTH(A13)))</f>
        <v/>
      </c>
    </row>
    <row r="14" customFormat="false" ht="15" hidden="false" customHeight="false" outlineLevel="0" collapsed="false">
      <c r="A14" s="50"/>
      <c r="B14" s="51"/>
      <c r="C14" s="52" t="str">
        <f aca="false">IF(B14="","",IFERROR(INDEX(הגדרות!$A$8:$A$53,MATCH(B14,הגדרות!$B$8:$B$53,0)),"⚠ לא בהגדרות"))</f>
        <v/>
      </c>
      <c r="D14" s="51"/>
      <c r="E14" s="53"/>
      <c r="F14" s="52" t="str">
        <f aca="false">IF(A14="","",INDEX(הגדרות!$H$16:$H$27,MONTH(A14)))</f>
        <v/>
      </c>
    </row>
    <row r="15" customFormat="false" ht="15" hidden="false" customHeight="false" outlineLevel="0" collapsed="false">
      <c r="A15" s="55"/>
      <c r="B15" s="56"/>
      <c r="C15" s="57" t="str">
        <f aca="false">IF(B15="","",IFERROR(INDEX(הגדרות!$A$8:$A$53,MATCH(B15,הגדרות!$B$8:$B$53,0)),"⚠ לא בהגדרות"))</f>
        <v/>
      </c>
      <c r="D15" s="56"/>
      <c r="E15" s="58"/>
      <c r="F15" s="57" t="str">
        <f aca="false">IF(A15="","",INDEX(הגדרות!$H$16:$H$27,MONTH(A15)))</f>
        <v/>
      </c>
    </row>
    <row r="16" customFormat="false" ht="15" hidden="false" customHeight="false" outlineLevel="0" collapsed="false">
      <c r="A16" s="50"/>
      <c r="B16" s="51"/>
      <c r="C16" s="52" t="str">
        <f aca="false">IF(B16="","",IFERROR(INDEX(הגדרות!$A$8:$A$53,MATCH(B16,הגדרות!$B$8:$B$53,0)),"⚠ לא בהגדרות"))</f>
        <v/>
      </c>
      <c r="D16" s="51"/>
      <c r="E16" s="53"/>
      <c r="F16" s="52" t="str">
        <f aca="false">IF(A16="","",INDEX(הגדרות!$H$16:$H$27,MONTH(A16)))</f>
        <v/>
      </c>
    </row>
    <row r="17" customFormat="false" ht="15" hidden="false" customHeight="false" outlineLevel="0" collapsed="false">
      <c r="A17" s="55"/>
      <c r="B17" s="56"/>
      <c r="C17" s="57" t="str">
        <f aca="false">IF(B17="","",IFERROR(INDEX(הגדרות!$A$8:$A$53,MATCH(B17,הגדרות!$B$8:$B$53,0)),"⚠ לא בהגדרות"))</f>
        <v/>
      </c>
      <c r="D17" s="56"/>
      <c r="E17" s="58"/>
      <c r="F17" s="57" t="str">
        <f aca="false">IF(A17="","",INDEX(הגדרות!$H$16:$H$27,MONTH(A17)))</f>
        <v/>
      </c>
    </row>
    <row r="18" customFormat="false" ht="15" hidden="false" customHeight="false" outlineLevel="0" collapsed="false">
      <c r="A18" s="50"/>
      <c r="B18" s="51"/>
      <c r="C18" s="52" t="str">
        <f aca="false">IF(B18="","",IFERROR(INDEX(הגדרות!$A$8:$A$53,MATCH(B18,הגדרות!$B$8:$B$53,0)),"⚠ לא בהגדרות"))</f>
        <v/>
      </c>
      <c r="D18" s="51"/>
      <c r="E18" s="53"/>
      <c r="F18" s="52" t="str">
        <f aca="false">IF(A18="","",INDEX(הגדרות!$H$16:$H$27,MONTH(A18)))</f>
        <v/>
      </c>
    </row>
    <row r="19" customFormat="false" ht="15" hidden="false" customHeight="false" outlineLevel="0" collapsed="false">
      <c r="A19" s="55"/>
      <c r="B19" s="56"/>
      <c r="C19" s="57" t="str">
        <f aca="false">IF(B19="","",IFERROR(INDEX(הגדרות!$A$8:$A$53,MATCH(B19,הגדרות!$B$8:$B$53,0)),"⚠ לא בהגדרות"))</f>
        <v/>
      </c>
      <c r="D19" s="56"/>
      <c r="E19" s="58"/>
      <c r="F19" s="57" t="str">
        <f aca="false">IF(A19="","",INDEX(הגדרות!$H$16:$H$27,MONTH(A19)))</f>
        <v/>
      </c>
    </row>
    <row r="20" customFormat="false" ht="15" hidden="false" customHeight="false" outlineLevel="0" collapsed="false">
      <c r="A20" s="50"/>
      <c r="B20" s="51"/>
      <c r="C20" s="52" t="str">
        <f aca="false">IF(B20="","",IFERROR(INDEX(הגדרות!$A$8:$A$53,MATCH(B20,הגדרות!$B$8:$B$53,0)),"⚠ לא בהגדרות"))</f>
        <v/>
      </c>
      <c r="D20" s="51"/>
      <c r="E20" s="53"/>
      <c r="F20" s="52" t="str">
        <f aca="false">IF(A20="","",INDEX(הגדרות!$H$16:$H$27,MONTH(A20)))</f>
        <v/>
      </c>
    </row>
    <row r="21" customFormat="false" ht="15" hidden="false" customHeight="false" outlineLevel="0" collapsed="false">
      <c r="A21" s="55"/>
      <c r="B21" s="56"/>
      <c r="C21" s="57" t="str">
        <f aca="false">IF(B21="","",IFERROR(INDEX(הגדרות!$A$8:$A$53,MATCH(B21,הגדרות!$B$8:$B$53,0)),"⚠ לא בהגדרות"))</f>
        <v/>
      </c>
      <c r="D21" s="56"/>
      <c r="E21" s="58"/>
      <c r="F21" s="57" t="str">
        <f aca="false">IF(A21="","",INDEX(הגדרות!$H$16:$H$27,MONTH(A21)))</f>
        <v/>
      </c>
    </row>
    <row r="22" customFormat="false" ht="15" hidden="false" customHeight="false" outlineLevel="0" collapsed="false">
      <c r="A22" s="50"/>
      <c r="B22" s="51"/>
      <c r="C22" s="52" t="str">
        <f aca="false">IF(B22="","",IFERROR(INDEX(הגדרות!$A$8:$A$53,MATCH(B22,הגדרות!$B$8:$B$53,0)),"⚠ לא בהגדרות"))</f>
        <v/>
      </c>
      <c r="D22" s="51"/>
      <c r="E22" s="53"/>
      <c r="F22" s="52" t="str">
        <f aca="false">IF(A22="","",INDEX(הגדרות!$H$16:$H$27,MONTH(A22)))</f>
        <v/>
      </c>
    </row>
    <row r="23" customFormat="false" ht="15" hidden="false" customHeight="false" outlineLevel="0" collapsed="false">
      <c r="A23" s="55"/>
      <c r="B23" s="56"/>
      <c r="C23" s="57" t="str">
        <f aca="false">IF(B23="","",IFERROR(INDEX(הגדרות!$A$8:$A$53,MATCH(B23,הגדרות!$B$8:$B$53,0)),"⚠ לא בהגדרות"))</f>
        <v/>
      </c>
      <c r="D23" s="56"/>
      <c r="E23" s="58"/>
      <c r="F23" s="57" t="str">
        <f aca="false">IF(A23="","",INDEX(הגדרות!$H$16:$H$27,MONTH(A23)))</f>
        <v/>
      </c>
    </row>
    <row r="24" customFormat="false" ht="15" hidden="false" customHeight="false" outlineLevel="0" collapsed="false">
      <c r="A24" s="50"/>
      <c r="B24" s="51"/>
      <c r="C24" s="52" t="str">
        <f aca="false">IF(B24="","",IFERROR(INDEX(הגדרות!$A$8:$A$53,MATCH(B24,הגדרות!$B$8:$B$53,0)),"⚠ לא בהגדרות"))</f>
        <v/>
      </c>
      <c r="D24" s="51"/>
      <c r="E24" s="53"/>
      <c r="F24" s="52" t="str">
        <f aca="false">IF(A24="","",INDEX(הגדרות!$H$16:$H$27,MONTH(A24)))</f>
        <v/>
      </c>
    </row>
    <row r="25" customFormat="false" ht="15" hidden="false" customHeight="false" outlineLevel="0" collapsed="false">
      <c r="A25" s="55"/>
      <c r="B25" s="56"/>
      <c r="C25" s="57" t="str">
        <f aca="false">IF(B25="","",IFERROR(INDEX(הגדרות!$A$8:$A$53,MATCH(B25,הגדרות!$B$8:$B$53,0)),"⚠ לא בהגדרות"))</f>
        <v/>
      </c>
      <c r="D25" s="56"/>
      <c r="E25" s="58"/>
      <c r="F25" s="57" t="str">
        <f aca="false">IF(A25="","",INDEX(הגדרות!$H$16:$H$27,MONTH(A25)))</f>
        <v/>
      </c>
    </row>
    <row r="26" customFormat="false" ht="15" hidden="false" customHeight="false" outlineLevel="0" collapsed="false">
      <c r="A26" s="50"/>
      <c r="B26" s="51"/>
      <c r="C26" s="52" t="str">
        <f aca="false">IF(B26="","",IFERROR(INDEX(הגדרות!$A$8:$A$53,MATCH(B26,הגדרות!$B$8:$B$53,0)),"⚠ לא בהגדרות"))</f>
        <v/>
      </c>
      <c r="D26" s="51"/>
      <c r="E26" s="53"/>
      <c r="F26" s="52" t="str">
        <f aca="false">IF(A26="","",INDEX(הגדרות!$H$16:$H$27,MONTH(A26)))</f>
        <v/>
      </c>
    </row>
    <row r="27" customFormat="false" ht="15" hidden="false" customHeight="false" outlineLevel="0" collapsed="false">
      <c r="A27" s="55"/>
      <c r="B27" s="56"/>
      <c r="C27" s="57" t="str">
        <f aca="false">IF(B27="","",IFERROR(INDEX(הגדרות!$A$8:$A$53,MATCH(B27,הגדרות!$B$8:$B$53,0)),"⚠ לא בהגדרות"))</f>
        <v/>
      </c>
      <c r="D27" s="56"/>
      <c r="E27" s="58"/>
      <c r="F27" s="57" t="str">
        <f aca="false">IF(A27="","",INDEX(הגדרות!$H$16:$H$27,MONTH(A27)))</f>
        <v/>
      </c>
    </row>
    <row r="28" customFormat="false" ht="15" hidden="false" customHeight="false" outlineLevel="0" collapsed="false">
      <c r="A28" s="50"/>
      <c r="B28" s="51"/>
      <c r="C28" s="52" t="str">
        <f aca="false">IF(B28="","",IFERROR(INDEX(הגדרות!$A$8:$A$53,MATCH(B28,הגדרות!$B$8:$B$53,0)),"⚠ לא בהגדרות"))</f>
        <v/>
      </c>
      <c r="D28" s="51"/>
      <c r="E28" s="53"/>
      <c r="F28" s="52" t="str">
        <f aca="false">IF(A28="","",INDEX(הגדרות!$H$16:$H$27,MONTH(A28)))</f>
        <v/>
      </c>
    </row>
    <row r="29" customFormat="false" ht="15" hidden="false" customHeight="false" outlineLevel="0" collapsed="false">
      <c r="A29" s="55"/>
      <c r="B29" s="56"/>
      <c r="C29" s="57" t="str">
        <f aca="false">IF(B29="","",IFERROR(INDEX(הגדרות!$A$8:$A$53,MATCH(B29,הגדרות!$B$8:$B$53,0)),"⚠ לא בהגדרות"))</f>
        <v/>
      </c>
      <c r="D29" s="56"/>
      <c r="E29" s="58"/>
      <c r="F29" s="57" t="str">
        <f aca="false">IF(A29="","",INDEX(הגדרות!$H$16:$H$27,MONTH(A29)))</f>
        <v/>
      </c>
    </row>
    <row r="30" customFormat="false" ht="15" hidden="false" customHeight="false" outlineLevel="0" collapsed="false">
      <c r="A30" s="50"/>
      <c r="B30" s="51"/>
      <c r="C30" s="52" t="str">
        <f aca="false">IF(B30="","",IFERROR(INDEX(הגדרות!$A$8:$A$53,MATCH(B30,הגדרות!$B$8:$B$53,0)),"⚠ לא בהגדרות"))</f>
        <v/>
      </c>
      <c r="D30" s="51"/>
      <c r="E30" s="53"/>
      <c r="F30" s="52" t="str">
        <f aca="false">IF(A30="","",INDEX(הגדרות!$H$16:$H$27,MONTH(A30)))</f>
        <v/>
      </c>
    </row>
    <row r="31" customFormat="false" ht="15" hidden="false" customHeight="false" outlineLevel="0" collapsed="false">
      <c r="A31" s="55"/>
      <c r="B31" s="56"/>
      <c r="C31" s="57" t="str">
        <f aca="false">IF(B31="","",IFERROR(INDEX(הגדרות!$A$8:$A$53,MATCH(B31,הגדרות!$B$8:$B$53,0)),"⚠ לא בהגדרות"))</f>
        <v/>
      </c>
      <c r="D31" s="56"/>
      <c r="E31" s="58"/>
      <c r="F31" s="57" t="str">
        <f aca="false">IF(A31="","",INDEX(הגדרות!$H$16:$H$27,MONTH(A31)))</f>
        <v/>
      </c>
    </row>
    <row r="32" customFormat="false" ht="15" hidden="false" customHeight="false" outlineLevel="0" collapsed="false">
      <c r="A32" s="50"/>
      <c r="B32" s="51"/>
      <c r="C32" s="52" t="str">
        <f aca="false">IF(B32="","",IFERROR(INDEX(הגדרות!$A$8:$A$53,MATCH(B32,הגדרות!$B$8:$B$53,0)),"⚠ לא בהגדרות"))</f>
        <v/>
      </c>
      <c r="D32" s="51"/>
      <c r="E32" s="53"/>
      <c r="F32" s="52" t="str">
        <f aca="false">IF(A32="","",INDEX(הגדרות!$H$16:$H$27,MONTH(A32)))</f>
        <v/>
      </c>
    </row>
    <row r="33" customFormat="false" ht="15" hidden="false" customHeight="false" outlineLevel="0" collapsed="false">
      <c r="A33" s="55"/>
      <c r="B33" s="56"/>
      <c r="C33" s="57" t="str">
        <f aca="false">IF(B33="","",IFERROR(INDEX(הגדרות!$A$8:$A$53,MATCH(B33,הגדרות!$B$8:$B$53,0)),"⚠ לא בהגדרות"))</f>
        <v/>
      </c>
      <c r="D33" s="56"/>
      <c r="E33" s="58"/>
      <c r="F33" s="57" t="str">
        <f aca="false">IF(A33="","",INDEX(הגדרות!$H$16:$H$27,MONTH(A33)))</f>
        <v/>
      </c>
    </row>
    <row r="34" customFormat="false" ht="15" hidden="false" customHeight="false" outlineLevel="0" collapsed="false">
      <c r="A34" s="50"/>
      <c r="B34" s="51"/>
      <c r="C34" s="52" t="str">
        <f aca="false">IF(B34="","",IFERROR(INDEX(הגדרות!$A$8:$A$53,MATCH(B34,הגדרות!$B$8:$B$53,0)),"⚠ לא בהגדרות"))</f>
        <v/>
      </c>
      <c r="D34" s="51"/>
      <c r="E34" s="53"/>
      <c r="F34" s="52" t="str">
        <f aca="false">IF(A34="","",INDEX(הגדרות!$H$16:$H$27,MONTH(A34)))</f>
        <v/>
      </c>
    </row>
    <row r="35" customFormat="false" ht="15" hidden="false" customHeight="false" outlineLevel="0" collapsed="false">
      <c r="A35" s="55"/>
      <c r="B35" s="56"/>
      <c r="C35" s="57" t="str">
        <f aca="false">IF(B35="","",IFERROR(INDEX(הגדרות!$A$8:$A$53,MATCH(B35,הגדרות!$B$8:$B$53,0)),"⚠ לא בהגדרות"))</f>
        <v/>
      </c>
      <c r="D35" s="56"/>
      <c r="E35" s="58"/>
      <c r="F35" s="57" t="str">
        <f aca="false">IF(A35="","",INDEX(הגדרות!$H$16:$H$27,MONTH(A35)))</f>
        <v/>
      </c>
    </row>
    <row r="36" customFormat="false" ht="15" hidden="false" customHeight="false" outlineLevel="0" collapsed="false">
      <c r="A36" s="50"/>
      <c r="B36" s="51"/>
      <c r="C36" s="52" t="str">
        <f aca="false">IF(B36="","",IFERROR(INDEX(הגדרות!$A$8:$A$53,MATCH(B36,הגדרות!$B$8:$B$53,0)),"⚠ לא בהגדרות"))</f>
        <v/>
      </c>
      <c r="D36" s="51"/>
      <c r="E36" s="53"/>
      <c r="F36" s="52" t="str">
        <f aca="false">IF(A36="","",INDEX(הגדרות!$H$16:$H$27,MONTH(A36)))</f>
        <v/>
      </c>
    </row>
    <row r="37" customFormat="false" ht="15" hidden="false" customHeight="false" outlineLevel="0" collapsed="false">
      <c r="A37" s="55"/>
      <c r="B37" s="56"/>
      <c r="C37" s="57" t="str">
        <f aca="false">IF(B37="","",IFERROR(INDEX(הגדרות!$A$8:$A$53,MATCH(B37,הגדרות!$B$8:$B$53,0)),"⚠ לא בהגדרות"))</f>
        <v/>
      </c>
      <c r="D37" s="56"/>
      <c r="E37" s="58"/>
      <c r="F37" s="57" t="str">
        <f aca="false">IF(A37="","",INDEX(הגדרות!$H$16:$H$27,MONTH(A37)))</f>
        <v/>
      </c>
    </row>
    <row r="38" customFormat="false" ht="15" hidden="false" customHeight="false" outlineLevel="0" collapsed="false">
      <c r="A38" s="50"/>
      <c r="B38" s="51"/>
      <c r="C38" s="52" t="str">
        <f aca="false">IF(B38="","",IFERROR(INDEX(הגדרות!$A$8:$A$53,MATCH(B38,הגדרות!$B$8:$B$53,0)),"⚠ לא בהגדרות"))</f>
        <v/>
      </c>
      <c r="D38" s="51"/>
      <c r="E38" s="53"/>
      <c r="F38" s="52" t="str">
        <f aca="false">IF(A38="","",INDEX(הגדרות!$H$16:$H$27,MONTH(A38)))</f>
        <v/>
      </c>
    </row>
    <row r="39" customFormat="false" ht="15" hidden="false" customHeight="false" outlineLevel="0" collapsed="false">
      <c r="A39" s="55"/>
      <c r="B39" s="56"/>
      <c r="C39" s="57" t="str">
        <f aca="false">IF(B39="","",IFERROR(INDEX(הגדרות!$A$8:$A$53,MATCH(B39,הגדרות!$B$8:$B$53,0)),"⚠ לא בהגדרות"))</f>
        <v/>
      </c>
      <c r="D39" s="56"/>
      <c r="E39" s="58"/>
      <c r="F39" s="57" t="str">
        <f aca="false">IF(A39="","",INDEX(הגדרות!$H$16:$H$27,MONTH(A39)))</f>
        <v/>
      </c>
    </row>
    <row r="40" customFormat="false" ht="15" hidden="false" customHeight="false" outlineLevel="0" collapsed="false">
      <c r="A40" s="50"/>
      <c r="B40" s="51"/>
      <c r="C40" s="52" t="str">
        <f aca="false">IF(B40="","",IFERROR(INDEX(הגדרות!$A$8:$A$53,MATCH(B40,הגדרות!$B$8:$B$53,0)),"⚠ לא בהגדרות"))</f>
        <v/>
      </c>
      <c r="D40" s="51"/>
      <c r="E40" s="53"/>
      <c r="F40" s="52" t="str">
        <f aca="false">IF(A40="","",INDEX(הגדרות!$H$16:$H$27,MONTH(A40)))</f>
        <v/>
      </c>
    </row>
    <row r="41" customFormat="false" ht="15" hidden="false" customHeight="false" outlineLevel="0" collapsed="false">
      <c r="A41" s="55"/>
      <c r="B41" s="56"/>
      <c r="C41" s="57" t="str">
        <f aca="false">IF(B41="","",IFERROR(INDEX(הגדרות!$A$8:$A$53,MATCH(B41,הגדרות!$B$8:$B$53,0)),"⚠ לא בהגדרות"))</f>
        <v/>
      </c>
      <c r="D41" s="56"/>
      <c r="E41" s="58"/>
      <c r="F41" s="57" t="str">
        <f aca="false">IF(A41="","",INDEX(הגדרות!$H$16:$H$27,MONTH(A41)))</f>
        <v/>
      </c>
    </row>
    <row r="42" customFormat="false" ht="15" hidden="false" customHeight="false" outlineLevel="0" collapsed="false">
      <c r="A42" s="50"/>
      <c r="B42" s="51"/>
      <c r="C42" s="52" t="str">
        <f aca="false">IF(B42="","",IFERROR(INDEX(הגדרות!$A$8:$A$53,MATCH(B42,הגדרות!$B$8:$B$53,0)),"⚠ לא בהגדרות"))</f>
        <v/>
      </c>
      <c r="D42" s="51"/>
      <c r="E42" s="53"/>
      <c r="F42" s="52" t="str">
        <f aca="false">IF(A42="","",INDEX(הגדרות!$H$16:$H$27,MONTH(A42)))</f>
        <v/>
      </c>
    </row>
    <row r="43" customFormat="false" ht="15" hidden="false" customHeight="false" outlineLevel="0" collapsed="false">
      <c r="A43" s="55"/>
      <c r="B43" s="56"/>
      <c r="C43" s="57" t="str">
        <f aca="false">IF(B43="","",IFERROR(INDEX(הגדרות!$A$8:$A$53,MATCH(B43,הגדרות!$B$8:$B$53,0)),"⚠ לא בהגדרות"))</f>
        <v/>
      </c>
      <c r="D43" s="56"/>
      <c r="E43" s="58"/>
      <c r="F43" s="57" t="str">
        <f aca="false">IF(A43="","",INDEX(הגדרות!$H$16:$H$27,MONTH(A43)))</f>
        <v/>
      </c>
    </row>
    <row r="44" customFormat="false" ht="15" hidden="false" customHeight="false" outlineLevel="0" collapsed="false">
      <c r="A44" s="50"/>
      <c r="B44" s="51"/>
      <c r="C44" s="52" t="str">
        <f aca="false">IF(B44="","",IFERROR(INDEX(הגדרות!$A$8:$A$53,MATCH(B44,הגדרות!$B$8:$B$53,0)),"⚠ לא בהגדרות"))</f>
        <v/>
      </c>
      <c r="D44" s="51"/>
      <c r="E44" s="53"/>
      <c r="F44" s="52" t="str">
        <f aca="false">IF(A44="","",INDEX(הגדרות!$H$16:$H$27,MONTH(A44)))</f>
        <v/>
      </c>
    </row>
    <row r="45" customFormat="false" ht="15" hidden="false" customHeight="false" outlineLevel="0" collapsed="false">
      <c r="A45" s="55"/>
      <c r="B45" s="56"/>
      <c r="C45" s="57" t="str">
        <f aca="false">IF(B45="","",IFERROR(INDEX(הגדרות!$A$8:$A$53,MATCH(B45,הגדרות!$B$8:$B$53,0)),"⚠ לא בהגדרות"))</f>
        <v/>
      </c>
      <c r="D45" s="56"/>
      <c r="E45" s="58"/>
      <c r="F45" s="57" t="str">
        <f aca="false">IF(A45="","",INDEX(הגדרות!$H$16:$H$27,MONTH(A45)))</f>
        <v/>
      </c>
    </row>
    <row r="46" customFormat="false" ht="15" hidden="false" customHeight="false" outlineLevel="0" collapsed="false">
      <c r="A46" s="50"/>
      <c r="B46" s="51"/>
      <c r="C46" s="52" t="str">
        <f aca="false">IF(B46="","",IFERROR(INDEX(הגדרות!$A$8:$A$53,MATCH(B46,הגדרות!$B$8:$B$53,0)),"⚠ לא בהגדרות"))</f>
        <v/>
      </c>
      <c r="D46" s="51"/>
      <c r="E46" s="53"/>
      <c r="F46" s="52" t="str">
        <f aca="false">IF(A46="","",INDEX(הגדרות!$H$16:$H$27,MONTH(A46)))</f>
        <v/>
      </c>
    </row>
    <row r="47" customFormat="false" ht="15" hidden="false" customHeight="false" outlineLevel="0" collapsed="false">
      <c r="A47" s="55"/>
      <c r="B47" s="56"/>
      <c r="C47" s="57" t="str">
        <f aca="false">IF(B47="","",IFERROR(INDEX(הגדרות!$A$8:$A$53,MATCH(B47,הגדרות!$B$8:$B$53,0)),"⚠ לא בהגדרות"))</f>
        <v/>
      </c>
      <c r="D47" s="56"/>
      <c r="E47" s="58"/>
      <c r="F47" s="57" t="str">
        <f aca="false">IF(A47="","",INDEX(הגדרות!$H$16:$H$27,MONTH(A47)))</f>
        <v/>
      </c>
    </row>
    <row r="48" customFormat="false" ht="15" hidden="false" customHeight="false" outlineLevel="0" collapsed="false">
      <c r="A48" s="50"/>
      <c r="B48" s="51"/>
      <c r="C48" s="52" t="str">
        <f aca="false">IF(B48="","",IFERROR(INDEX(הגדרות!$A$8:$A$53,MATCH(B48,הגדרות!$B$8:$B$53,0)),"⚠ לא בהגדרות"))</f>
        <v/>
      </c>
      <c r="D48" s="51"/>
      <c r="E48" s="53"/>
      <c r="F48" s="52" t="str">
        <f aca="false">IF(A48="","",INDEX(הגדרות!$H$16:$H$27,MONTH(A48)))</f>
        <v/>
      </c>
    </row>
    <row r="49" customFormat="false" ht="15" hidden="false" customHeight="false" outlineLevel="0" collapsed="false">
      <c r="A49" s="55"/>
      <c r="B49" s="56"/>
      <c r="C49" s="57" t="str">
        <f aca="false">IF(B49="","",IFERROR(INDEX(הגדרות!$A$8:$A$53,MATCH(B49,הגדרות!$B$8:$B$53,0)),"⚠ לא בהגדרות"))</f>
        <v/>
      </c>
      <c r="D49" s="56"/>
      <c r="E49" s="58"/>
      <c r="F49" s="57" t="str">
        <f aca="false">IF(A49="","",INDEX(הגדרות!$H$16:$H$27,MONTH(A49)))</f>
        <v/>
      </c>
    </row>
    <row r="50" customFormat="false" ht="15" hidden="false" customHeight="false" outlineLevel="0" collapsed="false">
      <c r="A50" s="50"/>
      <c r="B50" s="51"/>
      <c r="C50" s="52" t="str">
        <f aca="false">IF(B50="","",IFERROR(INDEX(הגדרות!$A$8:$A$53,MATCH(B50,הגדרות!$B$8:$B$53,0)),"⚠ לא בהגדרות"))</f>
        <v/>
      </c>
      <c r="D50" s="51"/>
      <c r="E50" s="53"/>
      <c r="F50" s="52" t="str">
        <f aca="false">IF(A50="","",INDEX(הגדרות!$H$16:$H$27,MONTH(A50)))</f>
        <v/>
      </c>
    </row>
    <row r="51" customFormat="false" ht="15" hidden="false" customHeight="false" outlineLevel="0" collapsed="false">
      <c r="A51" s="55"/>
      <c r="B51" s="56"/>
      <c r="C51" s="57" t="str">
        <f aca="false">IF(B51="","",IFERROR(INDEX(הגדרות!$A$8:$A$53,MATCH(B51,הגדרות!$B$8:$B$53,0)),"⚠ לא בהגדרות"))</f>
        <v/>
      </c>
      <c r="D51" s="56"/>
      <c r="E51" s="58"/>
      <c r="F51" s="57" t="str">
        <f aca="false">IF(A51="","",INDEX(הגדרות!$H$16:$H$27,MONTH(A51)))</f>
        <v/>
      </c>
    </row>
    <row r="52" customFormat="false" ht="15" hidden="false" customHeight="false" outlineLevel="0" collapsed="false">
      <c r="A52" s="50"/>
      <c r="B52" s="51"/>
      <c r="C52" s="52" t="str">
        <f aca="false">IF(B52="","",IFERROR(INDEX(הגדרות!$A$8:$A$53,MATCH(B52,הגדרות!$B$8:$B$53,0)),"⚠ לא בהגדרות"))</f>
        <v/>
      </c>
      <c r="D52" s="51"/>
      <c r="E52" s="53"/>
      <c r="F52" s="52" t="str">
        <f aca="false">IF(A52="","",INDEX(הגדרות!$H$16:$H$27,MONTH(A52)))</f>
        <v/>
      </c>
    </row>
    <row r="53" customFormat="false" ht="15" hidden="false" customHeight="false" outlineLevel="0" collapsed="false">
      <c r="A53" s="55"/>
      <c r="B53" s="56"/>
      <c r="C53" s="57" t="str">
        <f aca="false">IF(B53="","",IFERROR(INDEX(הגדרות!$A$8:$A$53,MATCH(B53,הגדרות!$B$8:$B$53,0)),"⚠ לא בהגדרות"))</f>
        <v/>
      </c>
      <c r="D53" s="56"/>
      <c r="E53" s="58"/>
      <c r="F53" s="57" t="str">
        <f aca="false">IF(A53="","",INDEX(הגדרות!$H$16:$H$27,MONTH(A53)))</f>
        <v/>
      </c>
    </row>
    <row r="54" customFormat="false" ht="15" hidden="false" customHeight="false" outlineLevel="0" collapsed="false">
      <c r="A54" s="50"/>
      <c r="B54" s="51"/>
      <c r="C54" s="52" t="str">
        <f aca="false">IF(B54="","",IFERROR(INDEX(הגדרות!$A$8:$A$53,MATCH(B54,הגדרות!$B$8:$B$53,0)),"⚠ לא בהגדרות"))</f>
        <v/>
      </c>
      <c r="D54" s="51"/>
      <c r="E54" s="53"/>
      <c r="F54" s="52" t="str">
        <f aca="false">IF(A54="","",INDEX(הגדרות!$H$16:$H$27,MONTH(A54)))</f>
        <v/>
      </c>
    </row>
    <row r="55" customFormat="false" ht="15" hidden="false" customHeight="false" outlineLevel="0" collapsed="false">
      <c r="A55" s="55"/>
      <c r="B55" s="56"/>
      <c r="C55" s="57" t="str">
        <f aca="false">IF(B55="","",IFERROR(INDEX(הגדרות!$A$8:$A$53,MATCH(B55,הגדרות!$B$8:$B$53,0)),"⚠ לא בהגדרות"))</f>
        <v/>
      </c>
      <c r="D55" s="56"/>
      <c r="E55" s="58"/>
      <c r="F55" s="57" t="str">
        <f aca="false">IF(A55="","",INDEX(הגדרות!$H$16:$H$27,MONTH(A55)))</f>
        <v/>
      </c>
    </row>
    <row r="56" customFormat="false" ht="15" hidden="false" customHeight="false" outlineLevel="0" collapsed="false">
      <c r="A56" s="50"/>
      <c r="B56" s="51"/>
      <c r="C56" s="52" t="str">
        <f aca="false">IF(B56="","",IFERROR(INDEX(הגדרות!$A$8:$A$53,MATCH(B56,הגדרות!$B$8:$B$53,0)),"⚠ לא בהגדרות"))</f>
        <v/>
      </c>
      <c r="D56" s="51"/>
      <c r="E56" s="53"/>
      <c r="F56" s="52" t="str">
        <f aca="false">IF(A56="","",INDEX(הגדרות!$H$16:$H$27,MONTH(A56)))</f>
        <v/>
      </c>
    </row>
    <row r="57" customFormat="false" ht="15" hidden="false" customHeight="false" outlineLevel="0" collapsed="false">
      <c r="A57" s="55"/>
      <c r="B57" s="56"/>
      <c r="C57" s="57" t="str">
        <f aca="false">IF(B57="","",IFERROR(INDEX(הגדרות!$A$8:$A$53,MATCH(B57,הגדרות!$B$8:$B$53,0)),"⚠ לא בהגדרות"))</f>
        <v/>
      </c>
      <c r="D57" s="56"/>
      <c r="E57" s="58"/>
      <c r="F57" s="57" t="str">
        <f aca="false">IF(A57="","",INDEX(הגדרות!$H$16:$H$27,MONTH(A57)))</f>
        <v/>
      </c>
    </row>
    <row r="58" customFormat="false" ht="15" hidden="false" customHeight="false" outlineLevel="0" collapsed="false">
      <c r="A58" s="50"/>
      <c r="B58" s="51"/>
      <c r="C58" s="52" t="str">
        <f aca="false">IF(B58="","",IFERROR(INDEX(הגדרות!$A$8:$A$53,MATCH(B58,הגדרות!$B$8:$B$53,0)),"⚠ לא בהגדרות"))</f>
        <v/>
      </c>
      <c r="D58" s="51"/>
      <c r="E58" s="53"/>
      <c r="F58" s="52" t="str">
        <f aca="false">IF(A58="","",INDEX(הגדרות!$H$16:$H$27,MONTH(A58)))</f>
        <v/>
      </c>
    </row>
    <row r="59" customFormat="false" ht="15" hidden="false" customHeight="false" outlineLevel="0" collapsed="false">
      <c r="A59" s="55"/>
      <c r="B59" s="56"/>
      <c r="C59" s="57" t="str">
        <f aca="false">IF(B59="","",IFERROR(INDEX(הגדרות!$A$8:$A$53,MATCH(B59,הגדרות!$B$8:$B$53,0)),"⚠ לא בהגדרות"))</f>
        <v/>
      </c>
      <c r="D59" s="56"/>
      <c r="E59" s="58"/>
      <c r="F59" s="57" t="str">
        <f aca="false">IF(A59="","",INDEX(הגדרות!$H$16:$H$27,MONTH(A59)))</f>
        <v/>
      </c>
    </row>
    <row r="60" customFormat="false" ht="15" hidden="false" customHeight="false" outlineLevel="0" collapsed="false">
      <c r="A60" s="50"/>
      <c r="B60" s="51"/>
      <c r="C60" s="52" t="str">
        <f aca="false">IF(B60="","",IFERROR(INDEX(הגדרות!$A$8:$A$53,MATCH(B60,הגדרות!$B$8:$B$53,0)),"⚠ לא בהגדרות"))</f>
        <v/>
      </c>
      <c r="D60" s="51"/>
      <c r="E60" s="53"/>
      <c r="F60" s="52" t="str">
        <f aca="false">IF(A60="","",INDEX(הגדרות!$H$16:$H$27,MONTH(A60)))</f>
        <v/>
      </c>
    </row>
    <row r="61" customFormat="false" ht="15" hidden="false" customHeight="false" outlineLevel="0" collapsed="false">
      <c r="A61" s="55"/>
      <c r="B61" s="56"/>
      <c r="C61" s="57" t="str">
        <f aca="false">IF(B61="","",IFERROR(INDEX(הגדרות!$A$8:$A$53,MATCH(B61,הגדרות!$B$8:$B$53,0)),"⚠ לא בהגדרות"))</f>
        <v/>
      </c>
      <c r="D61" s="56"/>
      <c r="E61" s="58"/>
      <c r="F61" s="57" t="str">
        <f aca="false">IF(A61="","",INDEX(הגדרות!$H$16:$H$27,MONTH(A61)))</f>
        <v/>
      </c>
    </row>
    <row r="62" customFormat="false" ht="15" hidden="false" customHeight="false" outlineLevel="0" collapsed="false">
      <c r="A62" s="50"/>
      <c r="B62" s="51"/>
      <c r="C62" s="52" t="str">
        <f aca="false">IF(B62="","",IFERROR(INDEX(הגדרות!$A$8:$A$53,MATCH(B62,הגדרות!$B$8:$B$53,0)),"⚠ לא בהגדרות"))</f>
        <v/>
      </c>
      <c r="D62" s="51"/>
      <c r="E62" s="53"/>
      <c r="F62" s="52" t="str">
        <f aca="false">IF(A62="","",INDEX(הגדרות!$H$16:$H$27,MONTH(A62)))</f>
        <v/>
      </c>
    </row>
    <row r="63" customFormat="false" ht="15" hidden="false" customHeight="false" outlineLevel="0" collapsed="false">
      <c r="A63" s="55"/>
      <c r="B63" s="56"/>
      <c r="C63" s="57" t="str">
        <f aca="false">IF(B63="","",IFERROR(INDEX(הגדרות!$A$8:$A$53,MATCH(B63,הגדרות!$B$8:$B$53,0)),"⚠ לא בהגדרות"))</f>
        <v/>
      </c>
      <c r="D63" s="56"/>
      <c r="E63" s="58"/>
      <c r="F63" s="57" t="str">
        <f aca="false">IF(A63="","",INDEX(הגדרות!$H$16:$H$27,MONTH(A63)))</f>
        <v/>
      </c>
    </row>
    <row r="64" customFormat="false" ht="15" hidden="false" customHeight="false" outlineLevel="0" collapsed="false">
      <c r="A64" s="50"/>
      <c r="B64" s="51"/>
      <c r="C64" s="52" t="str">
        <f aca="false">IF(B64="","",IFERROR(INDEX(הגדרות!$A$8:$A$53,MATCH(B64,הגדרות!$B$8:$B$53,0)),"⚠ לא בהגדרות"))</f>
        <v/>
      </c>
      <c r="D64" s="51"/>
      <c r="E64" s="53"/>
      <c r="F64" s="52" t="str">
        <f aca="false">IF(A64="","",INDEX(הגדרות!$H$16:$H$27,MONTH(A64)))</f>
        <v/>
      </c>
    </row>
    <row r="65" customFormat="false" ht="15" hidden="false" customHeight="false" outlineLevel="0" collapsed="false">
      <c r="A65" s="55"/>
      <c r="B65" s="56"/>
      <c r="C65" s="57" t="str">
        <f aca="false">IF(B65="","",IFERROR(INDEX(הגדרות!$A$8:$A$53,MATCH(B65,הגדרות!$B$8:$B$53,0)),"⚠ לא בהגדרות"))</f>
        <v/>
      </c>
      <c r="D65" s="56"/>
      <c r="E65" s="58"/>
      <c r="F65" s="57" t="str">
        <f aca="false">IF(A65="","",INDEX(הגדרות!$H$16:$H$27,MONTH(A65)))</f>
        <v/>
      </c>
    </row>
    <row r="66" customFormat="false" ht="15" hidden="false" customHeight="false" outlineLevel="0" collapsed="false">
      <c r="A66" s="50"/>
      <c r="B66" s="51"/>
      <c r="C66" s="52" t="str">
        <f aca="false">IF(B66="","",IFERROR(INDEX(הגדרות!$A$8:$A$53,MATCH(B66,הגדרות!$B$8:$B$53,0)),"⚠ לא בהגדרות"))</f>
        <v/>
      </c>
      <c r="D66" s="51"/>
      <c r="E66" s="53"/>
      <c r="F66" s="52" t="str">
        <f aca="false">IF(A66="","",INDEX(הגדרות!$H$16:$H$27,MONTH(A66)))</f>
        <v/>
      </c>
    </row>
    <row r="67" customFormat="false" ht="15" hidden="false" customHeight="false" outlineLevel="0" collapsed="false">
      <c r="A67" s="55"/>
      <c r="B67" s="56"/>
      <c r="C67" s="57" t="str">
        <f aca="false">IF(B67="","",IFERROR(INDEX(הגדרות!$A$8:$A$53,MATCH(B67,הגדרות!$B$8:$B$53,0)),"⚠ לא בהגדרות"))</f>
        <v/>
      </c>
      <c r="D67" s="56"/>
      <c r="E67" s="58"/>
      <c r="F67" s="57" t="str">
        <f aca="false">IF(A67="","",INDEX(הגדרות!$H$16:$H$27,MONTH(A67)))</f>
        <v/>
      </c>
    </row>
    <row r="68" customFormat="false" ht="15" hidden="false" customHeight="false" outlineLevel="0" collapsed="false">
      <c r="A68" s="50"/>
      <c r="B68" s="51"/>
      <c r="C68" s="52" t="str">
        <f aca="false">IF(B68="","",IFERROR(INDEX(הגדרות!$A$8:$A$53,MATCH(B68,הגדרות!$B$8:$B$53,0)),"⚠ לא בהגדרות"))</f>
        <v/>
      </c>
      <c r="D68" s="51"/>
      <c r="E68" s="53"/>
      <c r="F68" s="52" t="str">
        <f aca="false">IF(A68="","",INDEX(הגדרות!$H$16:$H$27,MONTH(A68)))</f>
        <v/>
      </c>
    </row>
    <row r="69" customFormat="false" ht="15" hidden="false" customHeight="false" outlineLevel="0" collapsed="false">
      <c r="A69" s="55"/>
      <c r="B69" s="56"/>
      <c r="C69" s="57" t="str">
        <f aca="false">IF(B69="","",IFERROR(INDEX(הגדרות!$A$8:$A$53,MATCH(B69,הגדרות!$B$8:$B$53,0)),"⚠ לא בהגדרות"))</f>
        <v/>
      </c>
      <c r="D69" s="56"/>
      <c r="E69" s="58"/>
      <c r="F69" s="57" t="str">
        <f aca="false">IF(A69="","",INDEX(הגדרות!$H$16:$H$27,MONTH(A69)))</f>
        <v/>
      </c>
    </row>
    <row r="70" customFormat="false" ht="15" hidden="false" customHeight="false" outlineLevel="0" collapsed="false">
      <c r="A70" s="50"/>
      <c r="B70" s="51"/>
      <c r="C70" s="52" t="str">
        <f aca="false">IF(B70="","",IFERROR(INDEX(הגדרות!$A$8:$A$53,MATCH(B70,הגדרות!$B$8:$B$53,0)),"⚠ לא בהגדרות"))</f>
        <v/>
      </c>
      <c r="D70" s="51"/>
      <c r="E70" s="53"/>
      <c r="F70" s="52" t="str">
        <f aca="false">IF(A70="","",INDEX(הגדרות!$H$16:$H$27,MONTH(A70)))</f>
        <v/>
      </c>
    </row>
    <row r="71" customFormat="false" ht="15" hidden="false" customHeight="false" outlineLevel="0" collapsed="false">
      <c r="A71" s="55"/>
      <c r="B71" s="56"/>
      <c r="C71" s="57" t="str">
        <f aca="false">IF(B71="","",IFERROR(INDEX(הגדרות!$A$8:$A$53,MATCH(B71,הגדרות!$B$8:$B$53,0)),"⚠ לא בהגדרות"))</f>
        <v/>
      </c>
      <c r="D71" s="56"/>
      <c r="E71" s="58"/>
      <c r="F71" s="57" t="str">
        <f aca="false">IF(A71="","",INDEX(הגדרות!$H$16:$H$27,MONTH(A71)))</f>
        <v/>
      </c>
    </row>
    <row r="72" customFormat="false" ht="15" hidden="false" customHeight="false" outlineLevel="0" collapsed="false">
      <c r="A72" s="50"/>
      <c r="B72" s="51"/>
      <c r="C72" s="52" t="str">
        <f aca="false">IF(B72="","",IFERROR(INDEX(הגדרות!$A$8:$A$53,MATCH(B72,הגדרות!$B$8:$B$53,0)),"⚠ לא בהגדרות"))</f>
        <v/>
      </c>
      <c r="D72" s="51"/>
      <c r="E72" s="53"/>
      <c r="F72" s="52" t="str">
        <f aca="false">IF(A72="","",INDEX(הגדרות!$H$16:$H$27,MONTH(A72)))</f>
        <v/>
      </c>
    </row>
    <row r="73" customFormat="false" ht="15" hidden="false" customHeight="false" outlineLevel="0" collapsed="false">
      <c r="A73" s="55"/>
      <c r="B73" s="56"/>
      <c r="C73" s="57" t="str">
        <f aca="false">IF(B73="","",IFERROR(INDEX(הגדרות!$A$8:$A$53,MATCH(B73,הגדרות!$B$8:$B$53,0)),"⚠ לא בהגדרות"))</f>
        <v/>
      </c>
      <c r="D73" s="56"/>
      <c r="E73" s="58"/>
      <c r="F73" s="57" t="str">
        <f aca="false">IF(A73="","",INDEX(הגדרות!$H$16:$H$27,MONTH(A73)))</f>
        <v/>
      </c>
    </row>
    <row r="74" customFormat="false" ht="15" hidden="false" customHeight="false" outlineLevel="0" collapsed="false">
      <c r="A74" s="50"/>
      <c r="B74" s="51"/>
      <c r="C74" s="52" t="str">
        <f aca="false">IF(B74="","",IFERROR(INDEX(הגדרות!$A$8:$A$53,MATCH(B74,הגדרות!$B$8:$B$53,0)),"⚠ לא בהגדרות"))</f>
        <v/>
      </c>
      <c r="D74" s="51"/>
      <c r="E74" s="53"/>
      <c r="F74" s="52" t="str">
        <f aca="false">IF(A74="","",INDEX(הגדרות!$H$16:$H$27,MONTH(A74)))</f>
        <v/>
      </c>
    </row>
    <row r="75" customFormat="false" ht="15" hidden="false" customHeight="false" outlineLevel="0" collapsed="false">
      <c r="A75" s="55"/>
      <c r="B75" s="56"/>
      <c r="C75" s="57" t="str">
        <f aca="false">IF(B75="","",IFERROR(INDEX(הגדרות!$A$8:$A$53,MATCH(B75,הגדרות!$B$8:$B$53,0)),"⚠ לא בהגדרות"))</f>
        <v/>
      </c>
      <c r="D75" s="56"/>
      <c r="E75" s="58"/>
      <c r="F75" s="57" t="str">
        <f aca="false">IF(A75="","",INDEX(הגדרות!$H$16:$H$27,MONTH(A75)))</f>
        <v/>
      </c>
    </row>
    <row r="76" customFormat="false" ht="15" hidden="false" customHeight="false" outlineLevel="0" collapsed="false">
      <c r="A76" s="50"/>
      <c r="B76" s="51"/>
      <c r="C76" s="52" t="str">
        <f aca="false">IF(B76="","",IFERROR(INDEX(הגדרות!$A$8:$A$53,MATCH(B76,הגדרות!$B$8:$B$53,0)),"⚠ לא בהגדרות"))</f>
        <v/>
      </c>
      <c r="D76" s="51"/>
      <c r="E76" s="53"/>
      <c r="F76" s="52" t="str">
        <f aca="false">IF(A76="","",INDEX(הגדרות!$H$16:$H$27,MONTH(A76)))</f>
        <v/>
      </c>
    </row>
    <row r="77" customFormat="false" ht="15" hidden="false" customHeight="false" outlineLevel="0" collapsed="false">
      <c r="A77" s="55"/>
      <c r="B77" s="56"/>
      <c r="C77" s="57" t="str">
        <f aca="false">IF(B77="","",IFERROR(INDEX(הגדרות!$A$8:$A$53,MATCH(B77,הגדרות!$B$8:$B$53,0)),"⚠ לא בהגדרות"))</f>
        <v/>
      </c>
      <c r="D77" s="56"/>
      <c r="E77" s="58"/>
      <c r="F77" s="57" t="str">
        <f aca="false">IF(A77="","",INDEX(הגדרות!$H$16:$H$27,MONTH(A77)))</f>
        <v/>
      </c>
    </row>
    <row r="78" customFormat="false" ht="15" hidden="false" customHeight="false" outlineLevel="0" collapsed="false">
      <c r="A78" s="50"/>
      <c r="B78" s="51"/>
      <c r="C78" s="52" t="str">
        <f aca="false">IF(B78="","",IFERROR(INDEX(הגדרות!$A$8:$A$53,MATCH(B78,הגדרות!$B$8:$B$53,0)),"⚠ לא בהגדרות"))</f>
        <v/>
      </c>
      <c r="D78" s="51"/>
      <c r="E78" s="53"/>
      <c r="F78" s="52" t="str">
        <f aca="false">IF(A78="","",INDEX(הגדרות!$H$16:$H$27,MONTH(A78)))</f>
        <v/>
      </c>
    </row>
    <row r="79" customFormat="false" ht="15" hidden="false" customHeight="false" outlineLevel="0" collapsed="false">
      <c r="A79" s="55"/>
      <c r="B79" s="56"/>
      <c r="C79" s="57" t="str">
        <f aca="false">IF(B79="","",IFERROR(INDEX(הגדרות!$A$8:$A$53,MATCH(B79,הגדרות!$B$8:$B$53,0)),"⚠ לא בהגדרות"))</f>
        <v/>
      </c>
      <c r="D79" s="56"/>
      <c r="E79" s="58"/>
      <c r="F79" s="57" t="str">
        <f aca="false">IF(A79="","",INDEX(הגדרות!$H$16:$H$27,MONTH(A79)))</f>
        <v/>
      </c>
    </row>
    <row r="80" customFormat="false" ht="15" hidden="false" customHeight="false" outlineLevel="0" collapsed="false">
      <c r="A80" s="50"/>
      <c r="B80" s="51"/>
      <c r="C80" s="52" t="str">
        <f aca="false">IF(B80="","",IFERROR(INDEX(הגדרות!$A$8:$A$53,MATCH(B80,הגדרות!$B$8:$B$53,0)),"⚠ לא בהגדרות"))</f>
        <v/>
      </c>
      <c r="D80" s="51"/>
      <c r="E80" s="53"/>
      <c r="F80" s="52" t="str">
        <f aca="false">IF(A80="","",INDEX(הגדרות!$H$16:$H$27,MONTH(A80)))</f>
        <v/>
      </c>
    </row>
    <row r="81" customFormat="false" ht="15" hidden="false" customHeight="false" outlineLevel="0" collapsed="false">
      <c r="A81" s="55"/>
      <c r="B81" s="56"/>
      <c r="C81" s="57" t="str">
        <f aca="false">IF(B81="","",IFERROR(INDEX(הגדרות!$A$8:$A$53,MATCH(B81,הגדרות!$B$8:$B$53,0)),"⚠ לא בהגדרות"))</f>
        <v/>
      </c>
      <c r="D81" s="56"/>
      <c r="E81" s="58"/>
      <c r="F81" s="57" t="str">
        <f aca="false">IF(A81="","",INDEX(הגדרות!$H$16:$H$27,MONTH(A81)))</f>
        <v/>
      </c>
    </row>
    <row r="82" customFormat="false" ht="15" hidden="false" customHeight="false" outlineLevel="0" collapsed="false">
      <c r="A82" s="50"/>
      <c r="B82" s="51"/>
      <c r="C82" s="52" t="str">
        <f aca="false">IF(B82="","",IFERROR(INDEX(הגדרות!$A$8:$A$53,MATCH(B82,הגדרות!$B$8:$B$53,0)),"⚠ לא בהגדרות"))</f>
        <v/>
      </c>
      <c r="D82" s="51"/>
      <c r="E82" s="53"/>
      <c r="F82" s="52" t="str">
        <f aca="false">IF(A82="","",INDEX(הגדרות!$H$16:$H$27,MONTH(A82)))</f>
        <v/>
      </c>
    </row>
    <row r="83" customFormat="false" ht="15" hidden="false" customHeight="false" outlineLevel="0" collapsed="false">
      <c r="A83" s="55"/>
      <c r="B83" s="56"/>
      <c r="C83" s="57" t="str">
        <f aca="false">IF(B83="","",IFERROR(INDEX(הגדרות!$A$8:$A$53,MATCH(B83,הגדרות!$B$8:$B$53,0)),"⚠ לא בהגדרות"))</f>
        <v/>
      </c>
      <c r="D83" s="56"/>
      <c r="E83" s="58"/>
      <c r="F83" s="57" t="str">
        <f aca="false">IF(A83="","",INDEX(הגדרות!$H$16:$H$27,MONTH(A83)))</f>
        <v/>
      </c>
    </row>
    <row r="84" customFormat="false" ht="15" hidden="false" customHeight="false" outlineLevel="0" collapsed="false">
      <c r="A84" s="50"/>
      <c r="B84" s="51"/>
      <c r="C84" s="52" t="str">
        <f aca="false">IF(B84="","",IFERROR(INDEX(הגדרות!$A$8:$A$53,MATCH(B84,הגדרות!$B$8:$B$53,0)),"⚠ לא בהגדרות"))</f>
        <v/>
      </c>
      <c r="D84" s="51"/>
      <c r="E84" s="53"/>
      <c r="F84" s="52" t="str">
        <f aca="false">IF(A84="","",INDEX(הגדרות!$H$16:$H$27,MONTH(A84)))</f>
        <v/>
      </c>
    </row>
    <row r="85" customFormat="false" ht="15" hidden="false" customHeight="false" outlineLevel="0" collapsed="false">
      <c r="A85" s="55"/>
      <c r="B85" s="56"/>
      <c r="C85" s="57" t="str">
        <f aca="false">IF(B85="","",IFERROR(INDEX(הגדרות!$A$8:$A$53,MATCH(B85,הגדרות!$B$8:$B$53,0)),"⚠ לא בהגדרות"))</f>
        <v/>
      </c>
      <c r="D85" s="56"/>
      <c r="E85" s="58"/>
      <c r="F85" s="57" t="str">
        <f aca="false">IF(A85="","",INDEX(הגדרות!$H$16:$H$27,MONTH(A85)))</f>
        <v/>
      </c>
    </row>
    <row r="86" customFormat="false" ht="15" hidden="false" customHeight="false" outlineLevel="0" collapsed="false">
      <c r="A86" s="50"/>
      <c r="B86" s="51"/>
      <c r="C86" s="52" t="str">
        <f aca="false">IF(B86="","",IFERROR(INDEX(הגדרות!$A$8:$A$53,MATCH(B86,הגדרות!$B$8:$B$53,0)),"⚠ לא בהגדרות"))</f>
        <v/>
      </c>
      <c r="D86" s="51"/>
      <c r="E86" s="53"/>
      <c r="F86" s="52" t="str">
        <f aca="false">IF(A86="","",INDEX(הגדרות!$H$16:$H$27,MONTH(A86)))</f>
        <v/>
      </c>
    </row>
    <row r="87" customFormat="false" ht="15" hidden="false" customHeight="false" outlineLevel="0" collapsed="false">
      <c r="A87" s="55"/>
      <c r="B87" s="56"/>
      <c r="C87" s="57" t="str">
        <f aca="false">IF(B87="","",IFERROR(INDEX(הגדרות!$A$8:$A$53,MATCH(B87,הגדרות!$B$8:$B$53,0)),"⚠ לא בהגדרות"))</f>
        <v/>
      </c>
      <c r="D87" s="56"/>
      <c r="E87" s="58"/>
      <c r="F87" s="57" t="str">
        <f aca="false">IF(A87="","",INDEX(הגדרות!$H$16:$H$27,MONTH(A87)))</f>
        <v/>
      </c>
    </row>
    <row r="88" customFormat="false" ht="15" hidden="false" customHeight="false" outlineLevel="0" collapsed="false">
      <c r="A88" s="50"/>
      <c r="B88" s="51"/>
      <c r="C88" s="52" t="str">
        <f aca="false">IF(B88="","",IFERROR(INDEX(הגדרות!$A$8:$A$53,MATCH(B88,הגדרות!$B$8:$B$53,0)),"⚠ לא בהגדרות"))</f>
        <v/>
      </c>
      <c r="D88" s="51"/>
      <c r="E88" s="53"/>
      <c r="F88" s="52" t="str">
        <f aca="false">IF(A88="","",INDEX(הגדרות!$H$16:$H$27,MONTH(A88)))</f>
        <v/>
      </c>
    </row>
    <row r="89" customFormat="false" ht="15" hidden="false" customHeight="false" outlineLevel="0" collapsed="false">
      <c r="A89" s="55"/>
      <c r="B89" s="56"/>
      <c r="C89" s="57" t="str">
        <f aca="false">IF(B89="","",IFERROR(INDEX(הגדרות!$A$8:$A$53,MATCH(B89,הגדרות!$B$8:$B$53,0)),"⚠ לא בהגדרות"))</f>
        <v/>
      </c>
      <c r="D89" s="56"/>
      <c r="E89" s="58"/>
      <c r="F89" s="57" t="str">
        <f aca="false">IF(A89="","",INDEX(הגדרות!$H$16:$H$27,MONTH(A89)))</f>
        <v/>
      </c>
    </row>
    <row r="90" customFormat="false" ht="15" hidden="false" customHeight="false" outlineLevel="0" collapsed="false">
      <c r="A90" s="50"/>
      <c r="B90" s="51"/>
      <c r="C90" s="52" t="str">
        <f aca="false">IF(B90="","",IFERROR(INDEX(הגדרות!$A$8:$A$53,MATCH(B90,הגדרות!$B$8:$B$53,0)),"⚠ לא בהגדרות"))</f>
        <v/>
      </c>
      <c r="D90" s="51"/>
      <c r="E90" s="53"/>
      <c r="F90" s="52" t="str">
        <f aca="false">IF(A90="","",INDEX(הגדרות!$H$16:$H$27,MONTH(A90)))</f>
        <v/>
      </c>
    </row>
    <row r="91" customFormat="false" ht="15" hidden="false" customHeight="false" outlineLevel="0" collapsed="false">
      <c r="A91" s="55"/>
      <c r="B91" s="56"/>
      <c r="C91" s="57" t="str">
        <f aca="false">IF(B91="","",IFERROR(INDEX(הגדרות!$A$8:$A$53,MATCH(B91,הגדרות!$B$8:$B$53,0)),"⚠ לא בהגדרות"))</f>
        <v/>
      </c>
      <c r="D91" s="56"/>
      <c r="E91" s="58"/>
      <c r="F91" s="57" t="str">
        <f aca="false">IF(A91="","",INDEX(הגדרות!$H$16:$H$27,MONTH(A91)))</f>
        <v/>
      </c>
    </row>
    <row r="92" customFormat="false" ht="15" hidden="false" customHeight="false" outlineLevel="0" collapsed="false">
      <c r="A92" s="50"/>
      <c r="B92" s="51"/>
      <c r="C92" s="52" t="str">
        <f aca="false">IF(B92="","",IFERROR(INDEX(הגדרות!$A$8:$A$53,MATCH(B92,הגדרות!$B$8:$B$53,0)),"⚠ לא בהגדרות"))</f>
        <v/>
      </c>
      <c r="D92" s="51"/>
      <c r="E92" s="53"/>
      <c r="F92" s="52" t="str">
        <f aca="false">IF(A92="","",INDEX(הגדרות!$H$16:$H$27,MONTH(A92)))</f>
        <v/>
      </c>
    </row>
    <row r="93" customFormat="false" ht="15" hidden="false" customHeight="false" outlineLevel="0" collapsed="false">
      <c r="A93" s="55"/>
      <c r="B93" s="56"/>
      <c r="C93" s="57" t="str">
        <f aca="false">IF(B93="","",IFERROR(INDEX(הגדרות!$A$8:$A$53,MATCH(B93,הגדרות!$B$8:$B$53,0)),"⚠ לא בהגדרות"))</f>
        <v/>
      </c>
      <c r="D93" s="56"/>
      <c r="E93" s="58"/>
      <c r="F93" s="57" t="str">
        <f aca="false">IF(A93="","",INDEX(הגדרות!$H$16:$H$27,MONTH(A93)))</f>
        <v/>
      </c>
    </row>
    <row r="94" customFormat="false" ht="15" hidden="false" customHeight="false" outlineLevel="0" collapsed="false">
      <c r="A94" s="50"/>
      <c r="B94" s="51"/>
      <c r="C94" s="52" t="str">
        <f aca="false">IF(B94="","",IFERROR(INDEX(הגדרות!$A$8:$A$53,MATCH(B94,הגדרות!$B$8:$B$53,0)),"⚠ לא בהגדרות"))</f>
        <v/>
      </c>
      <c r="D94" s="51"/>
      <c r="E94" s="53"/>
      <c r="F94" s="52" t="str">
        <f aca="false">IF(A94="","",INDEX(הגדרות!$H$16:$H$27,MONTH(A94)))</f>
        <v/>
      </c>
    </row>
    <row r="95" customFormat="false" ht="15" hidden="false" customHeight="false" outlineLevel="0" collapsed="false">
      <c r="A95" s="55"/>
      <c r="B95" s="56"/>
      <c r="C95" s="57" t="str">
        <f aca="false">IF(B95="","",IFERROR(INDEX(הגדרות!$A$8:$A$53,MATCH(B95,הגדרות!$B$8:$B$53,0)),"⚠ לא בהגדרות"))</f>
        <v/>
      </c>
      <c r="D95" s="56"/>
      <c r="E95" s="58"/>
      <c r="F95" s="57" t="str">
        <f aca="false">IF(A95="","",INDEX(הגדרות!$H$16:$H$27,MONTH(A95)))</f>
        <v/>
      </c>
    </row>
    <row r="96" customFormat="false" ht="15" hidden="false" customHeight="false" outlineLevel="0" collapsed="false">
      <c r="A96" s="50"/>
      <c r="B96" s="51"/>
      <c r="C96" s="52" t="str">
        <f aca="false">IF(B96="","",IFERROR(INDEX(הגדרות!$A$8:$A$53,MATCH(B96,הגדרות!$B$8:$B$53,0)),"⚠ לא בהגדרות"))</f>
        <v/>
      </c>
      <c r="D96" s="51"/>
      <c r="E96" s="53"/>
      <c r="F96" s="52" t="str">
        <f aca="false">IF(A96="","",INDEX(הגדרות!$H$16:$H$27,MONTH(A96)))</f>
        <v/>
      </c>
    </row>
    <row r="97" customFormat="false" ht="15" hidden="false" customHeight="false" outlineLevel="0" collapsed="false">
      <c r="A97" s="55"/>
      <c r="B97" s="56"/>
      <c r="C97" s="57" t="str">
        <f aca="false">IF(B97="","",IFERROR(INDEX(הגדרות!$A$8:$A$53,MATCH(B97,הגדרות!$B$8:$B$53,0)),"⚠ לא בהגדרות"))</f>
        <v/>
      </c>
      <c r="D97" s="56"/>
      <c r="E97" s="58"/>
      <c r="F97" s="57" t="str">
        <f aca="false">IF(A97="","",INDEX(הגדרות!$H$16:$H$27,MONTH(A97)))</f>
        <v/>
      </c>
    </row>
    <row r="98" customFormat="false" ht="15" hidden="false" customHeight="false" outlineLevel="0" collapsed="false">
      <c r="A98" s="50"/>
      <c r="B98" s="51"/>
      <c r="C98" s="52" t="str">
        <f aca="false">IF(B98="","",IFERROR(INDEX(הגדרות!$A$8:$A$53,MATCH(B98,הגדרות!$B$8:$B$53,0)),"⚠ לא בהגדרות"))</f>
        <v/>
      </c>
      <c r="D98" s="51"/>
      <c r="E98" s="53"/>
      <c r="F98" s="52" t="str">
        <f aca="false">IF(A98="","",INDEX(הגדרות!$H$16:$H$27,MONTH(A98)))</f>
        <v/>
      </c>
    </row>
    <row r="99" customFormat="false" ht="15" hidden="false" customHeight="false" outlineLevel="0" collapsed="false">
      <c r="A99" s="55"/>
      <c r="B99" s="56"/>
      <c r="C99" s="57" t="str">
        <f aca="false">IF(B99="","",IFERROR(INDEX(הגדרות!$A$8:$A$53,MATCH(B99,הגדרות!$B$8:$B$53,0)),"⚠ לא בהגדרות"))</f>
        <v/>
      </c>
      <c r="D99" s="56"/>
      <c r="E99" s="58"/>
      <c r="F99" s="57" t="str">
        <f aca="false">IF(A99="","",INDEX(הגדרות!$H$16:$H$27,MONTH(A99)))</f>
        <v/>
      </c>
    </row>
    <row r="100" customFormat="false" ht="15" hidden="false" customHeight="false" outlineLevel="0" collapsed="false">
      <c r="A100" s="50"/>
      <c r="B100" s="51"/>
      <c r="C100" s="52" t="str">
        <f aca="false">IF(B100="","",IFERROR(INDEX(הגדרות!$A$8:$A$53,MATCH(B100,הגדרות!$B$8:$B$53,0)),"⚠ לא בהגדרות"))</f>
        <v/>
      </c>
      <c r="D100" s="51"/>
      <c r="E100" s="53"/>
      <c r="F100" s="52" t="str">
        <f aca="false">IF(A100="","",INDEX(הגדרות!$H$16:$H$27,MONTH(A100)))</f>
        <v/>
      </c>
    </row>
    <row r="101" customFormat="false" ht="15" hidden="false" customHeight="false" outlineLevel="0" collapsed="false">
      <c r="A101" s="55"/>
      <c r="B101" s="56"/>
      <c r="C101" s="57" t="str">
        <f aca="false">IF(B101="","",IFERROR(INDEX(הגדרות!$A$8:$A$53,MATCH(B101,הגדרות!$B$8:$B$53,0)),"⚠ לא בהגדרות"))</f>
        <v/>
      </c>
      <c r="D101" s="56"/>
      <c r="E101" s="58"/>
      <c r="F101" s="57" t="str">
        <f aca="false">IF(A101="","",INDEX(הגדרות!$H$16:$H$27,MONTH(A101)))</f>
        <v/>
      </c>
    </row>
    <row r="102" customFormat="false" ht="15" hidden="false" customHeight="false" outlineLevel="0" collapsed="false">
      <c r="A102" s="50"/>
      <c r="B102" s="51"/>
      <c r="C102" s="52" t="str">
        <f aca="false">IF(B102="","",IFERROR(INDEX(הגדרות!$A$8:$A$53,MATCH(B102,הגדרות!$B$8:$B$53,0)),"⚠ לא בהגדרות"))</f>
        <v/>
      </c>
      <c r="D102" s="51"/>
      <c r="E102" s="53"/>
      <c r="F102" s="52" t="str">
        <f aca="false">IF(A102="","",INDEX(הגדרות!$H$16:$H$27,MONTH(A102)))</f>
        <v/>
      </c>
    </row>
    <row r="103" customFormat="false" ht="15" hidden="false" customHeight="false" outlineLevel="0" collapsed="false">
      <c r="A103" s="55"/>
      <c r="B103" s="56"/>
      <c r="C103" s="57" t="str">
        <f aca="false">IF(B103="","",IFERROR(INDEX(הגדרות!$A$8:$A$53,MATCH(B103,הגדרות!$B$8:$B$53,0)),"⚠ לא בהגדרות"))</f>
        <v/>
      </c>
      <c r="D103" s="56"/>
      <c r="E103" s="58"/>
      <c r="F103" s="57" t="str">
        <f aca="false">IF(A103="","",INDEX(הגדרות!$H$16:$H$27,MONTH(A103)))</f>
        <v/>
      </c>
    </row>
    <row r="104" customFormat="false" ht="15" hidden="false" customHeight="false" outlineLevel="0" collapsed="false">
      <c r="A104" s="50"/>
      <c r="B104" s="51"/>
      <c r="C104" s="52" t="str">
        <f aca="false">IF(B104="","",IFERROR(INDEX(הגדרות!$A$8:$A$53,MATCH(B104,הגדרות!$B$8:$B$53,0)),"⚠ לא בהגדרות"))</f>
        <v/>
      </c>
      <c r="D104" s="51"/>
      <c r="E104" s="53"/>
      <c r="F104" s="52" t="str">
        <f aca="false">IF(A104="","",INDEX(הגדרות!$H$16:$H$27,MONTH(A104)))</f>
        <v/>
      </c>
    </row>
    <row r="105" customFormat="false" ht="15" hidden="false" customHeight="false" outlineLevel="0" collapsed="false">
      <c r="A105" s="55"/>
      <c r="B105" s="56"/>
      <c r="C105" s="57" t="str">
        <f aca="false">IF(B105="","",IFERROR(INDEX(הגדרות!$A$8:$A$53,MATCH(B105,הגדרות!$B$8:$B$53,0)),"⚠ לא בהגדרות"))</f>
        <v/>
      </c>
      <c r="D105" s="56"/>
      <c r="E105" s="58"/>
      <c r="F105" s="57" t="str">
        <f aca="false">IF(A105="","",INDEX(הגדרות!$H$16:$H$27,MONTH(A105)))</f>
        <v/>
      </c>
    </row>
    <row r="106" customFormat="false" ht="15" hidden="false" customHeight="false" outlineLevel="0" collapsed="false">
      <c r="A106" s="50"/>
      <c r="B106" s="51"/>
      <c r="C106" s="52" t="str">
        <f aca="false">IF(B106="","",IFERROR(INDEX(הגדרות!$A$8:$A$53,MATCH(B106,הגדרות!$B$8:$B$53,0)),"⚠ לא בהגדרות"))</f>
        <v/>
      </c>
      <c r="D106" s="51"/>
      <c r="E106" s="53"/>
      <c r="F106" s="52" t="str">
        <f aca="false">IF(A106="","",INDEX(הגדרות!$H$16:$H$27,MONTH(A106)))</f>
        <v/>
      </c>
    </row>
    <row r="107" customFormat="false" ht="15" hidden="false" customHeight="false" outlineLevel="0" collapsed="false">
      <c r="A107" s="55"/>
      <c r="B107" s="56"/>
      <c r="C107" s="57" t="str">
        <f aca="false">IF(B107="","",IFERROR(INDEX(הגדרות!$A$8:$A$53,MATCH(B107,הגדרות!$B$8:$B$53,0)),"⚠ לא בהגדרות"))</f>
        <v/>
      </c>
      <c r="D107" s="56"/>
      <c r="E107" s="58"/>
      <c r="F107" s="57" t="str">
        <f aca="false">IF(A107="","",INDEX(הגדרות!$H$16:$H$27,MONTH(A107)))</f>
        <v/>
      </c>
    </row>
    <row r="108" customFormat="false" ht="15" hidden="false" customHeight="false" outlineLevel="0" collapsed="false">
      <c r="A108" s="50"/>
      <c r="B108" s="51"/>
      <c r="C108" s="52" t="str">
        <f aca="false">IF(B108="","",IFERROR(INDEX(הגדרות!$A$8:$A$53,MATCH(B108,הגדרות!$B$8:$B$53,0)),"⚠ לא בהגדרות"))</f>
        <v/>
      </c>
      <c r="D108" s="51"/>
      <c r="E108" s="53"/>
      <c r="F108" s="52" t="str">
        <f aca="false">IF(A108="","",INDEX(הגדרות!$H$16:$H$27,MONTH(A108)))</f>
        <v/>
      </c>
    </row>
    <row r="109" customFormat="false" ht="15" hidden="false" customHeight="false" outlineLevel="0" collapsed="false">
      <c r="A109" s="55"/>
      <c r="B109" s="56"/>
      <c r="C109" s="57" t="str">
        <f aca="false">IF(B109="","",IFERROR(INDEX(הגדרות!$A$8:$A$53,MATCH(B109,הגדרות!$B$8:$B$53,0)),"⚠ לא בהגדרות"))</f>
        <v/>
      </c>
      <c r="D109" s="56"/>
      <c r="E109" s="58"/>
      <c r="F109" s="57" t="str">
        <f aca="false">IF(A109="","",INDEX(הגדרות!$H$16:$H$27,MONTH(A109)))</f>
        <v/>
      </c>
    </row>
    <row r="110" customFormat="false" ht="15" hidden="false" customHeight="false" outlineLevel="0" collapsed="false">
      <c r="A110" s="50"/>
      <c r="B110" s="51"/>
      <c r="C110" s="52" t="str">
        <f aca="false">IF(B110="","",IFERROR(INDEX(הגדרות!$A$8:$A$53,MATCH(B110,הגדרות!$B$8:$B$53,0)),"⚠ לא בהגדרות"))</f>
        <v/>
      </c>
      <c r="D110" s="51"/>
      <c r="E110" s="53"/>
      <c r="F110" s="52" t="str">
        <f aca="false">IF(A110="","",INDEX(הגדרות!$H$16:$H$27,MONTH(A110)))</f>
        <v/>
      </c>
    </row>
    <row r="111" customFormat="false" ht="15" hidden="false" customHeight="false" outlineLevel="0" collapsed="false">
      <c r="A111" s="55"/>
      <c r="B111" s="56"/>
      <c r="C111" s="57" t="str">
        <f aca="false">IF(B111="","",IFERROR(INDEX(הגדרות!$A$8:$A$53,MATCH(B111,הגדרות!$B$8:$B$53,0)),"⚠ לא בהגדרות"))</f>
        <v/>
      </c>
      <c r="D111" s="56"/>
      <c r="E111" s="58"/>
      <c r="F111" s="57" t="str">
        <f aca="false">IF(A111="","",INDEX(הגדרות!$H$16:$H$27,MONTH(A111)))</f>
        <v/>
      </c>
    </row>
    <row r="112" customFormat="false" ht="15" hidden="false" customHeight="false" outlineLevel="0" collapsed="false">
      <c r="A112" s="50"/>
      <c r="B112" s="51"/>
      <c r="C112" s="52" t="str">
        <f aca="false">IF(B112="","",IFERROR(INDEX(הגדרות!$A$8:$A$53,MATCH(B112,הגדרות!$B$8:$B$53,0)),"⚠ לא בהגדרות"))</f>
        <v/>
      </c>
      <c r="D112" s="51"/>
      <c r="E112" s="53"/>
      <c r="F112" s="52" t="str">
        <f aca="false">IF(A112="","",INDEX(הגדרות!$H$16:$H$27,MONTH(A112)))</f>
        <v/>
      </c>
    </row>
    <row r="113" customFormat="false" ht="15" hidden="false" customHeight="false" outlineLevel="0" collapsed="false">
      <c r="A113" s="55"/>
      <c r="B113" s="56"/>
      <c r="C113" s="57" t="str">
        <f aca="false">IF(B113="","",IFERROR(INDEX(הגדרות!$A$8:$A$53,MATCH(B113,הגדרות!$B$8:$B$53,0)),"⚠ לא בהגדרות"))</f>
        <v/>
      </c>
      <c r="D113" s="56"/>
      <c r="E113" s="58"/>
      <c r="F113" s="57" t="str">
        <f aca="false">IF(A113="","",INDEX(הגדרות!$H$16:$H$27,MONTH(A113)))</f>
        <v/>
      </c>
    </row>
    <row r="114" customFormat="false" ht="15" hidden="false" customHeight="false" outlineLevel="0" collapsed="false">
      <c r="A114" s="50"/>
      <c r="B114" s="51"/>
      <c r="C114" s="52" t="str">
        <f aca="false">IF(B114="","",IFERROR(INDEX(הגדרות!$A$8:$A$53,MATCH(B114,הגדרות!$B$8:$B$53,0)),"⚠ לא בהגדרות"))</f>
        <v/>
      </c>
      <c r="D114" s="51"/>
      <c r="E114" s="53"/>
      <c r="F114" s="52" t="str">
        <f aca="false">IF(A114="","",INDEX(הגדרות!$H$16:$H$27,MONTH(A114)))</f>
        <v/>
      </c>
    </row>
    <row r="115" customFormat="false" ht="15" hidden="false" customHeight="false" outlineLevel="0" collapsed="false">
      <c r="A115" s="55"/>
      <c r="B115" s="56"/>
      <c r="C115" s="57" t="str">
        <f aca="false">IF(B115="","",IFERROR(INDEX(הגדרות!$A$8:$A$53,MATCH(B115,הגדרות!$B$8:$B$53,0)),"⚠ לא בהגדרות"))</f>
        <v/>
      </c>
      <c r="D115" s="56"/>
      <c r="E115" s="58"/>
      <c r="F115" s="57" t="str">
        <f aca="false">IF(A115="","",INDEX(הגדרות!$H$16:$H$27,MONTH(A115)))</f>
        <v/>
      </c>
    </row>
    <row r="116" customFormat="false" ht="15" hidden="false" customHeight="false" outlineLevel="0" collapsed="false">
      <c r="A116" s="50"/>
      <c r="B116" s="51"/>
      <c r="C116" s="52" t="str">
        <f aca="false">IF(B116="","",IFERROR(INDEX(הגדרות!$A$8:$A$53,MATCH(B116,הגדרות!$B$8:$B$53,0)),"⚠ לא בהגדרות"))</f>
        <v/>
      </c>
      <c r="D116" s="51"/>
      <c r="E116" s="53"/>
      <c r="F116" s="52" t="str">
        <f aca="false">IF(A116="","",INDEX(הגדרות!$H$16:$H$27,MONTH(A116)))</f>
        <v/>
      </c>
    </row>
    <row r="117" customFormat="false" ht="15" hidden="false" customHeight="false" outlineLevel="0" collapsed="false">
      <c r="A117" s="55"/>
      <c r="B117" s="56"/>
      <c r="C117" s="57" t="str">
        <f aca="false">IF(B117="","",IFERROR(INDEX(הגדרות!$A$8:$A$53,MATCH(B117,הגדרות!$B$8:$B$53,0)),"⚠ לא בהגדרות"))</f>
        <v/>
      </c>
      <c r="D117" s="56"/>
      <c r="E117" s="58"/>
      <c r="F117" s="57" t="str">
        <f aca="false">IF(A117="","",INDEX(הגדרות!$H$16:$H$27,MONTH(A117)))</f>
        <v/>
      </c>
    </row>
    <row r="118" customFormat="false" ht="15" hidden="false" customHeight="false" outlineLevel="0" collapsed="false">
      <c r="A118" s="50"/>
      <c r="B118" s="51"/>
      <c r="C118" s="52" t="str">
        <f aca="false">IF(B118="","",IFERROR(INDEX(הגדרות!$A$8:$A$53,MATCH(B118,הגדרות!$B$8:$B$53,0)),"⚠ לא בהגדרות"))</f>
        <v/>
      </c>
      <c r="D118" s="51"/>
      <c r="E118" s="53"/>
      <c r="F118" s="52" t="str">
        <f aca="false">IF(A118="","",INDEX(הגדרות!$H$16:$H$27,MONTH(A118)))</f>
        <v/>
      </c>
    </row>
    <row r="119" customFormat="false" ht="15" hidden="false" customHeight="false" outlineLevel="0" collapsed="false">
      <c r="A119" s="55"/>
      <c r="B119" s="56"/>
      <c r="C119" s="57" t="str">
        <f aca="false">IF(B119="","",IFERROR(INDEX(הגדרות!$A$8:$A$53,MATCH(B119,הגדרות!$B$8:$B$53,0)),"⚠ לא בהגדרות"))</f>
        <v/>
      </c>
      <c r="D119" s="56"/>
      <c r="E119" s="58"/>
      <c r="F119" s="57" t="str">
        <f aca="false">IF(A119="","",INDEX(הגדרות!$H$16:$H$27,MONTH(A119)))</f>
        <v/>
      </c>
    </row>
    <row r="120" customFormat="false" ht="15" hidden="false" customHeight="false" outlineLevel="0" collapsed="false">
      <c r="A120" s="50"/>
      <c r="B120" s="51"/>
      <c r="C120" s="52" t="str">
        <f aca="false">IF(B120="","",IFERROR(INDEX(הגדרות!$A$8:$A$53,MATCH(B120,הגדרות!$B$8:$B$53,0)),"⚠ לא בהגדרות"))</f>
        <v/>
      </c>
      <c r="D120" s="51"/>
      <c r="E120" s="53"/>
      <c r="F120" s="52" t="str">
        <f aca="false">IF(A120="","",INDEX(הגדרות!$H$16:$H$27,MONTH(A120)))</f>
        <v/>
      </c>
    </row>
    <row r="121" customFormat="false" ht="15" hidden="false" customHeight="false" outlineLevel="0" collapsed="false">
      <c r="A121" s="55"/>
      <c r="B121" s="56"/>
      <c r="C121" s="57" t="str">
        <f aca="false">IF(B121="","",IFERROR(INDEX(הגדרות!$A$8:$A$53,MATCH(B121,הגדרות!$B$8:$B$53,0)),"⚠ לא בהגדרות"))</f>
        <v/>
      </c>
      <c r="D121" s="56"/>
      <c r="E121" s="58"/>
      <c r="F121" s="57" t="str">
        <f aca="false">IF(A121="","",INDEX(הגדרות!$H$16:$H$27,MONTH(A121)))</f>
        <v/>
      </c>
    </row>
    <row r="122" customFormat="false" ht="15" hidden="false" customHeight="false" outlineLevel="0" collapsed="false">
      <c r="A122" s="50"/>
      <c r="B122" s="51"/>
      <c r="C122" s="52" t="str">
        <f aca="false">IF(B122="","",IFERROR(INDEX(הגדרות!$A$8:$A$53,MATCH(B122,הגדרות!$B$8:$B$53,0)),"⚠ לא בהגדרות"))</f>
        <v/>
      </c>
      <c r="D122" s="51"/>
      <c r="E122" s="53"/>
      <c r="F122" s="52" t="str">
        <f aca="false">IF(A122="","",INDEX(הגדרות!$H$16:$H$27,MONTH(A122)))</f>
        <v/>
      </c>
    </row>
    <row r="123" customFormat="false" ht="15" hidden="false" customHeight="false" outlineLevel="0" collapsed="false">
      <c r="A123" s="55"/>
      <c r="B123" s="56"/>
      <c r="C123" s="57" t="str">
        <f aca="false">IF(B123="","",IFERROR(INDEX(הגדרות!$A$8:$A$53,MATCH(B123,הגדרות!$B$8:$B$53,0)),"⚠ לא בהגדרות"))</f>
        <v/>
      </c>
      <c r="D123" s="56"/>
      <c r="E123" s="58"/>
      <c r="F123" s="57" t="str">
        <f aca="false">IF(A123="","",INDEX(הגדרות!$H$16:$H$27,MONTH(A123)))</f>
        <v/>
      </c>
    </row>
    <row r="124" customFormat="false" ht="15" hidden="false" customHeight="false" outlineLevel="0" collapsed="false">
      <c r="A124" s="50"/>
      <c r="B124" s="51"/>
      <c r="C124" s="52" t="str">
        <f aca="false">IF(B124="","",IFERROR(INDEX(הגדרות!$A$8:$A$53,MATCH(B124,הגדרות!$B$8:$B$53,0)),"⚠ לא בהגדרות"))</f>
        <v/>
      </c>
      <c r="D124" s="51"/>
      <c r="E124" s="53"/>
      <c r="F124" s="52" t="str">
        <f aca="false">IF(A124="","",INDEX(הגדרות!$H$16:$H$27,MONTH(A124)))</f>
        <v/>
      </c>
    </row>
    <row r="125" customFormat="false" ht="15" hidden="false" customHeight="false" outlineLevel="0" collapsed="false">
      <c r="A125" s="55"/>
      <c r="B125" s="56"/>
      <c r="C125" s="57" t="str">
        <f aca="false">IF(B125="","",IFERROR(INDEX(הגדרות!$A$8:$A$53,MATCH(B125,הגדרות!$B$8:$B$53,0)),"⚠ לא בהגדרות"))</f>
        <v/>
      </c>
      <c r="D125" s="56"/>
      <c r="E125" s="58"/>
      <c r="F125" s="57" t="str">
        <f aca="false">IF(A125="","",INDEX(הגדרות!$H$16:$H$27,MONTH(A125)))</f>
        <v/>
      </c>
    </row>
    <row r="126" customFormat="false" ht="15" hidden="false" customHeight="false" outlineLevel="0" collapsed="false">
      <c r="A126" s="50"/>
      <c r="B126" s="51"/>
      <c r="C126" s="52" t="str">
        <f aca="false">IF(B126="","",IFERROR(INDEX(הגדרות!$A$8:$A$53,MATCH(B126,הגדרות!$B$8:$B$53,0)),"⚠ לא בהגדרות"))</f>
        <v/>
      </c>
      <c r="D126" s="51"/>
      <c r="E126" s="53"/>
      <c r="F126" s="52" t="str">
        <f aca="false">IF(A126="","",INDEX(הגדרות!$H$16:$H$27,MONTH(A126)))</f>
        <v/>
      </c>
    </row>
    <row r="127" customFormat="false" ht="15" hidden="false" customHeight="false" outlineLevel="0" collapsed="false">
      <c r="A127" s="55"/>
      <c r="B127" s="56"/>
      <c r="C127" s="57" t="str">
        <f aca="false">IF(B127="","",IFERROR(INDEX(הגדרות!$A$8:$A$53,MATCH(B127,הגדרות!$B$8:$B$53,0)),"⚠ לא בהגדרות"))</f>
        <v/>
      </c>
      <c r="D127" s="56"/>
      <c r="E127" s="58"/>
      <c r="F127" s="57" t="str">
        <f aca="false">IF(A127="","",INDEX(הגדרות!$H$16:$H$27,MONTH(A127)))</f>
        <v/>
      </c>
    </row>
    <row r="128" customFormat="false" ht="15" hidden="false" customHeight="false" outlineLevel="0" collapsed="false">
      <c r="A128" s="50"/>
      <c r="B128" s="51"/>
      <c r="C128" s="52" t="str">
        <f aca="false">IF(B128="","",IFERROR(INDEX(הגדרות!$A$8:$A$53,MATCH(B128,הגדרות!$B$8:$B$53,0)),"⚠ לא בהגדרות"))</f>
        <v/>
      </c>
      <c r="D128" s="51"/>
      <c r="E128" s="53"/>
      <c r="F128" s="52" t="str">
        <f aca="false">IF(A128="","",INDEX(הגדרות!$H$16:$H$27,MONTH(A128)))</f>
        <v/>
      </c>
    </row>
    <row r="129" customFormat="false" ht="15" hidden="false" customHeight="false" outlineLevel="0" collapsed="false">
      <c r="A129" s="55"/>
      <c r="B129" s="56"/>
      <c r="C129" s="57" t="str">
        <f aca="false">IF(B129="","",IFERROR(INDEX(הגדרות!$A$8:$A$53,MATCH(B129,הגדרות!$B$8:$B$53,0)),"⚠ לא בהגדרות"))</f>
        <v/>
      </c>
      <c r="D129" s="56"/>
      <c r="E129" s="58"/>
      <c r="F129" s="57" t="str">
        <f aca="false">IF(A129="","",INDEX(הגדרות!$H$16:$H$27,MONTH(A129)))</f>
        <v/>
      </c>
    </row>
    <row r="130" customFormat="false" ht="15" hidden="false" customHeight="false" outlineLevel="0" collapsed="false">
      <c r="A130" s="50"/>
      <c r="B130" s="51"/>
      <c r="C130" s="52" t="str">
        <f aca="false">IF(B130="","",IFERROR(INDEX(הגדרות!$A$8:$A$53,MATCH(B130,הגדרות!$B$8:$B$53,0)),"⚠ לא בהגדרות"))</f>
        <v/>
      </c>
      <c r="D130" s="51"/>
      <c r="E130" s="53"/>
      <c r="F130" s="52" t="str">
        <f aca="false">IF(A130="","",INDEX(הגדרות!$H$16:$H$27,MONTH(A130)))</f>
        <v/>
      </c>
    </row>
    <row r="131" customFormat="false" ht="15" hidden="false" customHeight="false" outlineLevel="0" collapsed="false">
      <c r="A131" s="55"/>
      <c r="B131" s="56"/>
      <c r="C131" s="57" t="str">
        <f aca="false">IF(B131="","",IFERROR(INDEX(הגדרות!$A$8:$A$53,MATCH(B131,הגדרות!$B$8:$B$53,0)),"⚠ לא בהגדרות"))</f>
        <v/>
      </c>
      <c r="D131" s="56"/>
      <c r="E131" s="58"/>
      <c r="F131" s="57" t="str">
        <f aca="false">IF(A131="","",INDEX(הגדרות!$H$16:$H$27,MONTH(A131)))</f>
        <v/>
      </c>
    </row>
    <row r="132" customFormat="false" ht="15" hidden="false" customHeight="false" outlineLevel="0" collapsed="false">
      <c r="A132" s="50"/>
      <c r="B132" s="51"/>
      <c r="C132" s="52" t="str">
        <f aca="false">IF(B132="","",IFERROR(INDEX(הגדרות!$A$8:$A$53,MATCH(B132,הגדרות!$B$8:$B$53,0)),"⚠ לא בהגדרות"))</f>
        <v/>
      </c>
      <c r="D132" s="51"/>
      <c r="E132" s="53"/>
      <c r="F132" s="52" t="str">
        <f aca="false">IF(A132="","",INDEX(הגדרות!$H$16:$H$27,MONTH(A132)))</f>
        <v/>
      </c>
    </row>
    <row r="133" customFormat="false" ht="15" hidden="false" customHeight="false" outlineLevel="0" collapsed="false">
      <c r="A133" s="55"/>
      <c r="B133" s="56"/>
      <c r="C133" s="57" t="str">
        <f aca="false">IF(B133="","",IFERROR(INDEX(הגדרות!$A$8:$A$53,MATCH(B133,הגדרות!$B$8:$B$53,0)),"⚠ לא בהגדרות"))</f>
        <v/>
      </c>
      <c r="D133" s="56"/>
      <c r="E133" s="58"/>
      <c r="F133" s="57" t="str">
        <f aca="false">IF(A133="","",INDEX(הגדרות!$H$16:$H$27,MONTH(A133)))</f>
        <v/>
      </c>
    </row>
    <row r="134" customFormat="false" ht="15" hidden="false" customHeight="false" outlineLevel="0" collapsed="false">
      <c r="A134" s="50"/>
      <c r="B134" s="51"/>
      <c r="C134" s="52" t="str">
        <f aca="false">IF(B134="","",IFERROR(INDEX(הגדרות!$A$8:$A$53,MATCH(B134,הגדרות!$B$8:$B$53,0)),"⚠ לא בהגדרות"))</f>
        <v/>
      </c>
      <c r="D134" s="51"/>
      <c r="E134" s="53"/>
      <c r="F134" s="52" t="str">
        <f aca="false">IF(A134="","",INDEX(הגדרות!$H$16:$H$27,MONTH(A134)))</f>
        <v/>
      </c>
    </row>
    <row r="135" customFormat="false" ht="15" hidden="false" customHeight="false" outlineLevel="0" collapsed="false">
      <c r="A135" s="55"/>
      <c r="B135" s="56"/>
      <c r="C135" s="57" t="str">
        <f aca="false">IF(B135="","",IFERROR(INDEX(הגדרות!$A$8:$A$53,MATCH(B135,הגדרות!$B$8:$B$53,0)),"⚠ לא בהגדרות"))</f>
        <v/>
      </c>
      <c r="D135" s="56"/>
      <c r="E135" s="58"/>
      <c r="F135" s="57" t="str">
        <f aca="false">IF(A135="","",INDEX(הגדרות!$H$16:$H$27,MONTH(A135)))</f>
        <v/>
      </c>
    </row>
    <row r="136" customFormat="false" ht="15" hidden="false" customHeight="false" outlineLevel="0" collapsed="false">
      <c r="A136" s="50"/>
      <c r="B136" s="51"/>
      <c r="C136" s="52" t="str">
        <f aca="false">IF(B136="","",IFERROR(INDEX(הגדרות!$A$8:$A$53,MATCH(B136,הגדרות!$B$8:$B$53,0)),"⚠ לא בהגדרות"))</f>
        <v/>
      </c>
      <c r="D136" s="51"/>
      <c r="E136" s="53"/>
      <c r="F136" s="52" t="str">
        <f aca="false">IF(A136="","",INDEX(הגדרות!$H$16:$H$27,MONTH(A136)))</f>
        <v/>
      </c>
    </row>
    <row r="137" customFormat="false" ht="15" hidden="false" customHeight="false" outlineLevel="0" collapsed="false">
      <c r="A137" s="55"/>
      <c r="B137" s="56"/>
      <c r="C137" s="57" t="str">
        <f aca="false">IF(B137="","",IFERROR(INDEX(הגדרות!$A$8:$A$53,MATCH(B137,הגדרות!$B$8:$B$53,0)),"⚠ לא בהגדרות"))</f>
        <v/>
      </c>
      <c r="D137" s="56"/>
      <c r="E137" s="58"/>
      <c r="F137" s="57" t="str">
        <f aca="false">IF(A137="","",INDEX(הגדרות!$H$16:$H$27,MONTH(A137)))</f>
        <v/>
      </c>
    </row>
    <row r="138" customFormat="false" ht="15" hidden="false" customHeight="false" outlineLevel="0" collapsed="false">
      <c r="A138" s="50"/>
      <c r="B138" s="51"/>
      <c r="C138" s="52" t="str">
        <f aca="false">IF(B138="","",IFERROR(INDEX(הגדרות!$A$8:$A$53,MATCH(B138,הגדרות!$B$8:$B$53,0)),"⚠ לא בהגדרות"))</f>
        <v/>
      </c>
      <c r="D138" s="51"/>
      <c r="E138" s="53"/>
      <c r="F138" s="52" t="str">
        <f aca="false">IF(A138="","",INDEX(הגדרות!$H$16:$H$27,MONTH(A138)))</f>
        <v/>
      </c>
    </row>
    <row r="139" customFormat="false" ht="15" hidden="false" customHeight="false" outlineLevel="0" collapsed="false">
      <c r="A139" s="55"/>
      <c r="B139" s="56"/>
      <c r="C139" s="57" t="str">
        <f aca="false">IF(B139="","",IFERROR(INDEX(הגדרות!$A$8:$A$53,MATCH(B139,הגדרות!$B$8:$B$53,0)),"⚠ לא בהגדרות"))</f>
        <v/>
      </c>
      <c r="D139" s="56"/>
      <c r="E139" s="58"/>
      <c r="F139" s="57" t="str">
        <f aca="false">IF(A139="","",INDEX(הגדרות!$H$16:$H$27,MONTH(A139)))</f>
        <v/>
      </c>
    </row>
    <row r="140" customFormat="false" ht="15" hidden="false" customHeight="false" outlineLevel="0" collapsed="false">
      <c r="A140" s="50"/>
      <c r="B140" s="51"/>
      <c r="C140" s="52" t="str">
        <f aca="false">IF(B140="","",IFERROR(INDEX(הגדרות!$A$8:$A$53,MATCH(B140,הגדרות!$B$8:$B$53,0)),"⚠ לא בהגדרות"))</f>
        <v/>
      </c>
      <c r="D140" s="51"/>
      <c r="E140" s="53"/>
      <c r="F140" s="52" t="str">
        <f aca="false">IF(A140="","",INDEX(הגדרות!$H$16:$H$27,MONTH(A140)))</f>
        <v/>
      </c>
    </row>
    <row r="141" customFormat="false" ht="15" hidden="false" customHeight="false" outlineLevel="0" collapsed="false">
      <c r="A141" s="55"/>
      <c r="B141" s="56"/>
      <c r="C141" s="57" t="str">
        <f aca="false">IF(B141="","",IFERROR(INDEX(הגדרות!$A$8:$A$53,MATCH(B141,הגדרות!$B$8:$B$53,0)),"⚠ לא בהגדרות"))</f>
        <v/>
      </c>
      <c r="D141" s="56"/>
      <c r="E141" s="58"/>
      <c r="F141" s="57" t="str">
        <f aca="false">IF(A141="","",INDEX(הגדרות!$H$16:$H$27,MONTH(A141)))</f>
        <v/>
      </c>
    </row>
    <row r="142" customFormat="false" ht="15" hidden="false" customHeight="false" outlineLevel="0" collapsed="false">
      <c r="A142" s="50"/>
      <c r="B142" s="51"/>
      <c r="C142" s="52" t="str">
        <f aca="false">IF(B142="","",IFERROR(INDEX(הגדרות!$A$8:$A$53,MATCH(B142,הגדרות!$B$8:$B$53,0)),"⚠ לא בהגדרות"))</f>
        <v/>
      </c>
      <c r="D142" s="51"/>
      <c r="E142" s="53"/>
      <c r="F142" s="52" t="str">
        <f aca="false">IF(A142="","",INDEX(הגדרות!$H$16:$H$27,MONTH(A142)))</f>
        <v/>
      </c>
    </row>
    <row r="143" customFormat="false" ht="15" hidden="false" customHeight="false" outlineLevel="0" collapsed="false">
      <c r="A143" s="55"/>
      <c r="B143" s="56"/>
      <c r="C143" s="57" t="str">
        <f aca="false">IF(B143="","",IFERROR(INDEX(הגדרות!$A$8:$A$53,MATCH(B143,הגדרות!$B$8:$B$53,0)),"⚠ לא בהגדרות"))</f>
        <v/>
      </c>
      <c r="D143" s="56"/>
      <c r="E143" s="58"/>
      <c r="F143" s="57" t="str">
        <f aca="false">IF(A143="","",INDEX(הגדרות!$H$16:$H$27,MONTH(A143)))</f>
        <v/>
      </c>
    </row>
    <row r="144" customFormat="false" ht="15" hidden="false" customHeight="false" outlineLevel="0" collapsed="false">
      <c r="A144" s="50"/>
      <c r="B144" s="51"/>
      <c r="C144" s="52" t="str">
        <f aca="false">IF(B144="","",IFERROR(INDEX(הגדרות!$A$8:$A$53,MATCH(B144,הגדרות!$B$8:$B$53,0)),"⚠ לא בהגדרות"))</f>
        <v/>
      </c>
      <c r="D144" s="51"/>
      <c r="E144" s="53"/>
      <c r="F144" s="52" t="str">
        <f aca="false">IF(A144="","",INDEX(הגדרות!$H$16:$H$27,MONTH(A144)))</f>
        <v/>
      </c>
    </row>
    <row r="145" customFormat="false" ht="15" hidden="false" customHeight="false" outlineLevel="0" collapsed="false">
      <c r="A145" s="55"/>
      <c r="B145" s="56"/>
      <c r="C145" s="57" t="str">
        <f aca="false">IF(B145="","",IFERROR(INDEX(הגדרות!$A$8:$A$53,MATCH(B145,הגדרות!$B$8:$B$53,0)),"⚠ לא בהגדרות"))</f>
        <v/>
      </c>
      <c r="D145" s="56"/>
      <c r="E145" s="58"/>
      <c r="F145" s="57" t="str">
        <f aca="false">IF(A145="","",INDEX(הגדרות!$H$16:$H$27,MONTH(A145)))</f>
        <v/>
      </c>
    </row>
    <row r="146" customFormat="false" ht="15" hidden="false" customHeight="false" outlineLevel="0" collapsed="false">
      <c r="A146" s="50"/>
      <c r="B146" s="51"/>
      <c r="C146" s="52" t="str">
        <f aca="false">IF(B146="","",IFERROR(INDEX(הגדרות!$A$8:$A$53,MATCH(B146,הגדרות!$B$8:$B$53,0)),"⚠ לא בהגדרות"))</f>
        <v/>
      </c>
      <c r="D146" s="51"/>
      <c r="E146" s="53"/>
      <c r="F146" s="52" t="str">
        <f aca="false">IF(A146="","",INDEX(הגדרות!$H$16:$H$27,MONTH(A146)))</f>
        <v/>
      </c>
    </row>
    <row r="147" customFormat="false" ht="15" hidden="false" customHeight="false" outlineLevel="0" collapsed="false">
      <c r="A147" s="55"/>
      <c r="B147" s="56"/>
      <c r="C147" s="57" t="str">
        <f aca="false">IF(B147="","",IFERROR(INDEX(הגדרות!$A$8:$A$53,MATCH(B147,הגדרות!$B$8:$B$53,0)),"⚠ לא בהגדרות"))</f>
        <v/>
      </c>
      <c r="D147" s="56"/>
      <c r="E147" s="58"/>
      <c r="F147" s="57" t="str">
        <f aca="false">IF(A147="","",INDEX(הגדרות!$H$16:$H$27,MONTH(A147)))</f>
        <v/>
      </c>
    </row>
    <row r="148" customFormat="false" ht="15" hidden="false" customHeight="false" outlineLevel="0" collapsed="false">
      <c r="A148" s="50"/>
      <c r="B148" s="51"/>
      <c r="C148" s="52" t="str">
        <f aca="false">IF(B148="","",IFERROR(INDEX(הגדרות!$A$8:$A$53,MATCH(B148,הגדרות!$B$8:$B$53,0)),"⚠ לא בהגדרות"))</f>
        <v/>
      </c>
      <c r="D148" s="51"/>
      <c r="E148" s="53"/>
      <c r="F148" s="52" t="str">
        <f aca="false">IF(A148="","",INDEX(הגדרות!$H$16:$H$27,MONTH(A148)))</f>
        <v/>
      </c>
    </row>
    <row r="149" customFormat="false" ht="15" hidden="false" customHeight="false" outlineLevel="0" collapsed="false">
      <c r="A149" s="55"/>
      <c r="B149" s="56"/>
      <c r="C149" s="57" t="str">
        <f aca="false">IF(B149="","",IFERROR(INDEX(הגדרות!$A$8:$A$53,MATCH(B149,הגדרות!$B$8:$B$53,0)),"⚠ לא בהגדרות"))</f>
        <v/>
      </c>
      <c r="D149" s="56"/>
      <c r="E149" s="58"/>
      <c r="F149" s="57" t="str">
        <f aca="false">IF(A149="","",INDEX(הגדרות!$H$16:$H$27,MONTH(A149)))</f>
        <v/>
      </c>
    </row>
    <row r="150" customFormat="false" ht="15" hidden="false" customHeight="false" outlineLevel="0" collapsed="false">
      <c r="A150" s="50"/>
      <c r="B150" s="51"/>
      <c r="C150" s="52" t="str">
        <f aca="false">IF(B150="","",IFERROR(INDEX(הגדרות!$A$8:$A$53,MATCH(B150,הגדרות!$B$8:$B$53,0)),"⚠ לא בהגדרות"))</f>
        <v/>
      </c>
      <c r="D150" s="51"/>
      <c r="E150" s="53"/>
      <c r="F150" s="52" t="str">
        <f aca="false">IF(A150="","",INDEX(הגדרות!$H$16:$H$27,MONTH(A150)))</f>
        <v/>
      </c>
    </row>
    <row r="151" customFormat="false" ht="15" hidden="false" customHeight="false" outlineLevel="0" collapsed="false">
      <c r="A151" s="55"/>
      <c r="B151" s="56"/>
      <c r="C151" s="57" t="str">
        <f aca="false">IF(B151="","",IFERROR(INDEX(הגדרות!$A$8:$A$53,MATCH(B151,הגדרות!$B$8:$B$53,0)),"⚠ לא בהגדרות"))</f>
        <v/>
      </c>
      <c r="D151" s="56"/>
      <c r="E151" s="58"/>
      <c r="F151" s="57" t="str">
        <f aca="false">IF(A151="","",INDEX(הגדרות!$H$16:$H$27,MONTH(A151)))</f>
        <v/>
      </c>
    </row>
    <row r="152" customFormat="false" ht="15" hidden="false" customHeight="false" outlineLevel="0" collapsed="false">
      <c r="A152" s="50"/>
      <c r="B152" s="51"/>
      <c r="C152" s="52" t="str">
        <f aca="false">IF(B152="","",IFERROR(INDEX(הגדרות!$A$8:$A$53,MATCH(B152,הגדרות!$B$8:$B$53,0)),"⚠ לא בהגדרות"))</f>
        <v/>
      </c>
      <c r="D152" s="51"/>
      <c r="E152" s="53"/>
      <c r="F152" s="52" t="str">
        <f aca="false">IF(A152="","",INDEX(הגדרות!$H$16:$H$27,MONTH(A152)))</f>
        <v/>
      </c>
    </row>
    <row r="153" customFormat="false" ht="15" hidden="false" customHeight="false" outlineLevel="0" collapsed="false">
      <c r="A153" s="55"/>
      <c r="B153" s="56"/>
      <c r="C153" s="57" t="str">
        <f aca="false">IF(B153="","",IFERROR(INDEX(הגדרות!$A$8:$A$53,MATCH(B153,הגדרות!$B$8:$B$53,0)),"⚠ לא בהגדרות"))</f>
        <v/>
      </c>
      <c r="D153" s="56"/>
      <c r="E153" s="58"/>
      <c r="F153" s="57" t="str">
        <f aca="false">IF(A153="","",INDEX(הגדרות!$H$16:$H$27,MONTH(A153)))</f>
        <v/>
      </c>
    </row>
    <row r="154" customFormat="false" ht="15" hidden="false" customHeight="false" outlineLevel="0" collapsed="false">
      <c r="A154" s="50"/>
      <c r="B154" s="51"/>
      <c r="C154" s="52" t="str">
        <f aca="false">IF(B154="","",IFERROR(INDEX(הגדרות!$A$8:$A$53,MATCH(B154,הגדרות!$B$8:$B$53,0)),"⚠ לא בהגדרות"))</f>
        <v/>
      </c>
      <c r="D154" s="51"/>
      <c r="E154" s="53"/>
      <c r="F154" s="52" t="str">
        <f aca="false">IF(A154="","",INDEX(הגדרות!$H$16:$H$27,MONTH(A154)))</f>
        <v/>
      </c>
    </row>
    <row r="155" customFormat="false" ht="15" hidden="false" customHeight="false" outlineLevel="0" collapsed="false">
      <c r="A155" s="55"/>
      <c r="B155" s="56"/>
      <c r="C155" s="57" t="str">
        <f aca="false">IF(B155="","",IFERROR(INDEX(הגדרות!$A$8:$A$53,MATCH(B155,הגדרות!$B$8:$B$53,0)),"⚠ לא בהגדרות"))</f>
        <v/>
      </c>
      <c r="D155" s="56"/>
      <c r="E155" s="58"/>
      <c r="F155" s="57" t="str">
        <f aca="false">IF(A155="","",INDEX(הגדרות!$H$16:$H$27,MONTH(A155)))</f>
        <v/>
      </c>
    </row>
    <row r="156" customFormat="false" ht="15" hidden="false" customHeight="false" outlineLevel="0" collapsed="false">
      <c r="A156" s="50"/>
      <c r="B156" s="51"/>
      <c r="C156" s="52" t="str">
        <f aca="false">IF(B156="","",IFERROR(INDEX(הגדרות!$A$8:$A$53,MATCH(B156,הגדרות!$B$8:$B$53,0)),"⚠ לא בהגדרות"))</f>
        <v/>
      </c>
      <c r="D156" s="51"/>
      <c r="E156" s="53"/>
      <c r="F156" s="52" t="str">
        <f aca="false">IF(A156="","",INDEX(הגדרות!$H$16:$H$27,MONTH(A156)))</f>
        <v/>
      </c>
    </row>
    <row r="157" customFormat="false" ht="15" hidden="false" customHeight="false" outlineLevel="0" collapsed="false">
      <c r="A157" s="55"/>
      <c r="B157" s="56"/>
      <c r="C157" s="57" t="str">
        <f aca="false">IF(B157="","",IFERROR(INDEX(הגדרות!$A$8:$A$53,MATCH(B157,הגדרות!$B$8:$B$53,0)),"⚠ לא בהגדרות"))</f>
        <v/>
      </c>
      <c r="D157" s="56"/>
      <c r="E157" s="58"/>
      <c r="F157" s="57" t="str">
        <f aca="false">IF(A157="","",INDEX(הגדרות!$H$16:$H$27,MONTH(A157)))</f>
        <v/>
      </c>
    </row>
    <row r="158" customFormat="false" ht="15" hidden="false" customHeight="false" outlineLevel="0" collapsed="false">
      <c r="A158" s="50"/>
      <c r="B158" s="51"/>
      <c r="C158" s="52" t="str">
        <f aca="false">IF(B158="","",IFERROR(INDEX(הגדרות!$A$8:$A$53,MATCH(B158,הגדרות!$B$8:$B$53,0)),"⚠ לא בהגדרות"))</f>
        <v/>
      </c>
      <c r="D158" s="51"/>
      <c r="E158" s="53"/>
      <c r="F158" s="52" t="str">
        <f aca="false">IF(A158="","",INDEX(הגדרות!$H$16:$H$27,MONTH(A158)))</f>
        <v/>
      </c>
    </row>
    <row r="159" customFormat="false" ht="15" hidden="false" customHeight="false" outlineLevel="0" collapsed="false">
      <c r="A159" s="55"/>
      <c r="B159" s="56"/>
      <c r="C159" s="57" t="str">
        <f aca="false">IF(B159="","",IFERROR(INDEX(הגדרות!$A$8:$A$53,MATCH(B159,הגדרות!$B$8:$B$53,0)),"⚠ לא בהגדרות"))</f>
        <v/>
      </c>
      <c r="D159" s="56"/>
      <c r="E159" s="58"/>
      <c r="F159" s="57" t="str">
        <f aca="false">IF(A159="","",INDEX(הגדרות!$H$16:$H$27,MONTH(A159)))</f>
        <v/>
      </c>
    </row>
    <row r="160" customFormat="false" ht="15" hidden="false" customHeight="false" outlineLevel="0" collapsed="false">
      <c r="A160" s="50"/>
      <c r="B160" s="51"/>
      <c r="C160" s="52" t="str">
        <f aca="false">IF(B160="","",IFERROR(INDEX(הגדרות!$A$8:$A$53,MATCH(B160,הגדרות!$B$8:$B$53,0)),"⚠ לא בהגדרות"))</f>
        <v/>
      </c>
      <c r="D160" s="51"/>
      <c r="E160" s="53"/>
      <c r="F160" s="52" t="str">
        <f aca="false">IF(A160="","",INDEX(הגדרות!$H$16:$H$27,MONTH(A160)))</f>
        <v/>
      </c>
    </row>
    <row r="161" customFormat="false" ht="15" hidden="false" customHeight="false" outlineLevel="0" collapsed="false">
      <c r="A161" s="55"/>
      <c r="B161" s="56"/>
      <c r="C161" s="57" t="str">
        <f aca="false">IF(B161="","",IFERROR(INDEX(הגדרות!$A$8:$A$53,MATCH(B161,הגדרות!$B$8:$B$53,0)),"⚠ לא בהגדרות"))</f>
        <v/>
      </c>
      <c r="D161" s="56"/>
      <c r="E161" s="58"/>
      <c r="F161" s="57" t="str">
        <f aca="false">IF(A161="","",INDEX(הגדרות!$H$16:$H$27,MONTH(A161)))</f>
        <v/>
      </c>
    </row>
    <row r="162" customFormat="false" ht="15" hidden="false" customHeight="false" outlineLevel="0" collapsed="false">
      <c r="A162" s="50"/>
      <c r="B162" s="51"/>
      <c r="C162" s="52" t="str">
        <f aca="false">IF(B162="","",IFERROR(INDEX(הגדרות!$A$8:$A$53,MATCH(B162,הגדרות!$B$8:$B$53,0)),"⚠ לא בהגדרות"))</f>
        <v/>
      </c>
      <c r="D162" s="51"/>
      <c r="E162" s="53"/>
      <c r="F162" s="52" t="str">
        <f aca="false">IF(A162="","",INDEX(הגדרות!$H$16:$H$27,MONTH(A162)))</f>
        <v/>
      </c>
    </row>
    <row r="163" customFormat="false" ht="15" hidden="false" customHeight="false" outlineLevel="0" collapsed="false">
      <c r="A163" s="55"/>
      <c r="B163" s="56"/>
      <c r="C163" s="57" t="str">
        <f aca="false">IF(B163="","",IFERROR(INDEX(הגדרות!$A$8:$A$53,MATCH(B163,הגדרות!$B$8:$B$53,0)),"⚠ לא בהגדרות"))</f>
        <v/>
      </c>
      <c r="D163" s="56"/>
      <c r="E163" s="58"/>
      <c r="F163" s="57" t="str">
        <f aca="false">IF(A163="","",INDEX(הגדרות!$H$16:$H$27,MONTH(A163)))</f>
        <v/>
      </c>
    </row>
    <row r="164" customFormat="false" ht="15" hidden="false" customHeight="false" outlineLevel="0" collapsed="false">
      <c r="A164" s="50"/>
      <c r="B164" s="51"/>
      <c r="C164" s="52" t="str">
        <f aca="false">IF(B164="","",IFERROR(INDEX(הגדרות!$A$8:$A$53,MATCH(B164,הגדרות!$B$8:$B$53,0)),"⚠ לא בהגדרות"))</f>
        <v/>
      </c>
      <c r="D164" s="51"/>
      <c r="E164" s="53"/>
      <c r="F164" s="52" t="str">
        <f aca="false">IF(A164="","",INDEX(הגדרות!$H$16:$H$27,MONTH(A164)))</f>
        <v/>
      </c>
    </row>
    <row r="165" customFormat="false" ht="15" hidden="false" customHeight="false" outlineLevel="0" collapsed="false">
      <c r="A165" s="55"/>
      <c r="B165" s="56"/>
      <c r="C165" s="57" t="str">
        <f aca="false">IF(B165="","",IFERROR(INDEX(הגדרות!$A$8:$A$53,MATCH(B165,הגדרות!$B$8:$B$53,0)),"⚠ לא בהגדרות"))</f>
        <v/>
      </c>
      <c r="D165" s="56"/>
      <c r="E165" s="58"/>
      <c r="F165" s="57" t="str">
        <f aca="false">IF(A165="","",INDEX(הגדרות!$H$16:$H$27,MONTH(A165)))</f>
        <v/>
      </c>
    </row>
    <row r="166" customFormat="false" ht="15" hidden="false" customHeight="false" outlineLevel="0" collapsed="false">
      <c r="A166" s="50"/>
      <c r="B166" s="51"/>
      <c r="C166" s="52" t="str">
        <f aca="false">IF(B166="","",IFERROR(INDEX(הגדרות!$A$8:$A$53,MATCH(B166,הגדרות!$B$8:$B$53,0)),"⚠ לא בהגדרות"))</f>
        <v/>
      </c>
      <c r="D166" s="51"/>
      <c r="E166" s="53"/>
      <c r="F166" s="52" t="str">
        <f aca="false">IF(A166="","",INDEX(הגדרות!$H$16:$H$27,MONTH(A166)))</f>
        <v/>
      </c>
    </row>
    <row r="167" customFormat="false" ht="15" hidden="false" customHeight="false" outlineLevel="0" collapsed="false">
      <c r="A167" s="55"/>
      <c r="B167" s="56"/>
      <c r="C167" s="57" t="str">
        <f aca="false">IF(B167="","",IFERROR(INDEX(הגדרות!$A$8:$A$53,MATCH(B167,הגדרות!$B$8:$B$53,0)),"⚠ לא בהגדרות"))</f>
        <v/>
      </c>
      <c r="D167" s="56"/>
      <c r="E167" s="58"/>
      <c r="F167" s="57" t="str">
        <f aca="false">IF(A167="","",INDEX(הגדרות!$H$16:$H$27,MONTH(A167)))</f>
        <v/>
      </c>
    </row>
    <row r="168" customFormat="false" ht="15" hidden="false" customHeight="false" outlineLevel="0" collapsed="false">
      <c r="A168" s="50"/>
      <c r="B168" s="51"/>
      <c r="C168" s="52" t="str">
        <f aca="false">IF(B168="","",IFERROR(INDEX(הגדרות!$A$8:$A$53,MATCH(B168,הגדרות!$B$8:$B$53,0)),"⚠ לא בהגדרות"))</f>
        <v/>
      </c>
      <c r="D168" s="51"/>
      <c r="E168" s="53"/>
      <c r="F168" s="52" t="str">
        <f aca="false">IF(A168="","",INDEX(הגדרות!$H$16:$H$27,MONTH(A168)))</f>
        <v/>
      </c>
    </row>
    <row r="169" customFormat="false" ht="15" hidden="false" customHeight="false" outlineLevel="0" collapsed="false">
      <c r="A169" s="55"/>
      <c r="B169" s="56"/>
      <c r="C169" s="57" t="str">
        <f aca="false">IF(B169="","",IFERROR(INDEX(הגדרות!$A$8:$A$53,MATCH(B169,הגדרות!$B$8:$B$53,0)),"⚠ לא בהגדרות"))</f>
        <v/>
      </c>
      <c r="D169" s="56"/>
      <c r="E169" s="58"/>
      <c r="F169" s="57" t="str">
        <f aca="false">IF(A169="","",INDEX(הגדרות!$H$16:$H$27,MONTH(A169)))</f>
        <v/>
      </c>
    </row>
    <row r="170" customFormat="false" ht="15" hidden="false" customHeight="false" outlineLevel="0" collapsed="false">
      <c r="A170" s="50"/>
      <c r="B170" s="51"/>
      <c r="C170" s="52" t="str">
        <f aca="false">IF(B170="","",IFERROR(INDEX(הגדרות!$A$8:$A$53,MATCH(B170,הגדרות!$B$8:$B$53,0)),"⚠ לא בהגדרות"))</f>
        <v/>
      </c>
      <c r="D170" s="51"/>
      <c r="E170" s="53"/>
      <c r="F170" s="52" t="str">
        <f aca="false">IF(A170="","",INDEX(הגדרות!$H$16:$H$27,MONTH(A170)))</f>
        <v/>
      </c>
    </row>
    <row r="171" customFormat="false" ht="15" hidden="false" customHeight="false" outlineLevel="0" collapsed="false">
      <c r="A171" s="55"/>
      <c r="B171" s="56"/>
      <c r="C171" s="57" t="str">
        <f aca="false">IF(B171="","",IFERROR(INDEX(הגדרות!$A$8:$A$53,MATCH(B171,הגדרות!$B$8:$B$53,0)),"⚠ לא בהגדרות"))</f>
        <v/>
      </c>
      <c r="D171" s="56"/>
      <c r="E171" s="58"/>
      <c r="F171" s="57" t="str">
        <f aca="false">IF(A171="","",INDEX(הגדרות!$H$16:$H$27,MONTH(A171)))</f>
        <v/>
      </c>
    </row>
    <row r="172" customFormat="false" ht="15" hidden="false" customHeight="false" outlineLevel="0" collapsed="false">
      <c r="A172" s="50"/>
      <c r="B172" s="51"/>
      <c r="C172" s="52" t="str">
        <f aca="false">IF(B172="","",IFERROR(INDEX(הגדרות!$A$8:$A$53,MATCH(B172,הגדרות!$B$8:$B$53,0)),"⚠ לא בהגדרות"))</f>
        <v/>
      </c>
      <c r="D172" s="51"/>
      <c r="E172" s="53"/>
      <c r="F172" s="52" t="str">
        <f aca="false">IF(A172="","",INDEX(הגדרות!$H$16:$H$27,MONTH(A172)))</f>
        <v/>
      </c>
    </row>
    <row r="173" customFormat="false" ht="15" hidden="false" customHeight="false" outlineLevel="0" collapsed="false">
      <c r="A173" s="55"/>
      <c r="B173" s="56"/>
      <c r="C173" s="57" t="str">
        <f aca="false">IF(B173="","",IFERROR(INDEX(הגדרות!$A$8:$A$53,MATCH(B173,הגדרות!$B$8:$B$53,0)),"⚠ לא בהגדרות"))</f>
        <v/>
      </c>
      <c r="D173" s="56"/>
      <c r="E173" s="58"/>
      <c r="F173" s="57" t="str">
        <f aca="false">IF(A173="","",INDEX(הגדרות!$H$16:$H$27,MONTH(A173)))</f>
        <v/>
      </c>
    </row>
    <row r="174" customFormat="false" ht="15" hidden="false" customHeight="false" outlineLevel="0" collapsed="false">
      <c r="A174" s="50"/>
      <c r="B174" s="51"/>
      <c r="C174" s="52" t="str">
        <f aca="false">IF(B174="","",IFERROR(INDEX(הגדרות!$A$8:$A$53,MATCH(B174,הגדרות!$B$8:$B$53,0)),"⚠ לא בהגדרות"))</f>
        <v/>
      </c>
      <c r="D174" s="51"/>
      <c r="E174" s="53"/>
      <c r="F174" s="52" t="str">
        <f aca="false">IF(A174="","",INDEX(הגדרות!$H$16:$H$27,MONTH(A174)))</f>
        <v/>
      </c>
    </row>
    <row r="175" customFormat="false" ht="15" hidden="false" customHeight="false" outlineLevel="0" collapsed="false">
      <c r="A175" s="55"/>
      <c r="B175" s="56"/>
      <c r="C175" s="57" t="str">
        <f aca="false">IF(B175="","",IFERROR(INDEX(הגדרות!$A$8:$A$53,MATCH(B175,הגדרות!$B$8:$B$53,0)),"⚠ לא בהגדרות"))</f>
        <v/>
      </c>
      <c r="D175" s="56"/>
      <c r="E175" s="58"/>
      <c r="F175" s="57" t="str">
        <f aca="false">IF(A175="","",INDEX(הגדרות!$H$16:$H$27,MONTH(A175)))</f>
        <v/>
      </c>
    </row>
    <row r="176" customFormat="false" ht="15" hidden="false" customHeight="false" outlineLevel="0" collapsed="false">
      <c r="A176" s="50"/>
      <c r="B176" s="51"/>
      <c r="C176" s="52" t="str">
        <f aca="false">IF(B176="","",IFERROR(INDEX(הגדרות!$A$8:$A$53,MATCH(B176,הגדרות!$B$8:$B$53,0)),"⚠ לא בהגדרות"))</f>
        <v/>
      </c>
      <c r="D176" s="51"/>
      <c r="E176" s="53"/>
      <c r="F176" s="52" t="str">
        <f aca="false">IF(A176="","",INDEX(הגדרות!$H$16:$H$27,MONTH(A176)))</f>
        <v/>
      </c>
    </row>
    <row r="177" customFormat="false" ht="15" hidden="false" customHeight="false" outlineLevel="0" collapsed="false">
      <c r="A177" s="55"/>
      <c r="B177" s="56"/>
      <c r="C177" s="57" t="str">
        <f aca="false">IF(B177="","",IFERROR(INDEX(הגדרות!$A$8:$A$53,MATCH(B177,הגדרות!$B$8:$B$53,0)),"⚠ לא בהגדרות"))</f>
        <v/>
      </c>
      <c r="D177" s="56"/>
      <c r="E177" s="58"/>
      <c r="F177" s="57" t="str">
        <f aca="false">IF(A177="","",INDEX(הגדרות!$H$16:$H$27,MONTH(A177)))</f>
        <v/>
      </c>
    </row>
    <row r="178" customFormat="false" ht="15" hidden="false" customHeight="false" outlineLevel="0" collapsed="false">
      <c r="A178" s="50"/>
      <c r="B178" s="51"/>
      <c r="C178" s="52" t="str">
        <f aca="false">IF(B178="","",IFERROR(INDEX(הגדרות!$A$8:$A$53,MATCH(B178,הגדרות!$B$8:$B$53,0)),"⚠ לא בהגדרות"))</f>
        <v/>
      </c>
      <c r="D178" s="51"/>
      <c r="E178" s="53"/>
      <c r="F178" s="52" t="str">
        <f aca="false">IF(A178="","",INDEX(הגדרות!$H$16:$H$27,MONTH(A178)))</f>
        <v/>
      </c>
    </row>
    <row r="179" customFormat="false" ht="15" hidden="false" customHeight="false" outlineLevel="0" collapsed="false">
      <c r="A179" s="55"/>
      <c r="B179" s="56"/>
      <c r="C179" s="57" t="str">
        <f aca="false">IF(B179="","",IFERROR(INDEX(הגדרות!$A$8:$A$53,MATCH(B179,הגדרות!$B$8:$B$53,0)),"⚠ לא בהגדרות"))</f>
        <v/>
      </c>
      <c r="D179" s="56"/>
      <c r="E179" s="58"/>
      <c r="F179" s="57" t="str">
        <f aca="false">IF(A179="","",INDEX(הגדרות!$H$16:$H$27,MONTH(A179)))</f>
        <v/>
      </c>
    </row>
    <row r="180" customFormat="false" ht="15" hidden="false" customHeight="false" outlineLevel="0" collapsed="false">
      <c r="A180" s="50"/>
      <c r="B180" s="51"/>
      <c r="C180" s="52" t="str">
        <f aca="false">IF(B180="","",IFERROR(INDEX(הגדרות!$A$8:$A$53,MATCH(B180,הגדרות!$B$8:$B$53,0)),"⚠ לא בהגדרות"))</f>
        <v/>
      </c>
      <c r="D180" s="51"/>
      <c r="E180" s="53"/>
      <c r="F180" s="52" t="str">
        <f aca="false">IF(A180="","",INDEX(הגדרות!$H$16:$H$27,MONTH(A180)))</f>
        <v/>
      </c>
    </row>
    <row r="181" customFormat="false" ht="15" hidden="false" customHeight="false" outlineLevel="0" collapsed="false">
      <c r="A181" s="55"/>
      <c r="B181" s="56"/>
      <c r="C181" s="57" t="str">
        <f aca="false">IF(B181="","",IFERROR(INDEX(הגדרות!$A$8:$A$53,MATCH(B181,הגדרות!$B$8:$B$53,0)),"⚠ לא בהגדרות"))</f>
        <v/>
      </c>
      <c r="D181" s="56"/>
      <c r="E181" s="58"/>
      <c r="F181" s="57" t="str">
        <f aca="false">IF(A181="","",INDEX(הגדרות!$H$16:$H$27,MONTH(A181)))</f>
        <v/>
      </c>
    </row>
    <row r="182" customFormat="false" ht="15" hidden="false" customHeight="false" outlineLevel="0" collapsed="false">
      <c r="A182" s="50"/>
      <c r="B182" s="51"/>
      <c r="C182" s="52" t="str">
        <f aca="false">IF(B182="","",IFERROR(INDEX(הגדרות!$A$8:$A$53,MATCH(B182,הגדרות!$B$8:$B$53,0)),"⚠ לא בהגדרות"))</f>
        <v/>
      </c>
      <c r="D182" s="51"/>
      <c r="E182" s="53"/>
      <c r="F182" s="52" t="str">
        <f aca="false">IF(A182="","",INDEX(הגדרות!$H$16:$H$27,MONTH(A182)))</f>
        <v/>
      </c>
    </row>
    <row r="183" customFormat="false" ht="15" hidden="false" customHeight="false" outlineLevel="0" collapsed="false">
      <c r="A183" s="55"/>
      <c r="B183" s="56"/>
      <c r="C183" s="57" t="str">
        <f aca="false">IF(B183="","",IFERROR(INDEX(הגדרות!$A$8:$A$53,MATCH(B183,הגדרות!$B$8:$B$53,0)),"⚠ לא בהגדרות"))</f>
        <v/>
      </c>
      <c r="D183" s="56"/>
      <c r="E183" s="58"/>
      <c r="F183" s="57" t="str">
        <f aca="false">IF(A183="","",INDEX(הגדרות!$H$16:$H$27,MONTH(A183)))</f>
        <v/>
      </c>
    </row>
    <row r="184" customFormat="false" ht="15" hidden="false" customHeight="false" outlineLevel="0" collapsed="false">
      <c r="A184" s="50"/>
      <c r="B184" s="51"/>
      <c r="C184" s="52" t="str">
        <f aca="false">IF(B184="","",IFERROR(INDEX(הגדרות!$A$8:$A$53,MATCH(B184,הגדרות!$B$8:$B$53,0)),"⚠ לא בהגדרות"))</f>
        <v/>
      </c>
      <c r="D184" s="51"/>
      <c r="E184" s="53"/>
      <c r="F184" s="52" t="str">
        <f aca="false">IF(A184="","",INDEX(הגדרות!$H$16:$H$27,MONTH(A184)))</f>
        <v/>
      </c>
    </row>
    <row r="185" customFormat="false" ht="15" hidden="false" customHeight="false" outlineLevel="0" collapsed="false">
      <c r="A185" s="55"/>
      <c r="B185" s="56"/>
      <c r="C185" s="57" t="str">
        <f aca="false">IF(B185="","",IFERROR(INDEX(הגדרות!$A$8:$A$53,MATCH(B185,הגדרות!$B$8:$B$53,0)),"⚠ לא בהגדרות"))</f>
        <v/>
      </c>
      <c r="D185" s="56"/>
      <c r="E185" s="58"/>
      <c r="F185" s="57" t="str">
        <f aca="false">IF(A185="","",INDEX(הגדרות!$H$16:$H$27,MONTH(A185)))</f>
        <v/>
      </c>
    </row>
    <row r="186" customFormat="false" ht="15" hidden="false" customHeight="false" outlineLevel="0" collapsed="false">
      <c r="A186" s="50"/>
      <c r="B186" s="51"/>
      <c r="C186" s="52" t="str">
        <f aca="false">IF(B186="","",IFERROR(INDEX(הגדרות!$A$8:$A$53,MATCH(B186,הגדרות!$B$8:$B$53,0)),"⚠ לא בהגדרות"))</f>
        <v/>
      </c>
      <c r="D186" s="51"/>
      <c r="E186" s="53"/>
      <c r="F186" s="52" t="str">
        <f aca="false">IF(A186="","",INDEX(הגדרות!$H$16:$H$27,MONTH(A186)))</f>
        <v/>
      </c>
    </row>
    <row r="187" customFormat="false" ht="15" hidden="false" customHeight="false" outlineLevel="0" collapsed="false">
      <c r="A187" s="55"/>
      <c r="B187" s="56"/>
      <c r="C187" s="57" t="str">
        <f aca="false">IF(B187="","",IFERROR(INDEX(הגדרות!$A$8:$A$53,MATCH(B187,הגדרות!$B$8:$B$53,0)),"⚠ לא בהגדרות"))</f>
        <v/>
      </c>
      <c r="D187" s="56"/>
      <c r="E187" s="58"/>
      <c r="F187" s="57" t="str">
        <f aca="false">IF(A187="","",INDEX(הגדרות!$H$16:$H$27,MONTH(A187)))</f>
        <v/>
      </c>
    </row>
    <row r="188" customFormat="false" ht="15" hidden="false" customHeight="false" outlineLevel="0" collapsed="false">
      <c r="A188" s="50"/>
      <c r="B188" s="51"/>
      <c r="C188" s="52" t="str">
        <f aca="false">IF(B188="","",IFERROR(INDEX(הגדרות!$A$8:$A$53,MATCH(B188,הגדרות!$B$8:$B$53,0)),"⚠ לא בהגדרות"))</f>
        <v/>
      </c>
      <c r="D188" s="51"/>
      <c r="E188" s="53"/>
      <c r="F188" s="52" t="str">
        <f aca="false">IF(A188="","",INDEX(הגדרות!$H$16:$H$27,MONTH(A188)))</f>
        <v/>
      </c>
    </row>
    <row r="189" customFormat="false" ht="15" hidden="false" customHeight="false" outlineLevel="0" collapsed="false">
      <c r="A189" s="55"/>
      <c r="B189" s="56"/>
      <c r="C189" s="57" t="str">
        <f aca="false">IF(B189="","",IFERROR(INDEX(הגדרות!$A$8:$A$53,MATCH(B189,הגדרות!$B$8:$B$53,0)),"⚠ לא בהגדרות"))</f>
        <v/>
      </c>
      <c r="D189" s="56"/>
      <c r="E189" s="58"/>
      <c r="F189" s="57" t="str">
        <f aca="false">IF(A189="","",INDEX(הגדרות!$H$16:$H$27,MONTH(A189)))</f>
        <v/>
      </c>
    </row>
    <row r="190" customFormat="false" ht="15" hidden="false" customHeight="false" outlineLevel="0" collapsed="false">
      <c r="A190" s="50"/>
      <c r="B190" s="51"/>
      <c r="C190" s="52" t="str">
        <f aca="false">IF(B190="","",IFERROR(INDEX(הגדרות!$A$8:$A$53,MATCH(B190,הגדרות!$B$8:$B$53,0)),"⚠ לא בהגדרות"))</f>
        <v/>
      </c>
      <c r="D190" s="51"/>
      <c r="E190" s="53"/>
      <c r="F190" s="52" t="str">
        <f aca="false">IF(A190="","",INDEX(הגדרות!$H$16:$H$27,MONTH(A190)))</f>
        <v/>
      </c>
    </row>
    <row r="191" customFormat="false" ht="15" hidden="false" customHeight="false" outlineLevel="0" collapsed="false">
      <c r="A191" s="55"/>
      <c r="B191" s="56"/>
      <c r="C191" s="57" t="str">
        <f aca="false">IF(B191="","",IFERROR(INDEX(הגדרות!$A$8:$A$53,MATCH(B191,הגדרות!$B$8:$B$53,0)),"⚠ לא בהגדרות"))</f>
        <v/>
      </c>
      <c r="D191" s="56"/>
      <c r="E191" s="58"/>
      <c r="F191" s="57" t="str">
        <f aca="false">IF(A191="","",INDEX(הגדרות!$H$16:$H$27,MONTH(A191)))</f>
        <v/>
      </c>
    </row>
    <row r="192" customFormat="false" ht="15" hidden="false" customHeight="false" outlineLevel="0" collapsed="false">
      <c r="A192" s="50"/>
      <c r="B192" s="51"/>
      <c r="C192" s="52" t="str">
        <f aca="false">IF(B192="","",IFERROR(INDEX(הגדרות!$A$8:$A$53,MATCH(B192,הגדרות!$B$8:$B$53,0)),"⚠ לא בהגדרות"))</f>
        <v/>
      </c>
      <c r="D192" s="51"/>
      <c r="E192" s="53"/>
      <c r="F192" s="52" t="str">
        <f aca="false">IF(A192="","",INDEX(הגדרות!$H$16:$H$27,MONTH(A192)))</f>
        <v/>
      </c>
    </row>
    <row r="193" customFormat="false" ht="15" hidden="false" customHeight="false" outlineLevel="0" collapsed="false">
      <c r="A193" s="55"/>
      <c r="B193" s="56"/>
      <c r="C193" s="57" t="str">
        <f aca="false">IF(B193="","",IFERROR(INDEX(הגדרות!$A$8:$A$53,MATCH(B193,הגדרות!$B$8:$B$53,0)),"⚠ לא בהגדרות"))</f>
        <v/>
      </c>
      <c r="D193" s="56"/>
      <c r="E193" s="58"/>
      <c r="F193" s="57" t="str">
        <f aca="false">IF(A193="","",INDEX(הגדרות!$H$16:$H$27,MONTH(A193)))</f>
        <v/>
      </c>
    </row>
    <row r="194" customFormat="false" ht="15" hidden="false" customHeight="false" outlineLevel="0" collapsed="false">
      <c r="A194" s="50"/>
      <c r="B194" s="51"/>
      <c r="C194" s="52" t="str">
        <f aca="false">IF(B194="","",IFERROR(INDEX(הגדרות!$A$8:$A$53,MATCH(B194,הגדרות!$B$8:$B$53,0)),"⚠ לא בהגדרות"))</f>
        <v/>
      </c>
      <c r="D194" s="51"/>
      <c r="E194" s="53"/>
      <c r="F194" s="52" t="str">
        <f aca="false">IF(A194="","",INDEX(הגדרות!$H$16:$H$27,MONTH(A194)))</f>
        <v/>
      </c>
    </row>
    <row r="195" customFormat="false" ht="15" hidden="false" customHeight="false" outlineLevel="0" collapsed="false">
      <c r="A195" s="55"/>
      <c r="B195" s="56"/>
      <c r="C195" s="57" t="str">
        <f aca="false">IF(B195="","",IFERROR(INDEX(הגדרות!$A$8:$A$53,MATCH(B195,הגדרות!$B$8:$B$53,0)),"⚠ לא בהגדרות"))</f>
        <v/>
      </c>
      <c r="D195" s="56"/>
      <c r="E195" s="58"/>
      <c r="F195" s="57" t="str">
        <f aca="false">IF(A195="","",INDEX(הגדרות!$H$16:$H$27,MONTH(A195)))</f>
        <v/>
      </c>
    </row>
    <row r="196" customFormat="false" ht="15" hidden="false" customHeight="false" outlineLevel="0" collapsed="false">
      <c r="A196" s="50"/>
      <c r="B196" s="51"/>
      <c r="C196" s="52" t="str">
        <f aca="false">IF(B196="","",IFERROR(INDEX(הגדרות!$A$8:$A$53,MATCH(B196,הגדרות!$B$8:$B$53,0)),"⚠ לא בהגדרות"))</f>
        <v/>
      </c>
      <c r="D196" s="51"/>
      <c r="E196" s="53"/>
      <c r="F196" s="52" t="str">
        <f aca="false">IF(A196="","",INDEX(הגדרות!$H$16:$H$27,MONTH(A196)))</f>
        <v/>
      </c>
    </row>
    <row r="197" customFormat="false" ht="15" hidden="false" customHeight="false" outlineLevel="0" collapsed="false">
      <c r="A197" s="55"/>
      <c r="B197" s="56"/>
      <c r="C197" s="57" t="str">
        <f aca="false">IF(B197="","",IFERROR(INDEX(הגדרות!$A$8:$A$53,MATCH(B197,הגדרות!$B$8:$B$53,0)),"⚠ לא בהגדרות"))</f>
        <v/>
      </c>
      <c r="D197" s="56"/>
      <c r="E197" s="58"/>
      <c r="F197" s="57" t="str">
        <f aca="false">IF(A197="","",INDEX(הגדרות!$H$16:$H$27,MONTH(A197)))</f>
        <v/>
      </c>
    </row>
    <row r="198" customFormat="false" ht="15" hidden="false" customHeight="false" outlineLevel="0" collapsed="false">
      <c r="A198" s="50"/>
      <c r="B198" s="51"/>
      <c r="C198" s="52" t="str">
        <f aca="false">IF(B198="","",IFERROR(INDEX(הגדרות!$A$8:$A$53,MATCH(B198,הגדרות!$B$8:$B$53,0)),"⚠ לא בהגדרות"))</f>
        <v/>
      </c>
      <c r="D198" s="51"/>
      <c r="E198" s="53"/>
      <c r="F198" s="52" t="str">
        <f aca="false">IF(A198="","",INDEX(הגדרות!$H$16:$H$27,MONTH(A198)))</f>
        <v/>
      </c>
    </row>
    <row r="199" customFormat="false" ht="15" hidden="false" customHeight="false" outlineLevel="0" collapsed="false">
      <c r="A199" s="55"/>
      <c r="B199" s="56"/>
      <c r="C199" s="57" t="str">
        <f aca="false">IF(B199="","",IFERROR(INDEX(הגדרות!$A$8:$A$53,MATCH(B199,הגדרות!$B$8:$B$53,0)),"⚠ לא בהגדרות"))</f>
        <v/>
      </c>
      <c r="D199" s="56"/>
      <c r="E199" s="58"/>
      <c r="F199" s="57" t="str">
        <f aca="false">IF(A199="","",INDEX(הגדרות!$H$16:$H$27,MONTH(A199)))</f>
        <v/>
      </c>
    </row>
    <row r="200" customFormat="false" ht="15" hidden="false" customHeight="false" outlineLevel="0" collapsed="false">
      <c r="A200" s="50"/>
      <c r="B200" s="51"/>
      <c r="C200" s="52" t="str">
        <f aca="false">IF(B200="","",IFERROR(INDEX(הגדרות!$A$8:$A$53,MATCH(B200,הגדרות!$B$8:$B$53,0)),"⚠ לא בהגדרות"))</f>
        <v/>
      </c>
      <c r="D200" s="51"/>
      <c r="E200" s="53"/>
      <c r="F200" s="52" t="str">
        <f aca="false">IF(A200="","",INDEX(הגדרות!$H$16:$H$27,MONTH(A200)))</f>
        <v/>
      </c>
    </row>
    <row r="201" customFormat="false" ht="15" hidden="false" customHeight="false" outlineLevel="0" collapsed="false">
      <c r="A201" s="55"/>
      <c r="B201" s="56"/>
      <c r="C201" s="57" t="str">
        <f aca="false">IF(B201="","",IFERROR(INDEX(הגדרות!$A$8:$A$53,MATCH(B201,הגדרות!$B$8:$B$53,0)),"⚠ לא בהגדרות"))</f>
        <v/>
      </c>
      <c r="D201" s="56"/>
      <c r="E201" s="58"/>
      <c r="F201" s="57" t="str">
        <f aca="false">IF(A201="","",INDEX(הגדרות!$H$16:$H$27,MONTH(A201)))</f>
        <v/>
      </c>
    </row>
    <row r="202" customFormat="false" ht="15" hidden="false" customHeight="false" outlineLevel="0" collapsed="false">
      <c r="A202" s="50"/>
      <c r="B202" s="51"/>
      <c r="C202" s="52" t="str">
        <f aca="false">IF(B202="","",IFERROR(INDEX(הגדרות!$A$8:$A$53,MATCH(B202,הגדרות!$B$8:$B$53,0)),"⚠ לא בהגדרות"))</f>
        <v/>
      </c>
      <c r="D202" s="51"/>
      <c r="E202" s="53"/>
      <c r="F202" s="52" t="str">
        <f aca="false">IF(A202="","",INDEX(הגדרות!$H$16:$H$27,MONTH(A202)))</f>
        <v/>
      </c>
    </row>
    <row r="203" customFormat="false" ht="15" hidden="false" customHeight="false" outlineLevel="0" collapsed="false">
      <c r="A203" s="55"/>
      <c r="B203" s="56"/>
      <c r="C203" s="57" t="str">
        <f aca="false">IF(B203="","",IFERROR(INDEX(הגדרות!$A$8:$A$53,MATCH(B203,הגדרות!$B$8:$B$53,0)),"⚠ לא בהגדרות"))</f>
        <v/>
      </c>
      <c r="D203" s="56"/>
      <c r="E203" s="58"/>
      <c r="F203" s="57" t="str">
        <f aca="false">IF(A203="","",INDEX(הגדרות!$H$16:$H$27,MONTH(A203)))</f>
        <v/>
      </c>
    </row>
    <row r="204" customFormat="false" ht="15" hidden="false" customHeight="false" outlineLevel="0" collapsed="false">
      <c r="A204" s="50"/>
      <c r="B204" s="51"/>
      <c r="C204" s="52" t="str">
        <f aca="false">IF(B204="","",IFERROR(INDEX(הגדרות!$A$8:$A$53,MATCH(B204,הגדרות!$B$8:$B$53,0)),"⚠ לא בהגדרות"))</f>
        <v/>
      </c>
      <c r="D204" s="51"/>
      <c r="E204" s="53"/>
      <c r="F204" s="52" t="str">
        <f aca="false">IF(A204="","",INDEX(הגדרות!$H$16:$H$27,MONTH(A204)))</f>
        <v/>
      </c>
    </row>
    <row r="205" customFormat="false" ht="15" hidden="false" customHeight="false" outlineLevel="0" collapsed="false">
      <c r="A205" s="55"/>
      <c r="B205" s="56"/>
      <c r="C205" s="57" t="str">
        <f aca="false">IF(B205="","",IFERROR(INDEX(הגדרות!$A$8:$A$53,MATCH(B205,הגדרות!$B$8:$B$53,0)),"⚠ לא בהגדרות"))</f>
        <v/>
      </c>
      <c r="D205" s="56"/>
      <c r="E205" s="58"/>
      <c r="F205" s="57" t="str">
        <f aca="false">IF(A205="","",INDEX(הגדרות!$H$16:$H$27,MONTH(A205)))</f>
        <v/>
      </c>
    </row>
    <row r="206" customFormat="false" ht="15" hidden="false" customHeight="false" outlineLevel="0" collapsed="false">
      <c r="A206" s="50"/>
      <c r="B206" s="51"/>
      <c r="C206" s="52" t="str">
        <f aca="false">IF(B206="","",IFERROR(INDEX(הגדרות!$A$8:$A$53,MATCH(B206,הגדרות!$B$8:$B$53,0)),"⚠ לא בהגדרות"))</f>
        <v/>
      </c>
      <c r="D206" s="51"/>
      <c r="E206" s="53"/>
      <c r="F206" s="52" t="str">
        <f aca="false">IF(A206="","",INDEX(הגדרות!$H$16:$H$27,MONTH(A206)))</f>
        <v/>
      </c>
    </row>
    <row r="207" customFormat="false" ht="15" hidden="false" customHeight="false" outlineLevel="0" collapsed="false">
      <c r="A207" s="55"/>
      <c r="B207" s="56"/>
      <c r="C207" s="57" t="str">
        <f aca="false">IF(B207="","",IFERROR(INDEX(הגדרות!$A$8:$A$53,MATCH(B207,הגדרות!$B$8:$B$53,0)),"⚠ לא בהגדרות"))</f>
        <v/>
      </c>
      <c r="D207" s="56"/>
      <c r="E207" s="58"/>
      <c r="F207" s="57" t="str">
        <f aca="false">IF(A207="","",INDEX(הגדרות!$H$16:$H$27,MONTH(A207)))</f>
        <v/>
      </c>
    </row>
    <row r="208" customFormat="false" ht="15" hidden="false" customHeight="false" outlineLevel="0" collapsed="false">
      <c r="A208" s="50"/>
      <c r="B208" s="51"/>
      <c r="C208" s="52" t="str">
        <f aca="false">IF(B208="","",IFERROR(INDEX(הגדרות!$A$8:$A$53,MATCH(B208,הגדרות!$B$8:$B$53,0)),"⚠ לא בהגדרות"))</f>
        <v/>
      </c>
      <c r="D208" s="51"/>
      <c r="E208" s="53"/>
      <c r="F208" s="52" t="str">
        <f aca="false">IF(A208="","",INDEX(הגדרות!$H$16:$H$27,MONTH(A208)))</f>
        <v/>
      </c>
    </row>
    <row r="209" customFormat="false" ht="15" hidden="false" customHeight="false" outlineLevel="0" collapsed="false">
      <c r="A209" s="55"/>
      <c r="B209" s="56"/>
      <c r="C209" s="57" t="str">
        <f aca="false">IF(B209="","",IFERROR(INDEX(הגדרות!$A$8:$A$53,MATCH(B209,הגדרות!$B$8:$B$53,0)),"⚠ לא בהגדרות"))</f>
        <v/>
      </c>
      <c r="D209" s="56"/>
      <c r="E209" s="58"/>
      <c r="F209" s="57" t="str">
        <f aca="false">IF(A209="","",INDEX(הגדרות!$H$16:$H$27,MONTH(A209)))</f>
        <v/>
      </c>
    </row>
    <row r="210" customFormat="false" ht="15" hidden="false" customHeight="false" outlineLevel="0" collapsed="false">
      <c r="A210" s="50"/>
      <c r="B210" s="51"/>
      <c r="C210" s="52" t="str">
        <f aca="false">IF(B210="","",IFERROR(INDEX(הגדרות!$A$8:$A$53,MATCH(B210,הגדרות!$B$8:$B$53,0)),"⚠ לא בהגדרות"))</f>
        <v/>
      </c>
      <c r="D210" s="51"/>
      <c r="E210" s="53"/>
      <c r="F210" s="52" t="str">
        <f aca="false">IF(A210="","",INDEX(הגדרות!$H$16:$H$27,MONTH(A210)))</f>
        <v/>
      </c>
    </row>
    <row r="211" customFormat="false" ht="15" hidden="false" customHeight="false" outlineLevel="0" collapsed="false">
      <c r="A211" s="55"/>
      <c r="B211" s="56"/>
      <c r="C211" s="57" t="str">
        <f aca="false">IF(B211="","",IFERROR(INDEX(הגדרות!$A$8:$A$53,MATCH(B211,הגדרות!$B$8:$B$53,0)),"⚠ לא בהגדרות"))</f>
        <v/>
      </c>
      <c r="D211" s="56"/>
      <c r="E211" s="58"/>
      <c r="F211" s="57" t="str">
        <f aca="false">IF(A211="","",INDEX(הגדרות!$H$16:$H$27,MONTH(A211)))</f>
        <v/>
      </c>
    </row>
    <row r="212" customFormat="false" ht="15" hidden="false" customHeight="false" outlineLevel="0" collapsed="false">
      <c r="A212" s="50"/>
      <c r="B212" s="51"/>
      <c r="C212" s="52" t="str">
        <f aca="false">IF(B212="","",IFERROR(INDEX(הגדרות!$A$8:$A$53,MATCH(B212,הגדרות!$B$8:$B$53,0)),"⚠ לא בהגדרות"))</f>
        <v/>
      </c>
      <c r="D212" s="51"/>
      <c r="E212" s="53"/>
      <c r="F212" s="52" t="str">
        <f aca="false">IF(A212="","",INDEX(הגדרות!$H$16:$H$27,MONTH(A212)))</f>
        <v/>
      </c>
    </row>
    <row r="213" customFormat="false" ht="15" hidden="false" customHeight="false" outlineLevel="0" collapsed="false">
      <c r="A213" s="55"/>
      <c r="B213" s="56"/>
      <c r="C213" s="57" t="str">
        <f aca="false">IF(B213="","",IFERROR(INDEX(הגדרות!$A$8:$A$53,MATCH(B213,הגדרות!$B$8:$B$53,0)),"⚠ לא בהגדרות"))</f>
        <v/>
      </c>
      <c r="D213" s="56"/>
      <c r="E213" s="58"/>
      <c r="F213" s="57" t="str">
        <f aca="false">IF(A213="","",INDEX(הגדרות!$H$16:$H$27,MONTH(A213)))</f>
        <v/>
      </c>
    </row>
    <row r="214" customFormat="false" ht="15" hidden="false" customHeight="false" outlineLevel="0" collapsed="false">
      <c r="A214" s="50"/>
      <c r="B214" s="51"/>
      <c r="C214" s="52" t="str">
        <f aca="false">IF(B214="","",IFERROR(INDEX(הגדרות!$A$8:$A$53,MATCH(B214,הגדרות!$B$8:$B$53,0)),"⚠ לא בהגדרות"))</f>
        <v/>
      </c>
      <c r="D214" s="51"/>
      <c r="E214" s="53"/>
      <c r="F214" s="52" t="str">
        <f aca="false">IF(A214="","",INDEX(הגדרות!$H$16:$H$27,MONTH(A214)))</f>
        <v/>
      </c>
    </row>
    <row r="215" customFormat="false" ht="15" hidden="false" customHeight="false" outlineLevel="0" collapsed="false">
      <c r="A215" s="55"/>
      <c r="B215" s="56"/>
      <c r="C215" s="57" t="str">
        <f aca="false">IF(B215="","",IFERROR(INDEX(הגדרות!$A$8:$A$53,MATCH(B215,הגדרות!$B$8:$B$53,0)),"⚠ לא בהגדרות"))</f>
        <v/>
      </c>
      <c r="D215" s="56"/>
      <c r="E215" s="58"/>
      <c r="F215" s="57" t="str">
        <f aca="false">IF(A215="","",INDEX(הגדרות!$H$16:$H$27,MONTH(A215)))</f>
        <v/>
      </c>
    </row>
    <row r="216" customFormat="false" ht="15" hidden="false" customHeight="false" outlineLevel="0" collapsed="false">
      <c r="A216" s="50"/>
      <c r="B216" s="51"/>
      <c r="C216" s="52" t="str">
        <f aca="false">IF(B216="","",IFERROR(INDEX(הגדרות!$A$8:$A$53,MATCH(B216,הגדרות!$B$8:$B$53,0)),"⚠ לא בהגדרות"))</f>
        <v/>
      </c>
      <c r="D216" s="51"/>
      <c r="E216" s="53"/>
      <c r="F216" s="52" t="str">
        <f aca="false">IF(A216="","",INDEX(הגדרות!$H$16:$H$27,MONTH(A216)))</f>
        <v/>
      </c>
    </row>
    <row r="217" customFormat="false" ht="15" hidden="false" customHeight="false" outlineLevel="0" collapsed="false">
      <c r="A217" s="55"/>
      <c r="B217" s="56"/>
      <c r="C217" s="57" t="str">
        <f aca="false">IF(B217="","",IFERROR(INDEX(הגדרות!$A$8:$A$53,MATCH(B217,הגדרות!$B$8:$B$53,0)),"⚠ לא בהגדרות"))</f>
        <v/>
      </c>
      <c r="D217" s="56"/>
      <c r="E217" s="58"/>
      <c r="F217" s="57" t="str">
        <f aca="false">IF(A217="","",INDEX(הגדרות!$H$16:$H$27,MONTH(A217)))</f>
        <v/>
      </c>
    </row>
    <row r="218" customFormat="false" ht="15" hidden="false" customHeight="false" outlineLevel="0" collapsed="false">
      <c r="A218" s="50"/>
      <c r="B218" s="51"/>
      <c r="C218" s="52" t="str">
        <f aca="false">IF(B218="","",IFERROR(INDEX(הגדרות!$A$8:$A$53,MATCH(B218,הגדרות!$B$8:$B$53,0)),"⚠ לא בהגדרות"))</f>
        <v/>
      </c>
      <c r="D218" s="51"/>
      <c r="E218" s="53"/>
      <c r="F218" s="52" t="str">
        <f aca="false">IF(A218="","",INDEX(הגדרות!$H$16:$H$27,MONTH(A218)))</f>
        <v/>
      </c>
    </row>
    <row r="219" customFormat="false" ht="15" hidden="false" customHeight="false" outlineLevel="0" collapsed="false">
      <c r="A219" s="55"/>
      <c r="B219" s="56"/>
      <c r="C219" s="57" t="str">
        <f aca="false">IF(B219="","",IFERROR(INDEX(הגדרות!$A$8:$A$53,MATCH(B219,הגדרות!$B$8:$B$53,0)),"⚠ לא בהגדרות"))</f>
        <v/>
      </c>
      <c r="D219" s="56"/>
      <c r="E219" s="58"/>
      <c r="F219" s="57" t="str">
        <f aca="false">IF(A219="","",INDEX(הגדרות!$H$16:$H$27,MONTH(A219)))</f>
        <v/>
      </c>
    </row>
    <row r="220" customFormat="false" ht="15" hidden="false" customHeight="false" outlineLevel="0" collapsed="false">
      <c r="A220" s="50"/>
      <c r="B220" s="51"/>
      <c r="C220" s="52" t="str">
        <f aca="false">IF(B220="","",IFERROR(INDEX(הגדרות!$A$8:$A$53,MATCH(B220,הגדרות!$B$8:$B$53,0)),"⚠ לא בהגדרות"))</f>
        <v/>
      </c>
      <c r="D220" s="51"/>
      <c r="E220" s="53"/>
      <c r="F220" s="52" t="str">
        <f aca="false">IF(A220="","",INDEX(הגדרות!$H$16:$H$27,MONTH(A220)))</f>
        <v/>
      </c>
    </row>
    <row r="221" customFormat="false" ht="15" hidden="false" customHeight="false" outlineLevel="0" collapsed="false">
      <c r="A221" s="55"/>
      <c r="B221" s="56"/>
      <c r="C221" s="57" t="str">
        <f aca="false">IF(B221="","",IFERROR(INDEX(הגדרות!$A$8:$A$53,MATCH(B221,הגדרות!$B$8:$B$53,0)),"⚠ לא בהגדרות"))</f>
        <v/>
      </c>
      <c r="D221" s="56"/>
      <c r="E221" s="58"/>
      <c r="F221" s="57" t="str">
        <f aca="false">IF(A221="","",INDEX(הגדרות!$H$16:$H$27,MONTH(A221)))</f>
        <v/>
      </c>
    </row>
    <row r="222" customFormat="false" ht="15" hidden="false" customHeight="false" outlineLevel="0" collapsed="false">
      <c r="A222" s="50"/>
      <c r="B222" s="51"/>
      <c r="C222" s="52" t="str">
        <f aca="false">IF(B222="","",IFERROR(INDEX(הגדרות!$A$8:$A$53,MATCH(B222,הגדרות!$B$8:$B$53,0)),"⚠ לא בהגדרות"))</f>
        <v/>
      </c>
      <c r="D222" s="51"/>
      <c r="E222" s="53"/>
      <c r="F222" s="52" t="str">
        <f aca="false">IF(A222="","",INDEX(הגדרות!$H$16:$H$27,MONTH(A222)))</f>
        <v/>
      </c>
    </row>
    <row r="223" customFormat="false" ht="15" hidden="false" customHeight="false" outlineLevel="0" collapsed="false">
      <c r="A223" s="55"/>
      <c r="B223" s="56"/>
      <c r="C223" s="57" t="str">
        <f aca="false">IF(B223="","",IFERROR(INDEX(הגדרות!$A$8:$A$53,MATCH(B223,הגדרות!$B$8:$B$53,0)),"⚠ לא בהגדרות"))</f>
        <v/>
      </c>
      <c r="D223" s="56"/>
      <c r="E223" s="58"/>
      <c r="F223" s="57" t="str">
        <f aca="false">IF(A223="","",INDEX(הגדרות!$H$16:$H$27,MONTH(A223)))</f>
        <v/>
      </c>
    </row>
    <row r="224" customFormat="false" ht="15" hidden="false" customHeight="false" outlineLevel="0" collapsed="false">
      <c r="A224" s="50"/>
      <c r="B224" s="51"/>
      <c r="C224" s="52" t="str">
        <f aca="false">IF(B224="","",IFERROR(INDEX(הגדרות!$A$8:$A$53,MATCH(B224,הגדרות!$B$8:$B$53,0)),"⚠ לא בהגדרות"))</f>
        <v/>
      </c>
      <c r="D224" s="51"/>
      <c r="E224" s="53"/>
      <c r="F224" s="52" t="str">
        <f aca="false">IF(A224="","",INDEX(הגדרות!$H$16:$H$27,MONTH(A224)))</f>
        <v/>
      </c>
    </row>
    <row r="225" customFormat="false" ht="15" hidden="false" customHeight="false" outlineLevel="0" collapsed="false">
      <c r="A225" s="55"/>
      <c r="B225" s="56"/>
      <c r="C225" s="57" t="str">
        <f aca="false">IF(B225="","",IFERROR(INDEX(הגדרות!$A$8:$A$53,MATCH(B225,הגדרות!$B$8:$B$53,0)),"⚠ לא בהגדרות"))</f>
        <v/>
      </c>
      <c r="D225" s="56"/>
      <c r="E225" s="58"/>
      <c r="F225" s="57" t="str">
        <f aca="false">IF(A225="","",INDEX(הגדרות!$H$16:$H$27,MONTH(A225)))</f>
        <v/>
      </c>
    </row>
    <row r="226" customFormat="false" ht="15" hidden="false" customHeight="false" outlineLevel="0" collapsed="false">
      <c r="A226" s="50"/>
      <c r="B226" s="51"/>
      <c r="C226" s="52" t="str">
        <f aca="false">IF(B226="","",IFERROR(INDEX(הגדרות!$A$8:$A$53,MATCH(B226,הגדרות!$B$8:$B$53,0)),"⚠ לא בהגדרות"))</f>
        <v/>
      </c>
      <c r="D226" s="51"/>
      <c r="E226" s="53"/>
      <c r="F226" s="52" t="str">
        <f aca="false">IF(A226="","",INDEX(הגדרות!$H$16:$H$27,MONTH(A226)))</f>
        <v/>
      </c>
    </row>
    <row r="227" customFormat="false" ht="15" hidden="false" customHeight="false" outlineLevel="0" collapsed="false">
      <c r="A227" s="55"/>
      <c r="B227" s="56"/>
      <c r="C227" s="57" t="str">
        <f aca="false">IF(B227="","",IFERROR(INDEX(הגדרות!$A$8:$A$53,MATCH(B227,הגדרות!$B$8:$B$53,0)),"⚠ לא בהגדרות"))</f>
        <v/>
      </c>
      <c r="D227" s="56"/>
      <c r="E227" s="58"/>
      <c r="F227" s="57" t="str">
        <f aca="false">IF(A227="","",INDEX(הגדרות!$H$16:$H$27,MONTH(A227)))</f>
        <v/>
      </c>
    </row>
    <row r="228" customFormat="false" ht="15" hidden="false" customHeight="false" outlineLevel="0" collapsed="false">
      <c r="A228" s="50"/>
      <c r="B228" s="51"/>
      <c r="C228" s="52" t="str">
        <f aca="false">IF(B228="","",IFERROR(INDEX(הגדרות!$A$8:$A$53,MATCH(B228,הגדרות!$B$8:$B$53,0)),"⚠ לא בהגדרות"))</f>
        <v/>
      </c>
      <c r="D228" s="51"/>
      <c r="E228" s="53"/>
      <c r="F228" s="52" t="str">
        <f aca="false">IF(A228="","",INDEX(הגדרות!$H$16:$H$27,MONTH(A228)))</f>
        <v/>
      </c>
    </row>
    <row r="229" customFormat="false" ht="15" hidden="false" customHeight="false" outlineLevel="0" collapsed="false">
      <c r="A229" s="55"/>
      <c r="B229" s="56"/>
      <c r="C229" s="57" t="str">
        <f aca="false">IF(B229="","",IFERROR(INDEX(הגדרות!$A$8:$A$53,MATCH(B229,הגדרות!$B$8:$B$53,0)),"⚠ לא בהגדרות"))</f>
        <v/>
      </c>
      <c r="D229" s="56"/>
      <c r="E229" s="58"/>
      <c r="F229" s="57" t="str">
        <f aca="false">IF(A229="","",INDEX(הגדרות!$H$16:$H$27,MONTH(A229)))</f>
        <v/>
      </c>
    </row>
    <row r="230" customFormat="false" ht="15" hidden="false" customHeight="false" outlineLevel="0" collapsed="false">
      <c r="A230" s="50"/>
      <c r="B230" s="51"/>
      <c r="C230" s="52" t="str">
        <f aca="false">IF(B230="","",IFERROR(INDEX(הגדרות!$A$8:$A$53,MATCH(B230,הגדרות!$B$8:$B$53,0)),"⚠ לא בהגדרות"))</f>
        <v/>
      </c>
      <c r="D230" s="51"/>
      <c r="E230" s="53"/>
      <c r="F230" s="52" t="str">
        <f aca="false">IF(A230="","",INDEX(הגדרות!$H$16:$H$27,MONTH(A230)))</f>
        <v/>
      </c>
    </row>
    <row r="231" customFormat="false" ht="15" hidden="false" customHeight="false" outlineLevel="0" collapsed="false">
      <c r="A231" s="55"/>
      <c r="B231" s="56"/>
      <c r="C231" s="57" t="str">
        <f aca="false">IF(B231="","",IFERROR(INDEX(הגדרות!$A$8:$A$53,MATCH(B231,הגדרות!$B$8:$B$53,0)),"⚠ לא בהגדרות"))</f>
        <v/>
      </c>
      <c r="D231" s="56"/>
      <c r="E231" s="58"/>
      <c r="F231" s="57" t="str">
        <f aca="false">IF(A231="","",INDEX(הגדרות!$H$16:$H$27,MONTH(A231)))</f>
        <v/>
      </c>
    </row>
    <row r="232" customFormat="false" ht="15" hidden="false" customHeight="false" outlineLevel="0" collapsed="false">
      <c r="A232" s="50"/>
      <c r="B232" s="51"/>
      <c r="C232" s="52" t="str">
        <f aca="false">IF(B232="","",IFERROR(INDEX(הגדרות!$A$8:$A$53,MATCH(B232,הגדרות!$B$8:$B$53,0)),"⚠ לא בהגדרות"))</f>
        <v/>
      </c>
      <c r="D232" s="51"/>
      <c r="E232" s="53"/>
      <c r="F232" s="52" t="str">
        <f aca="false">IF(A232="","",INDEX(הגדרות!$H$16:$H$27,MONTH(A232)))</f>
        <v/>
      </c>
    </row>
    <row r="233" customFormat="false" ht="15" hidden="false" customHeight="false" outlineLevel="0" collapsed="false">
      <c r="A233" s="55"/>
      <c r="B233" s="56"/>
      <c r="C233" s="57" t="str">
        <f aca="false">IF(B233="","",IFERROR(INDEX(הגדרות!$A$8:$A$53,MATCH(B233,הגדרות!$B$8:$B$53,0)),"⚠ לא בהגדרות"))</f>
        <v/>
      </c>
      <c r="D233" s="56"/>
      <c r="E233" s="58"/>
      <c r="F233" s="57" t="str">
        <f aca="false">IF(A233="","",INDEX(הגדרות!$H$16:$H$27,MONTH(A233)))</f>
        <v/>
      </c>
    </row>
    <row r="234" customFormat="false" ht="15" hidden="false" customHeight="false" outlineLevel="0" collapsed="false">
      <c r="A234" s="50"/>
      <c r="B234" s="51"/>
      <c r="C234" s="52" t="str">
        <f aca="false">IF(B234="","",IFERROR(INDEX(הגדרות!$A$8:$A$53,MATCH(B234,הגדרות!$B$8:$B$53,0)),"⚠ לא בהגדרות"))</f>
        <v/>
      </c>
      <c r="D234" s="51"/>
      <c r="E234" s="53"/>
      <c r="F234" s="52" t="str">
        <f aca="false">IF(A234="","",INDEX(הגדרות!$H$16:$H$27,MONTH(A234)))</f>
        <v/>
      </c>
    </row>
    <row r="235" customFormat="false" ht="15" hidden="false" customHeight="false" outlineLevel="0" collapsed="false">
      <c r="A235" s="55"/>
      <c r="B235" s="56"/>
      <c r="C235" s="57" t="str">
        <f aca="false">IF(B235="","",IFERROR(INDEX(הגדרות!$A$8:$A$53,MATCH(B235,הגדרות!$B$8:$B$53,0)),"⚠ לא בהגדרות"))</f>
        <v/>
      </c>
      <c r="D235" s="56"/>
      <c r="E235" s="58"/>
      <c r="F235" s="57" t="str">
        <f aca="false">IF(A235="","",INDEX(הגדרות!$H$16:$H$27,MONTH(A235)))</f>
        <v/>
      </c>
    </row>
    <row r="236" customFormat="false" ht="15" hidden="false" customHeight="false" outlineLevel="0" collapsed="false">
      <c r="A236" s="50"/>
      <c r="B236" s="51"/>
      <c r="C236" s="52" t="str">
        <f aca="false">IF(B236="","",IFERROR(INDEX(הגדרות!$A$8:$A$53,MATCH(B236,הגדרות!$B$8:$B$53,0)),"⚠ לא בהגדרות"))</f>
        <v/>
      </c>
      <c r="D236" s="51"/>
      <c r="E236" s="53"/>
      <c r="F236" s="52" t="str">
        <f aca="false">IF(A236="","",INDEX(הגדרות!$H$16:$H$27,MONTH(A236)))</f>
        <v/>
      </c>
    </row>
    <row r="237" customFormat="false" ht="15" hidden="false" customHeight="false" outlineLevel="0" collapsed="false">
      <c r="A237" s="55"/>
      <c r="B237" s="56"/>
      <c r="C237" s="57" t="str">
        <f aca="false">IF(B237="","",IFERROR(INDEX(הגדרות!$A$8:$A$53,MATCH(B237,הגדרות!$B$8:$B$53,0)),"⚠ לא בהגדרות"))</f>
        <v/>
      </c>
      <c r="D237" s="56"/>
      <c r="E237" s="58"/>
      <c r="F237" s="57" t="str">
        <f aca="false">IF(A237="","",INDEX(הגדרות!$H$16:$H$27,MONTH(A237)))</f>
        <v/>
      </c>
    </row>
    <row r="238" customFormat="false" ht="15" hidden="false" customHeight="false" outlineLevel="0" collapsed="false">
      <c r="A238" s="50"/>
      <c r="B238" s="51"/>
      <c r="C238" s="52" t="str">
        <f aca="false">IF(B238="","",IFERROR(INDEX(הגדרות!$A$8:$A$53,MATCH(B238,הגדרות!$B$8:$B$53,0)),"⚠ לא בהגדרות"))</f>
        <v/>
      </c>
      <c r="D238" s="51"/>
      <c r="E238" s="53"/>
      <c r="F238" s="52" t="str">
        <f aca="false">IF(A238="","",INDEX(הגדרות!$H$16:$H$27,MONTH(A238)))</f>
        <v/>
      </c>
    </row>
    <row r="239" customFormat="false" ht="15" hidden="false" customHeight="false" outlineLevel="0" collapsed="false">
      <c r="A239" s="55"/>
      <c r="B239" s="56"/>
      <c r="C239" s="57" t="str">
        <f aca="false">IF(B239="","",IFERROR(INDEX(הגדרות!$A$8:$A$53,MATCH(B239,הגדרות!$B$8:$B$53,0)),"⚠ לא בהגדרות"))</f>
        <v/>
      </c>
      <c r="D239" s="56"/>
      <c r="E239" s="58"/>
      <c r="F239" s="57" t="str">
        <f aca="false">IF(A239="","",INDEX(הגדרות!$H$16:$H$27,MONTH(A239)))</f>
        <v/>
      </c>
    </row>
    <row r="240" customFormat="false" ht="15" hidden="false" customHeight="false" outlineLevel="0" collapsed="false">
      <c r="A240" s="50"/>
      <c r="B240" s="51"/>
      <c r="C240" s="52" t="str">
        <f aca="false">IF(B240="","",IFERROR(INDEX(הגדרות!$A$8:$A$53,MATCH(B240,הגדרות!$B$8:$B$53,0)),"⚠ לא בהגדרות"))</f>
        <v/>
      </c>
      <c r="D240" s="51"/>
      <c r="E240" s="53"/>
      <c r="F240" s="52" t="str">
        <f aca="false">IF(A240="","",INDEX(הגדרות!$H$16:$H$27,MONTH(A240)))</f>
        <v/>
      </c>
    </row>
    <row r="241" customFormat="false" ht="15" hidden="false" customHeight="false" outlineLevel="0" collapsed="false">
      <c r="A241" s="55"/>
      <c r="B241" s="56"/>
      <c r="C241" s="57" t="str">
        <f aca="false">IF(B241="","",IFERROR(INDEX(הגדרות!$A$8:$A$53,MATCH(B241,הגדרות!$B$8:$B$53,0)),"⚠ לא בהגדרות"))</f>
        <v/>
      </c>
      <c r="D241" s="56"/>
      <c r="E241" s="58"/>
      <c r="F241" s="57" t="str">
        <f aca="false">IF(A241="","",INDEX(הגדרות!$H$16:$H$27,MONTH(A241)))</f>
        <v/>
      </c>
    </row>
    <row r="242" customFormat="false" ht="15" hidden="false" customHeight="false" outlineLevel="0" collapsed="false">
      <c r="A242" s="50"/>
      <c r="B242" s="51"/>
      <c r="C242" s="52" t="str">
        <f aca="false">IF(B242="","",IFERROR(INDEX(הגדרות!$A$8:$A$53,MATCH(B242,הגדרות!$B$8:$B$53,0)),"⚠ לא בהגדרות"))</f>
        <v/>
      </c>
      <c r="D242" s="51"/>
      <c r="E242" s="53"/>
      <c r="F242" s="52" t="str">
        <f aca="false">IF(A242="","",INDEX(הגדרות!$H$16:$H$27,MONTH(A242)))</f>
        <v/>
      </c>
    </row>
    <row r="243" customFormat="false" ht="15" hidden="false" customHeight="false" outlineLevel="0" collapsed="false">
      <c r="A243" s="55"/>
      <c r="B243" s="56"/>
      <c r="C243" s="57" t="str">
        <f aca="false">IF(B243="","",IFERROR(INDEX(הגדרות!$A$8:$A$53,MATCH(B243,הגדרות!$B$8:$B$53,0)),"⚠ לא בהגדרות"))</f>
        <v/>
      </c>
      <c r="D243" s="56"/>
      <c r="E243" s="58"/>
      <c r="F243" s="57" t="str">
        <f aca="false">IF(A243="","",INDEX(הגדרות!$H$16:$H$27,MONTH(A243)))</f>
        <v/>
      </c>
    </row>
    <row r="244" customFormat="false" ht="15" hidden="false" customHeight="false" outlineLevel="0" collapsed="false">
      <c r="A244" s="50"/>
      <c r="B244" s="51"/>
      <c r="C244" s="52" t="str">
        <f aca="false">IF(B244="","",IFERROR(INDEX(הגדרות!$A$8:$A$53,MATCH(B244,הגדרות!$B$8:$B$53,0)),"⚠ לא בהגדרות"))</f>
        <v/>
      </c>
      <c r="D244" s="51"/>
      <c r="E244" s="53"/>
      <c r="F244" s="52" t="str">
        <f aca="false">IF(A244="","",INDEX(הגדרות!$H$16:$H$27,MONTH(A244)))</f>
        <v/>
      </c>
    </row>
    <row r="245" customFormat="false" ht="15" hidden="false" customHeight="false" outlineLevel="0" collapsed="false">
      <c r="A245" s="55"/>
      <c r="B245" s="56"/>
      <c r="C245" s="57" t="str">
        <f aca="false">IF(B245="","",IFERROR(INDEX(הגדרות!$A$8:$A$53,MATCH(B245,הגדרות!$B$8:$B$53,0)),"⚠ לא בהגדרות"))</f>
        <v/>
      </c>
      <c r="D245" s="56"/>
      <c r="E245" s="58"/>
      <c r="F245" s="57" t="str">
        <f aca="false">IF(A245="","",INDEX(הגדרות!$H$16:$H$27,MONTH(A245)))</f>
        <v/>
      </c>
    </row>
    <row r="246" customFormat="false" ht="15" hidden="false" customHeight="false" outlineLevel="0" collapsed="false">
      <c r="A246" s="50"/>
      <c r="B246" s="51"/>
      <c r="C246" s="52" t="str">
        <f aca="false">IF(B246="","",IFERROR(INDEX(הגדרות!$A$8:$A$53,MATCH(B246,הגדרות!$B$8:$B$53,0)),"⚠ לא בהגדרות"))</f>
        <v/>
      </c>
      <c r="D246" s="51"/>
      <c r="E246" s="53"/>
      <c r="F246" s="52" t="str">
        <f aca="false">IF(A246="","",INDEX(הגדרות!$H$16:$H$27,MONTH(A246)))</f>
        <v/>
      </c>
    </row>
    <row r="247" customFormat="false" ht="15" hidden="false" customHeight="false" outlineLevel="0" collapsed="false">
      <c r="A247" s="55"/>
      <c r="B247" s="56"/>
      <c r="C247" s="57" t="str">
        <f aca="false">IF(B247="","",IFERROR(INDEX(הגדרות!$A$8:$A$53,MATCH(B247,הגדרות!$B$8:$B$53,0)),"⚠ לא בהגדרות"))</f>
        <v/>
      </c>
      <c r="D247" s="56"/>
      <c r="E247" s="58"/>
      <c r="F247" s="57" t="str">
        <f aca="false">IF(A247="","",INDEX(הגדרות!$H$16:$H$27,MONTH(A247)))</f>
        <v/>
      </c>
    </row>
    <row r="248" customFormat="false" ht="15" hidden="false" customHeight="false" outlineLevel="0" collapsed="false">
      <c r="A248" s="50"/>
      <c r="B248" s="51"/>
      <c r="C248" s="52" t="str">
        <f aca="false">IF(B248="","",IFERROR(INDEX(הגדרות!$A$8:$A$53,MATCH(B248,הגדרות!$B$8:$B$53,0)),"⚠ לא בהגדרות"))</f>
        <v/>
      </c>
      <c r="D248" s="51"/>
      <c r="E248" s="53"/>
      <c r="F248" s="52" t="str">
        <f aca="false">IF(A248="","",INDEX(הגדרות!$H$16:$H$27,MONTH(A248)))</f>
        <v/>
      </c>
    </row>
    <row r="249" customFormat="false" ht="15" hidden="false" customHeight="false" outlineLevel="0" collapsed="false">
      <c r="A249" s="55"/>
      <c r="B249" s="56"/>
      <c r="C249" s="57" t="str">
        <f aca="false">IF(B249="","",IFERROR(INDEX(הגדרות!$A$8:$A$53,MATCH(B249,הגדרות!$B$8:$B$53,0)),"⚠ לא בהגדרות"))</f>
        <v/>
      </c>
      <c r="D249" s="56"/>
      <c r="E249" s="58"/>
      <c r="F249" s="57" t="str">
        <f aca="false">IF(A249="","",INDEX(הגדרות!$H$16:$H$27,MONTH(A249)))</f>
        <v/>
      </c>
    </row>
    <row r="250" customFormat="false" ht="15" hidden="false" customHeight="false" outlineLevel="0" collapsed="false">
      <c r="A250" s="50"/>
      <c r="B250" s="51"/>
      <c r="C250" s="52" t="str">
        <f aca="false">IF(B250="","",IFERROR(INDEX(הגדרות!$A$8:$A$53,MATCH(B250,הגדרות!$B$8:$B$53,0)),"⚠ לא בהגדרות"))</f>
        <v/>
      </c>
      <c r="D250" s="51"/>
      <c r="E250" s="53"/>
      <c r="F250" s="52" t="str">
        <f aca="false">IF(A250="","",INDEX(הגדרות!$H$16:$H$27,MONTH(A250)))</f>
        <v/>
      </c>
    </row>
    <row r="251" customFormat="false" ht="15" hidden="false" customHeight="false" outlineLevel="0" collapsed="false">
      <c r="A251" s="55"/>
      <c r="B251" s="56"/>
      <c r="C251" s="57" t="str">
        <f aca="false">IF(B251="","",IFERROR(INDEX(הגדרות!$A$8:$A$53,MATCH(B251,הגדרות!$B$8:$B$53,0)),"⚠ לא בהגדרות"))</f>
        <v/>
      </c>
      <c r="D251" s="56"/>
      <c r="E251" s="58"/>
      <c r="F251" s="57" t="str">
        <f aca="false">IF(A251="","",INDEX(הגדרות!$H$16:$H$27,MONTH(A251)))</f>
        <v/>
      </c>
    </row>
    <row r="252" customFormat="false" ht="15" hidden="false" customHeight="false" outlineLevel="0" collapsed="false">
      <c r="A252" s="50"/>
      <c r="B252" s="51"/>
      <c r="C252" s="52" t="str">
        <f aca="false">IF(B252="","",IFERROR(INDEX(הגדרות!$A$8:$A$53,MATCH(B252,הגדרות!$B$8:$B$53,0)),"⚠ לא בהגדרות"))</f>
        <v/>
      </c>
      <c r="D252" s="51"/>
      <c r="E252" s="53"/>
      <c r="F252" s="52" t="str">
        <f aca="false">IF(A252="","",INDEX(הגדרות!$H$16:$H$27,MONTH(A252)))</f>
        <v/>
      </c>
    </row>
    <row r="253" customFormat="false" ht="15" hidden="false" customHeight="false" outlineLevel="0" collapsed="false">
      <c r="A253" s="55"/>
      <c r="B253" s="56"/>
      <c r="C253" s="57" t="str">
        <f aca="false">IF(B253="","",IFERROR(INDEX(הגדרות!$A$8:$A$53,MATCH(B253,הגדרות!$B$8:$B$53,0)),"⚠ לא בהגדרות"))</f>
        <v/>
      </c>
      <c r="D253" s="56"/>
      <c r="E253" s="58"/>
      <c r="F253" s="57" t="str">
        <f aca="false">IF(A253="","",INDEX(הגדרות!$H$16:$H$27,MONTH(A253)))</f>
        <v/>
      </c>
    </row>
    <row r="254" customFormat="false" ht="15" hidden="false" customHeight="false" outlineLevel="0" collapsed="false">
      <c r="A254" s="50"/>
      <c r="B254" s="51"/>
      <c r="C254" s="52" t="str">
        <f aca="false">IF(B254="","",IFERROR(INDEX(הגדרות!$A$8:$A$53,MATCH(B254,הגדרות!$B$8:$B$53,0)),"⚠ לא בהגדרות"))</f>
        <v/>
      </c>
      <c r="D254" s="51"/>
      <c r="E254" s="53"/>
      <c r="F254" s="52" t="str">
        <f aca="false">IF(A254="","",INDEX(הגדרות!$H$16:$H$27,MONTH(A254)))</f>
        <v/>
      </c>
    </row>
    <row r="255" customFormat="false" ht="15" hidden="false" customHeight="false" outlineLevel="0" collapsed="false">
      <c r="A255" s="55"/>
      <c r="B255" s="56"/>
      <c r="C255" s="57" t="str">
        <f aca="false">IF(B255="","",IFERROR(INDEX(הגדרות!$A$8:$A$53,MATCH(B255,הגדרות!$B$8:$B$53,0)),"⚠ לא בהגדרות"))</f>
        <v/>
      </c>
      <c r="D255" s="56"/>
      <c r="E255" s="58"/>
      <c r="F255" s="57" t="str">
        <f aca="false">IF(A255="","",INDEX(הגדרות!$H$16:$H$27,MONTH(A255)))</f>
        <v/>
      </c>
    </row>
    <row r="256" customFormat="false" ht="15" hidden="false" customHeight="false" outlineLevel="0" collapsed="false">
      <c r="A256" s="50"/>
      <c r="B256" s="51"/>
      <c r="C256" s="52" t="str">
        <f aca="false">IF(B256="","",IFERROR(INDEX(הגדרות!$A$8:$A$53,MATCH(B256,הגדרות!$B$8:$B$53,0)),"⚠ לא בהגדרות"))</f>
        <v/>
      </c>
      <c r="D256" s="51"/>
      <c r="E256" s="53"/>
      <c r="F256" s="52" t="str">
        <f aca="false">IF(A256="","",INDEX(הגדרות!$H$16:$H$27,MONTH(A256)))</f>
        <v/>
      </c>
    </row>
    <row r="257" customFormat="false" ht="15" hidden="false" customHeight="false" outlineLevel="0" collapsed="false">
      <c r="A257" s="55"/>
      <c r="B257" s="56"/>
      <c r="C257" s="57" t="str">
        <f aca="false">IF(B257="","",IFERROR(INDEX(הגדרות!$A$8:$A$53,MATCH(B257,הגדרות!$B$8:$B$53,0)),"⚠ לא בהגדרות"))</f>
        <v/>
      </c>
      <c r="D257" s="56"/>
      <c r="E257" s="58"/>
      <c r="F257" s="57" t="str">
        <f aca="false">IF(A257="","",INDEX(הגדרות!$H$16:$H$27,MONTH(A257)))</f>
        <v/>
      </c>
    </row>
    <row r="258" customFormat="false" ht="15" hidden="false" customHeight="false" outlineLevel="0" collapsed="false">
      <c r="A258" s="50"/>
      <c r="B258" s="51"/>
      <c r="C258" s="52" t="str">
        <f aca="false">IF(B258="","",IFERROR(INDEX(הגדרות!$A$8:$A$53,MATCH(B258,הגדרות!$B$8:$B$53,0)),"⚠ לא בהגדרות"))</f>
        <v/>
      </c>
      <c r="D258" s="51"/>
      <c r="E258" s="53"/>
      <c r="F258" s="52" t="str">
        <f aca="false">IF(A258="","",INDEX(הגדרות!$H$16:$H$27,MONTH(A258)))</f>
        <v/>
      </c>
    </row>
    <row r="259" customFormat="false" ht="15" hidden="false" customHeight="false" outlineLevel="0" collapsed="false">
      <c r="A259" s="55"/>
      <c r="B259" s="56"/>
      <c r="C259" s="57" t="str">
        <f aca="false">IF(B259="","",IFERROR(INDEX(הגדרות!$A$8:$A$53,MATCH(B259,הגדרות!$B$8:$B$53,0)),"⚠ לא בהגדרות"))</f>
        <v/>
      </c>
      <c r="D259" s="56"/>
      <c r="E259" s="58"/>
      <c r="F259" s="57" t="str">
        <f aca="false">IF(A259="","",INDEX(הגדרות!$H$16:$H$27,MONTH(A259)))</f>
        <v/>
      </c>
    </row>
    <row r="260" customFormat="false" ht="15" hidden="false" customHeight="false" outlineLevel="0" collapsed="false">
      <c r="A260" s="50"/>
      <c r="B260" s="51"/>
      <c r="C260" s="52" t="str">
        <f aca="false">IF(B260="","",IFERROR(INDEX(הגדרות!$A$8:$A$53,MATCH(B260,הגדרות!$B$8:$B$53,0)),"⚠ לא בהגדרות"))</f>
        <v/>
      </c>
      <c r="D260" s="51"/>
      <c r="E260" s="53"/>
      <c r="F260" s="52" t="str">
        <f aca="false">IF(A260="","",INDEX(הגדרות!$H$16:$H$27,MONTH(A260)))</f>
        <v/>
      </c>
    </row>
    <row r="261" customFormat="false" ht="15" hidden="false" customHeight="false" outlineLevel="0" collapsed="false">
      <c r="A261" s="55"/>
      <c r="B261" s="56"/>
      <c r="C261" s="57" t="str">
        <f aca="false">IF(B261="","",IFERROR(INDEX(הגדרות!$A$8:$A$53,MATCH(B261,הגדרות!$B$8:$B$53,0)),"⚠ לא בהגדרות"))</f>
        <v/>
      </c>
      <c r="D261" s="56"/>
      <c r="E261" s="58"/>
      <c r="F261" s="57" t="str">
        <f aca="false">IF(A261="","",INDEX(הגדרות!$H$16:$H$27,MONTH(A261)))</f>
        <v/>
      </c>
    </row>
    <row r="262" customFormat="false" ht="15" hidden="false" customHeight="false" outlineLevel="0" collapsed="false">
      <c r="A262" s="50"/>
      <c r="B262" s="51"/>
      <c r="C262" s="52" t="str">
        <f aca="false">IF(B262="","",IFERROR(INDEX(הגדרות!$A$8:$A$53,MATCH(B262,הגדרות!$B$8:$B$53,0)),"⚠ לא בהגדרות"))</f>
        <v/>
      </c>
      <c r="D262" s="51"/>
      <c r="E262" s="53"/>
      <c r="F262" s="52" t="str">
        <f aca="false">IF(A262="","",INDEX(הגדרות!$H$16:$H$27,MONTH(A262)))</f>
        <v/>
      </c>
    </row>
    <row r="263" customFormat="false" ht="15" hidden="false" customHeight="false" outlineLevel="0" collapsed="false">
      <c r="A263" s="55"/>
      <c r="B263" s="56"/>
      <c r="C263" s="57" t="str">
        <f aca="false">IF(B263="","",IFERROR(INDEX(הגדרות!$A$8:$A$53,MATCH(B263,הגדרות!$B$8:$B$53,0)),"⚠ לא בהגדרות"))</f>
        <v/>
      </c>
      <c r="D263" s="56"/>
      <c r="E263" s="58"/>
      <c r="F263" s="57" t="str">
        <f aca="false">IF(A263="","",INDEX(הגדרות!$H$16:$H$27,MONTH(A263)))</f>
        <v/>
      </c>
    </row>
    <row r="264" customFormat="false" ht="15" hidden="false" customHeight="false" outlineLevel="0" collapsed="false">
      <c r="A264" s="50"/>
      <c r="B264" s="51"/>
      <c r="C264" s="52" t="str">
        <f aca="false">IF(B264="","",IFERROR(INDEX(הגדרות!$A$8:$A$53,MATCH(B264,הגדרות!$B$8:$B$53,0)),"⚠ לא בהגדרות"))</f>
        <v/>
      </c>
      <c r="D264" s="51"/>
      <c r="E264" s="53"/>
      <c r="F264" s="52" t="str">
        <f aca="false">IF(A264="","",INDEX(הגדרות!$H$16:$H$27,MONTH(A264)))</f>
        <v/>
      </c>
    </row>
    <row r="265" customFormat="false" ht="15" hidden="false" customHeight="false" outlineLevel="0" collapsed="false">
      <c r="A265" s="55"/>
      <c r="B265" s="56"/>
      <c r="C265" s="57" t="str">
        <f aca="false">IF(B265="","",IFERROR(INDEX(הגדרות!$A$8:$A$53,MATCH(B265,הגדרות!$B$8:$B$53,0)),"⚠ לא בהגדרות"))</f>
        <v/>
      </c>
      <c r="D265" s="56"/>
      <c r="E265" s="58"/>
      <c r="F265" s="57" t="str">
        <f aca="false">IF(A265="","",INDEX(הגדרות!$H$16:$H$27,MONTH(A265)))</f>
        <v/>
      </c>
    </row>
    <row r="266" customFormat="false" ht="15" hidden="false" customHeight="false" outlineLevel="0" collapsed="false">
      <c r="A266" s="50"/>
      <c r="B266" s="51"/>
      <c r="C266" s="52" t="str">
        <f aca="false">IF(B266="","",IFERROR(INDEX(הגדרות!$A$8:$A$53,MATCH(B266,הגדרות!$B$8:$B$53,0)),"⚠ לא בהגדרות"))</f>
        <v/>
      </c>
      <c r="D266" s="51"/>
      <c r="E266" s="53"/>
      <c r="F266" s="52" t="str">
        <f aca="false">IF(A266="","",INDEX(הגדרות!$H$16:$H$27,MONTH(A266)))</f>
        <v/>
      </c>
    </row>
    <row r="267" customFormat="false" ht="15" hidden="false" customHeight="false" outlineLevel="0" collapsed="false">
      <c r="A267" s="55"/>
      <c r="B267" s="56"/>
      <c r="C267" s="57" t="str">
        <f aca="false">IF(B267="","",IFERROR(INDEX(הגדרות!$A$8:$A$53,MATCH(B267,הגדרות!$B$8:$B$53,0)),"⚠ לא בהגדרות"))</f>
        <v/>
      </c>
      <c r="D267" s="56"/>
      <c r="E267" s="58"/>
      <c r="F267" s="57" t="str">
        <f aca="false">IF(A267="","",INDEX(הגדרות!$H$16:$H$27,MONTH(A267)))</f>
        <v/>
      </c>
    </row>
    <row r="268" customFormat="false" ht="15" hidden="false" customHeight="false" outlineLevel="0" collapsed="false">
      <c r="A268" s="50"/>
      <c r="B268" s="51"/>
      <c r="C268" s="52" t="str">
        <f aca="false">IF(B268="","",IFERROR(INDEX(הגדרות!$A$8:$A$53,MATCH(B268,הגדרות!$B$8:$B$53,0)),"⚠ לא בהגדרות"))</f>
        <v/>
      </c>
      <c r="D268" s="51"/>
      <c r="E268" s="53"/>
      <c r="F268" s="52" t="str">
        <f aca="false">IF(A268="","",INDEX(הגדרות!$H$16:$H$27,MONTH(A268)))</f>
        <v/>
      </c>
    </row>
    <row r="269" customFormat="false" ht="15" hidden="false" customHeight="false" outlineLevel="0" collapsed="false">
      <c r="A269" s="55"/>
      <c r="B269" s="56"/>
      <c r="C269" s="57" t="str">
        <f aca="false">IF(B269="","",IFERROR(INDEX(הגדרות!$A$8:$A$53,MATCH(B269,הגדרות!$B$8:$B$53,0)),"⚠ לא בהגדרות"))</f>
        <v/>
      </c>
      <c r="D269" s="56"/>
      <c r="E269" s="58"/>
      <c r="F269" s="57" t="str">
        <f aca="false">IF(A269="","",INDEX(הגדרות!$H$16:$H$27,MONTH(A269)))</f>
        <v/>
      </c>
    </row>
    <row r="270" customFormat="false" ht="15" hidden="false" customHeight="false" outlineLevel="0" collapsed="false">
      <c r="A270" s="50"/>
      <c r="B270" s="51"/>
      <c r="C270" s="52" t="str">
        <f aca="false">IF(B270="","",IFERROR(INDEX(הגדרות!$A$8:$A$53,MATCH(B270,הגדרות!$B$8:$B$53,0)),"⚠ לא בהגדרות"))</f>
        <v/>
      </c>
      <c r="D270" s="51"/>
      <c r="E270" s="53"/>
      <c r="F270" s="52" t="str">
        <f aca="false">IF(A270="","",INDEX(הגדרות!$H$16:$H$27,MONTH(A270)))</f>
        <v/>
      </c>
    </row>
    <row r="271" customFormat="false" ht="15" hidden="false" customHeight="false" outlineLevel="0" collapsed="false">
      <c r="A271" s="55"/>
      <c r="B271" s="56"/>
      <c r="C271" s="57" t="str">
        <f aca="false">IF(B271="","",IFERROR(INDEX(הגדרות!$A$8:$A$53,MATCH(B271,הגדרות!$B$8:$B$53,0)),"⚠ לא בהגדרות"))</f>
        <v/>
      </c>
      <c r="D271" s="56"/>
      <c r="E271" s="58"/>
      <c r="F271" s="57" t="str">
        <f aca="false">IF(A271="","",INDEX(הגדרות!$H$16:$H$27,MONTH(A271)))</f>
        <v/>
      </c>
    </row>
    <row r="272" customFormat="false" ht="15" hidden="false" customHeight="false" outlineLevel="0" collapsed="false">
      <c r="A272" s="50"/>
      <c r="B272" s="51"/>
      <c r="C272" s="52" t="str">
        <f aca="false">IF(B272="","",IFERROR(INDEX(הגדרות!$A$8:$A$53,MATCH(B272,הגדרות!$B$8:$B$53,0)),"⚠ לא בהגדרות"))</f>
        <v/>
      </c>
      <c r="D272" s="51"/>
      <c r="E272" s="53"/>
      <c r="F272" s="52" t="str">
        <f aca="false">IF(A272="","",INDEX(הגדרות!$H$16:$H$27,MONTH(A272)))</f>
        <v/>
      </c>
    </row>
    <row r="273" customFormat="false" ht="15" hidden="false" customHeight="false" outlineLevel="0" collapsed="false">
      <c r="A273" s="55"/>
      <c r="B273" s="56"/>
      <c r="C273" s="57" t="str">
        <f aca="false">IF(B273="","",IFERROR(INDEX(הגדרות!$A$8:$A$53,MATCH(B273,הגדרות!$B$8:$B$53,0)),"⚠ לא בהגדרות"))</f>
        <v/>
      </c>
      <c r="D273" s="56"/>
      <c r="E273" s="58"/>
      <c r="F273" s="57" t="str">
        <f aca="false">IF(A273="","",INDEX(הגדרות!$H$16:$H$27,MONTH(A273)))</f>
        <v/>
      </c>
    </row>
    <row r="274" customFormat="false" ht="15" hidden="false" customHeight="false" outlineLevel="0" collapsed="false">
      <c r="A274" s="50"/>
      <c r="B274" s="51"/>
      <c r="C274" s="52" t="str">
        <f aca="false">IF(B274="","",IFERROR(INDEX(הגדרות!$A$8:$A$53,MATCH(B274,הגדרות!$B$8:$B$53,0)),"⚠ לא בהגדרות"))</f>
        <v/>
      </c>
      <c r="D274" s="51"/>
      <c r="E274" s="53"/>
      <c r="F274" s="52" t="str">
        <f aca="false">IF(A274="","",INDEX(הגדרות!$H$16:$H$27,MONTH(A274)))</f>
        <v/>
      </c>
    </row>
    <row r="275" customFormat="false" ht="15" hidden="false" customHeight="false" outlineLevel="0" collapsed="false">
      <c r="A275" s="55"/>
      <c r="B275" s="56"/>
      <c r="C275" s="57" t="str">
        <f aca="false">IF(B275="","",IFERROR(INDEX(הגדרות!$A$8:$A$53,MATCH(B275,הגדרות!$B$8:$B$53,0)),"⚠ לא בהגדרות"))</f>
        <v/>
      </c>
      <c r="D275" s="56"/>
      <c r="E275" s="58"/>
      <c r="F275" s="57" t="str">
        <f aca="false">IF(A275="","",INDEX(הגדרות!$H$16:$H$27,MONTH(A275)))</f>
        <v/>
      </c>
    </row>
    <row r="276" customFormat="false" ht="15" hidden="false" customHeight="false" outlineLevel="0" collapsed="false">
      <c r="A276" s="50"/>
      <c r="B276" s="51"/>
      <c r="C276" s="52" t="str">
        <f aca="false">IF(B276="","",IFERROR(INDEX(הגדרות!$A$8:$A$53,MATCH(B276,הגדרות!$B$8:$B$53,0)),"⚠ לא בהגדרות"))</f>
        <v/>
      </c>
      <c r="D276" s="51"/>
      <c r="E276" s="53"/>
      <c r="F276" s="52" t="str">
        <f aca="false">IF(A276="","",INDEX(הגדרות!$H$16:$H$27,MONTH(A276)))</f>
        <v/>
      </c>
    </row>
    <row r="277" customFormat="false" ht="15" hidden="false" customHeight="false" outlineLevel="0" collapsed="false">
      <c r="A277" s="55"/>
      <c r="B277" s="56"/>
      <c r="C277" s="57" t="str">
        <f aca="false">IF(B277="","",IFERROR(INDEX(הגדרות!$A$8:$A$53,MATCH(B277,הגדרות!$B$8:$B$53,0)),"⚠ לא בהגדרות"))</f>
        <v/>
      </c>
      <c r="D277" s="56"/>
      <c r="E277" s="58"/>
      <c r="F277" s="57" t="str">
        <f aca="false">IF(A277="","",INDEX(הגדרות!$H$16:$H$27,MONTH(A277)))</f>
        <v/>
      </c>
    </row>
    <row r="278" customFormat="false" ht="15" hidden="false" customHeight="false" outlineLevel="0" collapsed="false">
      <c r="A278" s="50"/>
      <c r="B278" s="51"/>
      <c r="C278" s="52" t="str">
        <f aca="false">IF(B278="","",IFERROR(INDEX(הגדרות!$A$8:$A$53,MATCH(B278,הגדרות!$B$8:$B$53,0)),"⚠ לא בהגדרות"))</f>
        <v/>
      </c>
      <c r="D278" s="51"/>
      <c r="E278" s="53"/>
      <c r="F278" s="52" t="str">
        <f aca="false">IF(A278="","",INDEX(הגדרות!$H$16:$H$27,MONTH(A278)))</f>
        <v/>
      </c>
    </row>
    <row r="279" customFormat="false" ht="15" hidden="false" customHeight="false" outlineLevel="0" collapsed="false">
      <c r="A279" s="55"/>
      <c r="B279" s="56"/>
      <c r="C279" s="57" t="str">
        <f aca="false">IF(B279="","",IFERROR(INDEX(הגדרות!$A$8:$A$53,MATCH(B279,הגדרות!$B$8:$B$53,0)),"⚠ לא בהגדרות"))</f>
        <v/>
      </c>
      <c r="D279" s="56"/>
      <c r="E279" s="58"/>
      <c r="F279" s="57" t="str">
        <f aca="false">IF(A279="","",INDEX(הגדרות!$H$16:$H$27,MONTH(A279)))</f>
        <v/>
      </c>
    </row>
    <row r="280" customFormat="false" ht="15" hidden="false" customHeight="false" outlineLevel="0" collapsed="false">
      <c r="A280" s="50"/>
      <c r="B280" s="51"/>
      <c r="C280" s="52" t="str">
        <f aca="false">IF(B280="","",IFERROR(INDEX(הגדרות!$A$8:$A$53,MATCH(B280,הגדרות!$B$8:$B$53,0)),"⚠ לא בהגדרות"))</f>
        <v/>
      </c>
      <c r="D280" s="51"/>
      <c r="E280" s="53"/>
      <c r="F280" s="52" t="str">
        <f aca="false">IF(A280="","",INDEX(הגדרות!$H$16:$H$27,MONTH(A280)))</f>
        <v/>
      </c>
    </row>
    <row r="281" customFormat="false" ht="15" hidden="false" customHeight="false" outlineLevel="0" collapsed="false">
      <c r="A281" s="55"/>
      <c r="B281" s="56"/>
      <c r="C281" s="57" t="str">
        <f aca="false">IF(B281="","",IFERROR(INDEX(הגדרות!$A$8:$A$53,MATCH(B281,הגדרות!$B$8:$B$53,0)),"⚠ לא בהגדרות"))</f>
        <v/>
      </c>
      <c r="D281" s="56"/>
      <c r="E281" s="58"/>
      <c r="F281" s="57" t="str">
        <f aca="false">IF(A281="","",INDEX(הגדרות!$H$16:$H$27,MONTH(A281)))</f>
        <v/>
      </c>
    </row>
    <row r="282" customFormat="false" ht="15" hidden="false" customHeight="false" outlineLevel="0" collapsed="false">
      <c r="A282" s="50"/>
      <c r="B282" s="51"/>
      <c r="C282" s="52" t="str">
        <f aca="false">IF(B282="","",IFERROR(INDEX(הגדרות!$A$8:$A$53,MATCH(B282,הגדרות!$B$8:$B$53,0)),"⚠ לא בהגדרות"))</f>
        <v/>
      </c>
      <c r="D282" s="51"/>
      <c r="E282" s="53"/>
      <c r="F282" s="52" t="str">
        <f aca="false">IF(A282="","",INDEX(הגדרות!$H$16:$H$27,MONTH(A282)))</f>
        <v/>
      </c>
    </row>
    <row r="283" customFormat="false" ht="15" hidden="false" customHeight="false" outlineLevel="0" collapsed="false">
      <c r="A283" s="55"/>
      <c r="B283" s="56"/>
      <c r="C283" s="57" t="str">
        <f aca="false">IF(B283="","",IFERROR(INDEX(הגדרות!$A$8:$A$53,MATCH(B283,הגדרות!$B$8:$B$53,0)),"⚠ לא בהגדרות"))</f>
        <v/>
      </c>
      <c r="D283" s="56"/>
      <c r="E283" s="58"/>
      <c r="F283" s="57" t="str">
        <f aca="false">IF(A283="","",INDEX(הגדרות!$H$16:$H$27,MONTH(A283)))</f>
        <v/>
      </c>
    </row>
    <row r="284" customFormat="false" ht="15" hidden="false" customHeight="false" outlineLevel="0" collapsed="false">
      <c r="A284" s="50"/>
      <c r="B284" s="51"/>
      <c r="C284" s="52" t="str">
        <f aca="false">IF(B284="","",IFERROR(INDEX(הגדרות!$A$8:$A$53,MATCH(B284,הגדרות!$B$8:$B$53,0)),"⚠ לא בהגדרות"))</f>
        <v/>
      </c>
      <c r="D284" s="51"/>
      <c r="E284" s="53"/>
      <c r="F284" s="52" t="str">
        <f aca="false">IF(A284="","",INDEX(הגדרות!$H$16:$H$27,MONTH(A284)))</f>
        <v/>
      </c>
    </row>
    <row r="285" customFormat="false" ht="15" hidden="false" customHeight="false" outlineLevel="0" collapsed="false">
      <c r="A285" s="55"/>
      <c r="B285" s="56"/>
      <c r="C285" s="57" t="str">
        <f aca="false">IF(B285="","",IFERROR(INDEX(הגדרות!$A$8:$A$53,MATCH(B285,הגדרות!$B$8:$B$53,0)),"⚠ לא בהגדרות"))</f>
        <v/>
      </c>
      <c r="D285" s="56"/>
      <c r="E285" s="58"/>
      <c r="F285" s="57" t="str">
        <f aca="false">IF(A285="","",INDEX(הגדרות!$H$16:$H$27,MONTH(A285)))</f>
        <v/>
      </c>
    </row>
    <row r="286" customFormat="false" ht="15" hidden="false" customHeight="false" outlineLevel="0" collapsed="false">
      <c r="A286" s="50"/>
      <c r="B286" s="51"/>
      <c r="C286" s="52" t="str">
        <f aca="false">IF(B286="","",IFERROR(INDEX(הגדרות!$A$8:$A$53,MATCH(B286,הגדרות!$B$8:$B$53,0)),"⚠ לא בהגדרות"))</f>
        <v/>
      </c>
      <c r="D286" s="51"/>
      <c r="E286" s="53"/>
      <c r="F286" s="52" t="str">
        <f aca="false">IF(A286="","",INDEX(הגדרות!$H$16:$H$27,MONTH(A286)))</f>
        <v/>
      </c>
    </row>
    <row r="287" customFormat="false" ht="15" hidden="false" customHeight="false" outlineLevel="0" collapsed="false">
      <c r="A287" s="55"/>
      <c r="B287" s="56"/>
      <c r="C287" s="57" t="str">
        <f aca="false">IF(B287="","",IFERROR(INDEX(הגדרות!$A$8:$A$53,MATCH(B287,הגדרות!$B$8:$B$53,0)),"⚠ לא בהגדרות"))</f>
        <v/>
      </c>
      <c r="D287" s="56"/>
      <c r="E287" s="58"/>
      <c r="F287" s="57" t="str">
        <f aca="false">IF(A287="","",INDEX(הגדרות!$H$16:$H$27,MONTH(A287)))</f>
        <v/>
      </c>
    </row>
    <row r="288" customFormat="false" ht="15" hidden="false" customHeight="false" outlineLevel="0" collapsed="false">
      <c r="A288" s="50"/>
      <c r="B288" s="51"/>
      <c r="C288" s="52" t="str">
        <f aca="false">IF(B288="","",IFERROR(INDEX(הגדרות!$A$8:$A$53,MATCH(B288,הגדרות!$B$8:$B$53,0)),"⚠ לא בהגדרות"))</f>
        <v/>
      </c>
      <c r="D288" s="51"/>
      <c r="E288" s="53"/>
      <c r="F288" s="52" t="str">
        <f aca="false">IF(A288="","",INDEX(הגדרות!$H$16:$H$27,MONTH(A288)))</f>
        <v/>
      </c>
    </row>
    <row r="289" customFormat="false" ht="15" hidden="false" customHeight="false" outlineLevel="0" collapsed="false">
      <c r="A289" s="55"/>
      <c r="B289" s="56"/>
      <c r="C289" s="57" t="str">
        <f aca="false">IF(B289="","",IFERROR(INDEX(הגדרות!$A$8:$A$53,MATCH(B289,הגדרות!$B$8:$B$53,0)),"⚠ לא בהגדרות"))</f>
        <v/>
      </c>
      <c r="D289" s="56"/>
      <c r="E289" s="58"/>
      <c r="F289" s="57" t="str">
        <f aca="false">IF(A289="","",INDEX(הגדרות!$H$16:$H$27,MONTH(A289)))</f>
        <v/>
      </c>
    </row>
    <row r="290" customFormat="false" ht="15" hidden="false" customHeight="false" outlineLevel="0" collapsed="false">
      <c r="A290" s="50"/>
      <c r="B290" s="51"/>
      <c r="C290" s="52" t="str">
        <f aca="false">IF(B290="","",IFERROR(INDEX(הגדרות!$A$8:$A$53,MATCH(B290,הגדרות!$B$8:$B$53,0)),"⚠ לא בהגדרות"))</f>
        <v/>
      </c>
      <c r="D290" s="51"/>
      <c r="E290" s="53"/>
      <c r="F290" s="52" t="str">
        <f aca="false">IF(A290="","",INDEX(הגדרות!$H$16:$H$27,MONTH(A290)))</f>
        <v/>
      </c>
    </row>
    <row r="291" customFormat="false" ht="15" hidden="false" customHeight="false" outlineLevel="0" collapsed="false">
      <c r="A291" s="55"/>
      <c r="B291" s="56"/>
      <c r="C291" s="57" t="str">
        <f aca="false">IF(B291="","",IFERROR(INDEX(הגדרות!$A$8:$A$53,MATCH(B291,הגדרות!$B$8:$B$53,0)),"⚠ לא בהגדרות"))</f>
        <v/>
      </c>
      <c r="D291" s="56"/>
      <c r="E291" s="58"/>
      <c r="F291" s="57" t="str">
        <f aca="false">IF(A291="","",INDEX(הגדרות!$H$16:$H$27,MONTH(A291)))</f>
        <v/>
      </c>
    </row>
    <row r="292" customFormat="false" ht="15" hidden="false" customHeight="false" outlineLevel="0" collapsed="false">
      <c r="A292" s="50"/>
      <c r="B292" s="51"/>
      <c r="C292" s="52" t="str">
        <f aca="false">IF(B292="","",IFERROR(INDEX(הגדרות!$A$8:$A$53,MATCH(B292,הגדרות!$B$8:$B$53,0)),"⚠ לא בהגדרות"))</f>
        <v/>
      </c>
      <c r="D292" s="51"/>
      <c r="E292" s="53"/>
      <c r="F292" s="52" t="str">
        <f aca="false">IF(A292="","",INDEX(הגדרות!$H$16:$H$27,MONTH(A292)))</f>
        <v/>
      </c>
    </row>
    <row r="293" customFormat="false" ht="15" hidden="false" customHeight="false" outlineLevel="0" collapsed="false">
      <c r="A293" s="55"/>
      <c r="B293" s="56"/>
      <c r="C293" s="57" t="str">
        <f aca="false">IF(B293="","",IFERROR(INDEX(הגדרות!$A$8:$A$53,MATCH(B293,הגדרות!$B$8:$B$53,0)),"⚠ לא בהגדרות"))</f>
        <v/>
      </c>
      <c r="D293" s="56"/>
      <c r="E293" s="58"/>
      <c r="F293" s="57" t="str">
        <f aca="false">IF(A293="","",INDEX(הגדרות!$H$16:$H$27,MONTH(A293)))</f>
        <v/>
      </c>
    </row>
    <row r="294" customFormat="false" ht="15" hidden="false" customHeight="false" outlineLevel="0" collapsed="false">
      <c r="A294" s="50"/>
      <c r="B294" s="51"/>
      <c r="C294" s="52" t="str">
        <f aca="false">IF(B294="","",IFERROR(INDEX(הגדרות!$A$8:$A$53,MATCH(B294,הגדרות!$B$8:$B$53,0)),"⚠ לא בהגדרות"))</f>
        <v/>
      </c>
      <c r="D294" s="51"/>
      <c r="E294" s="53"/>
      <c r="F294" s="52" t="str">
        <f aca="false">IF(A294="","",INDEX(הגדרות!$H$16:$H$27,MONTH(A294)))</f>
        <v/>
      </c>
    </row>
    <row r="295" customFormat="false" ht="15" hidden="false" customHeight="false" outlineLevel="0" collapsed="false">
      <c r="A295" s="55"/>
      <c r="B295" s="56"/>
      <c r="C295" s="57" t="str">
        <f aca="false">IF(B295="","",IFERROR(INDEX(הגדרות!$A$8:$A$53,MATCH(B295,הגדרות!$B$8:$B$53,0)),"⚠ לא בהגדרות"))</f>
        <v/>
      </c>
      <c r="D295" s="56"/>
      <c r="E295" s="58"/>
      <c r="F295" s="57" t="str">
        <f aca="false">IF(A295="","",INDEX(הגדרות!$H$16:$H$27,MONTH(A295)))</f>
        <v/>
      </c>
    </row>
    <row r="296" customFormat="false" ht="15" hidden="false" customHeight="false" outlineLevel="0" collapsed="false">
      <c r="A296" s="50"/>
      <c r="B296" s="51"/>
      <c r="C296" s="52" t="str">
        <f aca="false">IF(B296="","",IFERROR(INDEX(הגדרות!$A$8:$A$53,MATCH(B296,הגדרות!$B$8:$B$53,0)),"⚠ לא בהגדרות"))</f>
        <v/>
      </c>
      <c r="D296" s="51"/>
      <c r="E296" s="53"/>
      <c r="F296" s="52" t="str">
        <f aca="false">IF(A296="","",INDEX(הגדרות!$H$16:$H$27,MONTH(A296)))</f>
        <v/>
      </c>
    </row>
    <row r="297" customFormat="false" ht="15" hidden="false" customHeight="false" outlineLevel="0" collapsed="false">
      <c r="A297" s="55"/>
      <c r="B297" s="56"/>
      <c r="C297" s="57" t="str">
        <f aca="false">IF(B297="","",IFERROR(INDEX(הגדרות!$A$8:$A$53,MATCH(B297,הגדרות!$B$8:$B$53,0)),"⚠ לא בהגדרות"))</f>
        <v/>
      </c>
      <c r="D297" s="56"/>
      <c r="E297" s="58"/>
      <c r="F297" s="57" t="str">
        <f aca="false">IF(A297="","",INDEX(הגדרות!$H$16:$H$27,MONTH(A297)))</f>
        <v/>
      </c>
    </row>
    <row r="298" customFormat="false" ht="15" hidden="false" customHeight="false" outlineLevel="0" collapsed="false">
      <c r="A298" s="50"/>
      <c r="B298" s="51"/>
      <c r="C298" s="52" t="str">
        <f aca="false">IF(B298="","",IFERROR(INDEX(הגדרות!$A$8:$A$53,MATCH(B298,הגדרות!$B$8:$B$53,0)),"⚠ לא בהגדרות"))</f>
        <v/>
      </c>
      <c r="D298" s="51"/>
      <c r="E298" s="53"/>
      <c r="F298" s="52" t="str">
        <f aca="false">IF(A298="","",INDEX(הגדרות!$H$16:$H$27,MONTH(A298)))</f>
        <v/>
      </c>
    </row>
    <row r="299" customFormat="false" ht="15" hidden="false" customHeight="false" outlineLevel="0" collapsed="false">
      <c r="A299" s="55"/>
      <c r="B299" s="56"/>
      <c r="C299" s="57" t="str">
        <f aca="false">IF(B299="","",IFERROR(INDEX(הגדרות!$A$8:$A$53,MATCH(B299,הגדרות!$B$8:$B$53,0)),"⚠ לא בהגדרות"))</f>
        <v/>
      </c>
      <c r="D299" s="56"/>
      <c r="E299" s="58"/>
      <c r="F299" s="57" t="str">
        <f aca="false">IF(A299="","",INDEX(הגדרות!$H$16:$H$27,MONTH(A299)))</f>
        <v/>
      </c>
    </row>
    <row r="300" customFormat="false" ht="15" hidden="false" customHeight="false" outlineLevel="0" collapsed="false">
      <c r="A300" s="50"/>
      <c r="B300" s="51"/>
      <c r="C300" s="52" t="str">
        <f aca="false">IF(B300="","",IFERROR(INDEX(הגדרות!$A$8:$A$53,MATCH(B300,הגדרות!$B$8:$B$53,0)),"⚠ לא בהגדרות"))</f>
        <v/>
      </c>
      <c r="D300" s="51"/>
      <c r="E300" s="53"/>
      <c r="F300" s="52" t="str">
        <f aca="false">IF(A300="","",INDEX(הגדרות!$H$16:$H$27,MONTH(A300)))</f>
        <v/>
      </c>
    </row>
    <row r="301" customFormat="false" ht="15" hidden="false" customHeight="false" outlineLevel="0" collapsed="false">
      <c r="A301" s="55"/>
      <c r="B301" s="56"/>
      <c r="C301" s="57" t="str">
        <f aca="false">IF(B301="","",IFERROR(INDEX(הגדרות!$A$8:$A$53,MATCH(B301,הגדרות!$B$8:$B$53,0)),"⚠ לא בהגדרות"))</f>
        <v/>
      </c>
      <c r="D301" s="56"/>
      <c r="E301" s="58"/>
      <c r="F301" s="57" t="str">
        <f aca="false">IF(A301="","",INDEX(הגדרות!$H$16:$H$27,MONTH(A301)))</f>
        <v/>
      </c>
    </row>
    <row r="302" customFormat="false" ht="15" hidden="false" customHeight="false" outlineLevel="0" collapsed="false">
      <c r="A302" s="50"/>
      <c r="B302" s="51"/>
      <c r="C302" s="52" t="str">
        <f aca="false">IF(B302="","",IFERROR(INDEX(הגדרות!$A$8:$A$53,MATCH(B302,הגדרות!$B$8:$B$53,0)),"⚠ לא בהגדרות"))</f>
        <v/>
      </c>
      <c r="D302" s="51"/>
      <c r="E302" s="53"/>
      <c r="F302" s="52" t="str">
        <f aca="false">IF(A302="","",INDEX(הגדרות!$H$16:$H$27,MONTH(A302)))</f>
        <v/>
      </c>
    </row>
    <row r="303" customFormat="false" ht="15" hidden="false" customHeight="false" outlineLevel="0" collapsed="false">
      <c r="A303" s="55"/>
      <c r="B303" s="56"/>
      <c r="C303" s="57" t="str">
        <f aca="false">IF(B303="","",IFERROR(INDEX(הגדרות!$A$8:$A$53,MATCH(B303,הגדרות!$B$8:$B$53,0)),"⚠ לא בהגדרות"))</f>
        <v/>
      </c>
      <c r="D303" s="56"/>
      <c r="E303" s="58"/>
      <c r="F303" s="57" t="str">
        <f aca="false">IF(A303="","",INDEX(הגדרות!$H$16:$H$27,MONTH(A303)))</f>
        <v/>
      </c>
    </row>
    <row r="304" customFormat="false" ht="15" hidden="false" customHeight="false" outlineLevel="0" collapsed="false">
      <c r="A304" s="50"/>
      <c r="B304" s="51"/>
      <c r="C304" s="52" t="str">
        <f aca="false">IF(B304="","",IFERROR(INDEX(הגדרות!$A$8:$A$53,MATCH(B304,הגדרות!$B$8:$B$53,0)),"⚠ לא בהגדרות"))</f>
        <v/>
      </c>
      <c r="D304" s="51"/>
      <c r="E304" s="53"/>
      <c r="F304" s="52" t="str">
        <f aca="false">IF(A304="","",INDEX(הגדרות!$H$16:$H$27,MONTH(A304)))</f>
        <v/>
      </c>
    </row>
    <row r="305" customFormat="false" ht="15" hidden="false" customHeight="false" outlineLevel="0" collapsed="false">
      <c r="A305" s="55"/>
      <c r="B305" s="56"/>
      <c r="C305" s="57" t="str">
        <f aca="false">IF(B305="","",IFERROR(INDEX(הגדרות!$A$8:$A$53,MATCH(B305,הגדרות!$B$8:$B$53,0)),"⚠ לא בהגדרות"))</f>
        <v/>
      </c>
      <c r="D305" s="56"/>
      <c r="E305" s="58"/>
      <c r="F305" s="57" t="str">
        <f aca="false">IF(A305="","",INDEX(הגדרות!$H$16:$H$27,MONTH(A305)))</f>
        <v/>
      </c>
    </row>
    <row r="306" customFormat="false" ht="15" hidden="false" customHeight="false" outlineLevel="0" collapsed="false">
      <c r="A306" s="50"/>
      <c r="B306" s="51"/>
      <c r="C306" s="52" t="str">
        <f aca="false">IF(B306="","",IFERROR(INDEX(הגדרות!$A$8:$A$53,MATCH(B306,הגדרות!$B$8:$B$53,0)),"⚠ לא בהגדרות"))</f>
        <v/>
      </c>
      <c r="D306" s="51"/>
      <c r="E306" s="53"/>
      <c r="F306" s="52" t="str">
        <f aca="false">IF(A306="","",INDEX(הגדרות!$H$16:$H$27,MONTH(A306)))</f>
        <v/>
      </c>
    </row>
    <row r="307" customFormat="false" ht="15" hidden="false" customHeight="false" outlineLevel="0" collapsed="false">
      <c r="A307" s="55"/>
      <c r="B307" s="56"/>
      <c r="C307" s="57" t="str">
        <f aca="false">IF(B307="","",IFERROR(INDEX(הגדרות!$A$8:$A$53,MATCH(B307,הגדרות!$B$8:$B$53,0)),"⚠ לא בהגדרות"))</f>
        <v/>
      </c>
      <c r="D307" s="56"/>
      <c r="E307" s="58"/>
      <c r="F307" s="57" t="str">
        <f aca="false">IF(A307="","",INDEX(הגדרות!$H$16:$H$27,MONTH(A307)))</f>
        <v/>
      </c>
    </row>
    <row r="308" customFormat="false" ht="15" hidden="false" customHeight="false" outlineLevel="0" collapsed="false">
      <c r="A308" s="50"/>
      <c r="B308" s="51"/>
      <c r="C308" s="52" t="str">
        <f aca="false">IF(B308="","",IFERROR(INDEX(הגדרות!$A$8:$A$53,MATCH(B308,הגדרות!$B$8:$B$53,0)),"⚠ לא בהגדרות"))</f>
        <v/>
      </c>
      <c r="D308" s="51"/>
      <c r="E308" s="53"/>
      <c r="F308" s="52" t="str">
        <f aca="false">IF(A308="","",INDEX(הגדרות!$H$16:$H$27,MONTH(A308)))</f>
        <v/>
      </c>
    </row>
    <row r="309" customFormat="false" ht="15" hidden="false" customHeight="false" outlineLevel="0" collapsed="false">
      <c r="A309" s="55"/>
      <c r="B309" s="56"/>
      <c r="C309" s="57" t="str">
        <f aca="false">IF(B309="","",IFERROR(INDEX(הגדרות!$A$8:$A$53,MATCH(B309,הגדרות!$B$8:$B$53,0)),"⚠ לא בהגדרות"))</f>
        <v/>
      </c>
      <c r="D309" s="56"/>
      <c r="E309" s="58"/>
      <c r="F309" s="57" t="str">
        <f aca="false">IF(A309="","",INDEX(הגדרות!$H$16:$H$27,MONTH(A309)))</f>
        <v/>
      </c>
    </row>
    <row r="310" customFormat="false" ht="15" hidden="false" customHeight="false" outlineLevel="0" collapsed="false">
      <c r="A310" s="50"/>
      <c r="B310" s="51"/>
      <c r="C310" s="52" t="str">
        <f aca="false">IF(B310="","",IFERROR(INDEX(הגדרות!$A$8:$A$53,MATCH(B310,הגדרות!$B$8:$B$53,0)),"⚠ לא בהגדרות"))</f>
        <v/>
      </c>
      <c r="D310" s="51"/>
      <c r="E310" s="53"/>
      <c r="F310" s="52" t="str">
        <f aca="false">IF(A310="","",INDEX(הגדרות!$H$16:$H$27,MONTH(A310)))</f>
        <v/>
      </c>
    </row>
    <row r="311" customFormat="false" ht="15" hidden="false" customHeight="false" outlineLevel="0" collapsed="false">
      <c r="A311" s="55"/>
      <c r="B311" s="56"/>
      <c r="C311" s="57" t="str">
        <f aca="false">IF(B311="","",IFERROR(INDEX(הגדרות!$A$8:$A$53,MATCH(B311,הגדרות!$B$8:$B$53,0)),"⚠ לא בהגדרות"))</f>
        <v/>
      </c>
      <c r="D311" s="56"/>
      <c r="E311" s="58"/>
      <c r="F311" s="57" t="str">
        <f aca="false">IF(A311="","",INDEX(הגדרות!$H$16:$H$27,MONTH(A311)))</f>
        <v/>
      </c>
    </row>
    <row r="312" customFormat="false" ht="15" hidden="false" customHeight="false" outlineLevel="0" collapsed="false">
      <c r="A312" s="50"/>
      <c r="B312" s="51"/>
      <c r="C312" s="52" t="str">
        <f aca="false">IF(B312="","",IFERROR(INDEX(הגדרות!$A$8:$A$53,MATCH(B312,הגדרות!$B$8:$B$53,0)),"⚠ לא בהגדרות"))</f>
        <v/>
      </c>
      <c r="D312" s="51"/>
      <c r="E312" s="53"/>
      <c r="F312" s="52" t="str">
        <f aca="false">IF(A312="","",INDEX(הגדרות!$H$16:$H$27,MONTH(A312)))</f>
        <v/>
      </c>
    </row>
    <row r="313" customFormat="false" ht="15" hidden="false" customHeight="false" outlineLevel="0" collapsed="false">
      <c r="A313" s="55"/>
      <c r="B313" s="56"/>
      <c r="C313" s="57" t="str">
        <f aca="false">IF(B313="","",IFERROR(INDEX(הגדרות!$A$8:$A$53,MATCH(B313,הגדרות!$B$8:$B$53,0)),"⚠ לא בהגדרות"))</f>
        <v/>
      </c>
      <c r="D313" s="56"/>
      <c r="E313" s="58"/>
      <c r="F313" s="57" t="str">
        <f aca="false">IF(A313="","",INDEX(הגדרות!$H$16:$H$27,MONTH(A313)))</f>
        <v/>
      </c>
    </row>
    <row r="314" customFormat="false" ht="15" hidden="false" customHeight="false" outlineLevel="0" collapsed="false">
      <c r="A314" s="50"/>
      <c r="B314" s="51"/>
      <c r="C314" s="52" t="str">
        <f aca="false">IF(B314="","",IFERROR(INDEX(הגדרות!$A$8:$A$53,MATCH(B314,הגדרות!$B$8:$B$53,0)),"⚠ לא בהגדרות"))</f>
        <v/>
      </c>
      <c r="D314" s="51"/>
      <c r="E314" s="53"/>
      <c r="F314" s="52" t="str">
        <f aca="false">IF(A314="","",INDEX(הגדרות!$H$16:$H$27,MONTH(A314)))</f>
        <v/>
      </c>
    </row>
    <row r="315" customFormat="false" ht="15" hidden="false" customHeight="false" outlineLevel="0" collapsed="false">
      <c r="A315" s="55"/>
      <c r="B315" s="56"/>
      <c r="C315" s="57" t="str">
        <f aca="false">IF(B315="","",IFERROR(INDEX(הגדרות!$A$8:$A$53,MATCH(B315,הגדרות!$B$8:$B$53,0)),"⚠ לא בהגדרות"))</f>
        <v/>
      </c>
      <c r="D315" s="56"/>
      <c r="E315" s="58"/>
      <c r="F315" s="57" t="str">
        <f aca="false">IF(A315="","",INDEX(הגדרות!$H$16:$H$27,MONTH(A315)))</f>
        <v/>
      </c>
    </row>
    <row r="316" customFormat="false" ht="15" hidden="false" customHeight="false" outlineLevel="0" collapsed="false">
      <c r="A316" s="50"/>
      <c r="B316" s="51"/>
      <c r="C316" s="52" t="str">
        <f aca="false">IF(B316="","",IFERROR(INDEX(הגדרות!$A$8:$A$53,MATCH(B316,הגדרות!$B$8:$B$53,0)),"⚠ לא בהגדרות"))</f>
        <v/>
      </c>
      <c r="D316" s="51"/>
      <c r="E316" s="53"/>
      <c r="F316" s="52" t="str">
        <f aca="false">IF(A316="","",INDEX(הגדרות!$H$16:$H$27,MONTH(A316)))</f>
        <v/>
      </c>
    </row>
    <row r="317" customFormat="false" ht="15" hidden="false" customHeight="false" outlineLevel="0" collapsed="false">
      <c r="A317" s="55"/>
      <c r="B317" s="56"/>
      <c r="C317" s="57" t="str">
        <f aca="false">IF(B317="","",IFERROR(INDEX(הגדרות!$A$8:$A$53,MATCH(B317,הגדרות!$B$8:$B$53,0)),"⚠ לא בהגדרות"))</f>
        <v/>
      </c>
      <c r="D317" s="56"/>
      <c r="E317" s="58"/>
      <c r="F317" s="57" t="str">
        <f aca="false">IF(A317="","",INDEX(הגדרות!$H$16:$H$27,MONTH(A317)))</f>
        <v/>
      </c>
    </row>
    <row r="318" customFormat="false" ht="15" hidden="false" customHeight="false" outlineLevel="0" collapsed="false">
      <c r="A318" s="50"/>
      <c r="B318" s="51"/>
      <c r="C318" s="52" t="str">
        <f aca="false">IF(B318="","",IFERROR(INDEX(הגדרות!$A$8:$A$53,MATCH(B318,הגדרות!$B$8:$B$53,0)),"⚠ לא בהגדרות"))</f>
        <v/>
      </c>
      <c r="D318" s="51"/>
      <c r="E318" s="53"/>
      <c r="F318" s="52" t="str">
        <f aca="false">IF(A318="","",INDEX(הגדרות!$H$16:$H$27,MONTH(A318)))</f>
        <v/>
      </c>
    </row>
    <row r="319" customFormat="false" ht="15" hidden="false" customHeight="false" outlineLevel="0" collapsed="false">
      <c r="A319" s="55"/>
      <c r="B319" s="56"/>
      <c r="C319" s="57" t="str">
        <f aca="false">IF(B319="","",IFERROR(INDEX(הגדרות!$A$8:$A$53,MATCH(B319,הגדרות!$B$8:$B$53,0)),"⚠ לא בהגדרות"))</f>
        <v/>
      </c>
      <c r="D319" s="56"/>
      <c r="E319" s="58"/>
      <c r="F319" s="57" t="str">
        <f aca="false">IF(A319="","",INDEX(הגדרות!$H$16:$H$27,MONTH(A319)))</f>
        <v/>
      </c>
    </row>
    <row r="320" customFormat="false" ht="15" hidden="false" customHeight="false" outlineLevel="0" collapsed="false">
      <c r="A320" s="50"/>
      <c r="B320" s="51"/>
      <c r="C320" s="52" t="str">
        <f aca="false">IF(B320="","",IFERROR(INDEX(הגדרות!$A$8:$A$53,MATCH(B320,הגדרות!$B$8:$B$53,0)),"⚠ לא בהגדרות"))</f>
        <v/>
      </c>
      <c r="D320" s="51"/>
      <c r="E320" s="53"/>
      <c r="F320" s="52" t="str">
        <f aca="false">IF(A320="","",INDEX(הגדרות!$H$16:$H$27,MONTH(A320)))</f>
        <v/>
      </c>
    </row>
    <row r="321" customFormat="false" ht="15" hidden="false" customHeight="false" outlineLevel="0" collapsed="false">
      <c r="A321" s="55"/>
      <c r="B321" s="56"/>
      <c r="C321" s="57" t="str">
        <f aca="false">IF(B321="","",IFERROR(INDEX(הגדרות!$A$8:$A$53,MATCH(B321,הגדרות!$B$8:$B$53,0)),"⚠ לא בהגדרות"))</f>
        <v/>
      </c>
      <c r="D321" s="56"/>
      <c r="E321" s="58"/>
      <c r="F321" s="57" t="str">
        <f aca="false">IF(A321="","",INDEX(הגדרות!$H$16:$H$27,MONTH(A321)))</f>
        <v/>
      </c>
    </row>
    <row r="322" customFormat="false" ht="15" hidden="false" customHeight="false" outlineLevel="0" collapsed="false">
      <c r="A322" s="50"/>
      <c r="B322" s="51"/>
      <c r="C322" s="52" t="str">
        <f aca="false">IF(B322="","",IFERROR(INDEX(הגדרות!$A$8:$A$53,MATCH(B322,הגדרות!$B$8:$B$53,0)),"⚠ לא בהגדרות"))</f>
        <v/>
      </c>
      <c r="D322" s="51"/>
      <c r="E322" s="53"/>
      <c r="F322" s="52" t="str">
        <f aca="false">IF(A322="","",INDEX(הגדרות!$H$16:$H$27,MONTH(A322)))</f>
        <v/>
      </c>
    </row>
    <row r="323" customFormat="false" ht="15" hidden="false" customHeight="false" outlineLevel="0" collapsed="false">
      <c r="A323" s="55"/>
      <c r="B323" s="56"/>
      <c r="C323" s="57" t="str">
        <f aca="false">IF(B323="","",IFERROR(INDEX(הגדרות!$A$8:$A$53,MATCH(B323,הגדרות!$B$8:$B$53,0)),"⚠ לא בהגדרות"))</f>
        <v/>
      </c>
      <c r="D323" s="56"/>
      <c r="E323" s="58"/>
      <c r="F323" s="57" t="str">
        <f aca="false">IF(A323="","",INDEX(הגדרות!$H$16:$H$27,MONTH(A323)))</f>
        <v/>
      </c>
    </row>
    <row r="324" customFormat="false" ht="15" hidden="false" customHeight="false" outlineLevel="0" collapsed="false">
      <c r="A324" s="50"/>
      <c r="B324" s="51"/>
      <c r="C324" s="52" t="str">
        <f aca="false">IF(B324="","",IFERROR(INDEX(הגדרות!$A$8:$A$53,MATCH(B324,הגדרות!$B$8:$B$53,0)),"⚠ לא בהגדרות"))</f>
        <v/>
      </c>
      <c r="D324" s="51"/>
      <c r="E324" s="53"/>
      <c r="F324" s="52" t="str">
        <f aca="false">IF(A324="","",INDEX(הגדרות!$H$16:$H$27,MONTH(A324)))</f>
        <v/>
      </c>
    </row>
    <row r="325" customFormat="false" ht="15" hidden="false" customHeight="false" outlineLevel="0" collapsed="false">
      <c r="A325" s="55"/>
      <c r="B325" s="56"/>
      <c r="C325" s="57" t="str">
        <f aca="false">IF(B325="","",IFERROR(INDEX(הגדרות!$A$8:$A$53,MATCH(B325,הגדרות!$B$8:$B$53,0)),"⚠ לא בהגדרות"))</f>
        <v/>
      </c>
      <c r="D325" s="56"/>
      <c r="E325" s="58"/>
      <c r="F325" s="57" t="str">
        <f aca="false">IF(A325="","",INDEX(הגדרות!$H$16:$H$27,MONTH(A325)))</f>
        <v/>
      </c>
    </row>
    <row r="326" customFormat="false" ht="15" hidden="false" customHeight="false" outlineLevel="0" collapsed="false">
      <c r="A326" s="50"/>
      <c r="B326" s="51"/>
      <c r="C326" s="52" t="str">
        <f aca="false">IF(B326="","",IFERROR(INDEX(הגדרות!$A$8:$A$53,MATCH(B326,הגדרות!$B$8:$B$53,0)),"⚠ לא בהגדרות"))</f>
        <v/>
      </c>
      <c r="D326" s="51"/>
      <c r="E326" s="53"/>
      <c r="F326" s="52" t="str">
        <f aca="false">IF(A326="","",INDEX(הגדרות!$H$16:$H$27,MONTH(A326)))</f>
        <v/>
      </c>
    </row>
    <row r="327" customFormat="false" ht="15" hidden="false" customHeight="false" outlineLevel="0" collapsed="false">
      <c r="A327" s="55"/>
      <c r="B327" s="56"/>
      <c r="C327" s="57" t="str">
        <f aca="false">IF(B327="","",IFERROR(INDEX(הגדרות!$A$8:$A$53,MATCH(B327,הגדרות!$B$8:$B$53,0)),"⚠ לא בהגדרות"))</f>
        <v/>
      </c>
      <c r="D327" s="56"/>
      <c r="E327" s="58"/>
      <c r="F327" s="57" t="str">
        <f aca="false">IF(A327="","",INDEX(הגדרות!$H$16:$H$27,MONTH(A327)))</f>
        <v/>
      </c>
    </row>
    <row r="328" customFormat="false" ht="15" hidden="false" customHeight="false" outlineLevel="0" collapsed="false">
      <c r="A328" s="50"/>
      <c r="B328" s="51"/>
      <c r="C328" s="52" t="str">
        <f aca="false">IF(B328="","",IFERROR(INDEX(הגדרות!$A$8:$A$53,MATCH(B328,הגדרות!$B$8:$B$53,0)),"⚠ לא בהגדרות"))</f>
        <v/>
      </c>
      <c r="D328" s="51"/>
      <c r="E328" s="53"/>
      <c r="F328" s="52" t="str">
        <f aca="false">IF(A328="","",INDEX(הגדרות!$H$16:$H$27,MONTH(A328)))</f>
        <v/>
      </c>
    </row>
    <row r="329" customFormat="false" ht="15" hidden="false" customHeight="false" outlineLevel="0" collapsed="false">
      <c r="A329" s="55"/>
      <c r="B329" s="56"/>
      <c r="C329" s="57" t="str">
        <f aca="false">IF(B329="","",IFERROR(INDEX(הגדרות!$A$8:$A$53,MATCH(B329,הגדרות!$B$8:$B$53,0)),"⚠ לא בהגדרות"))</f>
        <v/>
      </c>
      <c r="D329" s="56"/>
      <c r="E329" s="58"/>
      <c r="F329" s="57" t="str">
        <f aca="false">IF(A329="","",INDEX(הגדרות!$H$16:$H$27,MONTH(A329)))</f>
        <v/>
      </c>
    </row>
    <row r="330" customFormat="false" ht="15" hidden="false" customHeight="false" outlineLevel="0" collapsed="false">
      <c r="A330" s="50"/>
      <c r="B330" s="51"/>
      <c r="C330" s="52" t="str">
        <f aca="false">IF(B330="","",IFERROR(INDEX(הגדרות!$A$8:$A$53,MATCH(B330,הגדרות!$B$8:$B$53,0)),"⚠ לא בהגדרות"))</f>
        <v/>
      </c>
      <c r="D330" s="51"/>
      <c r="E330" s="53"/>
      <c r="F330" s="52" t="str">
        <f aca="false">IF(A330="","",INDEX(הגדרות!$H$16:$H$27,MONTH(A330)))</f>
        <v/>
      </c>
    </row>
    <row r="331" customFormat="false" ht="15" hidden="false" customHeight="false" outlineLevel="0" collapsed="false">
      <c r="A331" s="55"/>
      <c r="B331" s="56"/>
      <c r="C331" s="57" t="str">
        <f aca="false">IF(B331="","",IFERROR(INDEX(הגדרות!$A$8:$A$53,MATCH(B331,הגדרות!$B$8:$B$53,0)),"⚠ לא בהגדרות"))</f>
        <v/>
      </c>
      <c r="D331" s="56"/>
      <c r="E331" s="58"/>
      <c r="F331" s="57" t="str">
        <f aca="false">IF(A331="","",INDEX(הגדרות!$H$16:$H$27,MONTH(A331)))</f>
        <v/>
      </c>
    </row>
    <row r="332" customFormat="false" ht="15" hidden="false" customHeight="false" outlineLevel="0" collapsed="false">
      <c r="A332" s="50"/>
      <c r="B332" s="51"/>
      <c r="C332" s="52" t="str">
        <f aca="false">IF(B332="","",IFERROR(INDEX(הגדרות!$A$8:$A$53,MATCH(B332,הגדרות!$B$8:$B$53,0)),"⚠ לא בהגדרות"))</f>
        <v/>
      </c>
      <c r="D332" s="51"/>
      <c r="E332" s="53"/>
      <c r="F332" s="52" t="str">
        <f aca="false">IF(A332="","",INDEX(הגדרות!$H$16:$H$27,MONTH(A332)))</f>
        <v/>
      </c>
    </row>
    <row r="333" customFormat="false" ht="15" hidden="false" customHeight="false" outlineLevel="0" collapsed="false">
      <c r="A333" s="55"/>
      <c r="B333" s="56"/>
      <c r="C333" s="57" t="str">
        <f aca="false">IF(B333="","",IFERROR(INDEX(הגדרות!$A$8:$A$53,MATCH(B333,הגדרות!$B$8:$B$53,0)),"⚠ לא בהגדרות"))</f>
        <v/>
      </c>
      <c r="D333" s="56"/>
      <c r="E333" s="58"/>
      <c r="F333" s="57" t="str">
        <f aca="false">IF(A333="","",INDEX(הגדרות!$H$16:$H$27,MONTH(A333)))</f>
        <v/>
      </c>
    </row>
    <row r="334" customFormat="false" ht="15" hidden="false" customHeight="false" outlineLevel="0" collapsed="false">
      <c r="A334" s="50"/>
      <c r="B334" s="51"/>
      <c r="C334" s="52" t="str">
        <f aca="false">IF(B334="","",IFERROR(INDEX(הגדרות!$A$8:$A$53,MATCH(B334,הגדרות!$B$8:$B$53,0)),"⚠ לא בהגדרות"))</f>
        <v/>
      </c>
      <c r="D334" s="51"/>
      <c r="E334" s="53"/>
      <c r="F334" s="52" t="str">
        <f aca="false">IF(A334="","",INDEX(הגדרות!$H$16:$H$27,MONTH(A334)))</f>
        <v/>
      </c>
    </row>
    <row r="335" customFormat="false" ht="15" hidden="false" customHeight="false" outlineLevel="0" collapsed="false">
      <c r="A335" s="55"/>
      <c r="B335" s="56"/>
      <c r="C335" s="57" t="str">
        <f aca="false">IF(B335="","",IFERROR(INDEX(הגדרות!$A$8:$A$53,MATCH(B335,הגדרות!$B$8:$B$53,0)),"⚠ לא בהגדרות"))</f>
        <v/>
      </c>
      <c r="D335" s="56"/>
      <c r="E335" s="58"/>
      <c r="F335" s="57" t="str">
        <f aca="false">IF(A335="","",INDEX(הגדרות!$H$16:$H$27,MONTH(A335)))</f>
        <v/>
      </c>
    </row>
    <row r="336" customFormat="false" ht="15" hidden="false" customHeight="false" outlineLevel="0" collapsed="false">
      <c r="A336" s="50"/>
      <c r="B336" s="51"/>
      <c r="C336" s="52" t="str">
        <f aca="false">IF(B336="","",IFERROR(INDEX(הגדרות!$A$8:$A$53,MATCH(B336,הגדרות!$B$8:$B$53,0)),"⚠ לא בהגדרות"))</f>
        <v/>
      </c>
      <c r="D336" s="51"/>
      <c r="E336" s="53"/>
      <c r="F336" s="52" t="str">
        <f aca="false">IF(A336="","",INDEX(הגדרות!$H$16:$H$27,MONTH(A336)))</f>
        <v/>
      </c>
    </row>
    <row r="337" customFormat="false" ht="15" hidden="false" customHeight="false" outlineLevel="0" collapsed="false">
      <c r="A337" s="55"/>
      <c r="B337" s="56"/>
      <c r="C337" s="57" t="str">
        <f aca="false">IF(B337="","",IFERROR(INDEX(הגדרות!$A$8:$A$53,MATCH(B337,הגדרות!$B$8:$B$53,0)),"⚠ לא בהגדרות"))</f>
        <v/>
      </c>
      <c r="D337" s="56"/>
      <c r="E337" s="58"/>
      <c r="F337" s="57" t="str">
        <f aca="false">IF(A337="","",INDEX(הגדרות!$H$16:$H$27,MONTH(A337)))</f>
        <v/>
      </c>
    </row>
    <row r="338" customFormat="false" ht="15" hidden="false" customHeight="false" outlineLevel="0" collapsed="false">
      <c r="A338" s="50"/>
      <c r="B338" s="51"/>
      <c r="C338" s="52" t="str">
        <f aca="false">IF(B338="","",IFERROR(INDEX(הגדרות!$A$8:$A$53,MATCH(B338,הגדרות!$B$8:$B$53,0)),"⚠ לא בהגדרות"))</f>
        <v/>
      </c>
      <c r="D338" s="51"/>
      <c r="E338" s="53"/>
      <c r="F338" s="52" t="str">
        <f aca="false">IF(A338="","",INDEX(הגדרות!$H$16:$H$27,MONTH(A338)))</f>
        <v/>
      </c>
    </row>
    <row r="339" customFormat="false" ht="15" hidden="false" customHeight="false" outlineLevel="0" collapsed="false">
      <c r="A339" s="55"/>
      <c r="B339" s="56"/>
      <c r="C339" s="57" t="str">
        <f aca="false">IF(B339="","",IFERROR(INDEX(הגדרות!$A$8:$A$53,MATCH(B339,הגדרות!$B$8:$B$53,0)),"⚠ לא בהגדרות"))</f>
        <v/>
      </c>
      <c r="D339" s="56"/>
      <c r="E339" s="58"/>
      <c r="F339" s="57" t="str">
        <f aca="false">IF(A339="","",INDEX(הגדרות!$H$16:$H$27,MONTH(A339)))</f>
        <v/>
      </c>
    </row>
    <row r="340" customFormat="false" ht="15" hidden="false" customHeight="false" outlineLevel="0" collapsed="false">
      <c r="A340" s="50"/>
      <c r="B340" s="51"/>
      <c r="C340" s="52" t="str">
        <f aca="false">IF(B340="","",IFERROR(INDEX(הגדרות!$A$8:$A$53,MATCH(B340,הגדרות!$B$8:$B$53,0)),"⚠ לא בהגדרות"))</f>
        <v/>
      </c>
      <c r="D340" s="51"/>
      <c r="E340" s="53"/>
      <c r="F340" s="52" t="str">
        <f aca="false">IF(A340="","",INDEX(הגדרות!$H$16:$H$27,MONTH(A340)))</f>
        <v/>
      </c>
    </row>
    <row r="341" customFormat="false" ht="15" hidden="false" customHeight="false" outlineLevel="0" collapsed="false">
      <c r="A341" s="55"/>
      <c r="B341" s="56"/>
      <c r="C341" s="57" t="str">
        <f aca="false">IF(B341="","",IFERROR(INDEX(הגדרות!$A$8:$A$53,MATCH(B341,הגדרות!$B$8:$B$53,0)),"⚠ לא בהגדרות"))</f>
        <v/>
      </c>
      <c r="D341" s="56"/>
      <c r="E341" s="58"/>
      <c r="F341" s="57" t="str">
        <f aca="false">IF(A341="","",INDEX(הגדרות!$H$16:$H$27,MONTH(A341)))</f>
        <v/>
      </c>
    </row>
    <row r="342" customFormat="false" ht="15" hidden="false" customHeight="false" outlineLevel="0" collapsed="false">
      <c r="A342" s="50"/>
      <c r="B342" s="51"/>
      <c r="C342" s="52" t="str">
        <f aca="false">IF(B342="","",IFERROR(INDEX(הגדרות!$A$8:$A$53,MATCH(B342,הגדרות!$B$8:$B$53,0)),"⚠ לא בהגדרות"))</f>
        <v/>
      </c>
      <c r="D342" s="51"/>
      <c r="E342" s="53"/>
      <c r="F342" s="52" t="str">
        <f aca="false">IF(A342="","",INDEX(הגדרות!$H$16:$H$27,MONTH(A342)))</f>
        <v/>
      </c>
    </row>
    <row r="343" customFormat="false" ht="15" hidden="false" customHeight="false" outlineLevel="0" collapsed="false">
      <c r="A343" s="55"/>
      <c r="B343" s="56"/>
      <c r="C343" s="57" t="str">
        <f aca="false">IF(B343="","",IFERROR(INDEX(הגדרות!$A$8:$A$53,MATCH(B343,הגדרות!$B$8:$B$53,0)),"⚠ לא בהגדרות"))</f>
        <v/>
      </c>
      <c r="D343" s="56"/>
      <c r="E343" s="58"/>
      <c r="F343" s="57" t="str">
        <f aca="false">IF(A343="","",INDEX(הגדרות!$H$16:$H$27,MONTH(A343)))</f>
        <v/>
      </c>
    </row>
    <row r="344" customFormat="false" ht="15" hidden="false" customHeight="false" outlineLevel="0" collapsed="false">
      <c r="A344" s="50"/>
      <c r="B344" s="51"/>
      <c r="C344" s="52" t="str">
        <f aca="false">IF(B344="","",IFERROR(INDEX(הגדרות!$A$8:$A$53,MATCH(B344,הגדרות!$B$8:$B$53,0)),"⚠ לא בהגדרות"))</f>
        <v/>
      </c>
      <c r="D344" s="51"/>
      <c r="E344" s="53"/>
      <c r="F344" s="52" t="str">
        <f aca="false">IF(A344="","",INDEX(הגדרות!$H$16:$H$27,MONTH(A344)))</f>
        <v/>
      </c>
    </row>
    <row r="345" customFormat="false" ht="15" hidden="false" customHeight="false" outlineLevel="0" collapsed="false">
      <c r="A345" s="55"/>
      <c r="B345" s="56"/>
      <c r="C345" s="57" t="str">
        <f aca="false">IF(B345="","",IFERROR(INDEX(הגדרות!$A$8:$A$53,MATCH(B345,הגדרות!$B$8:$B$53,0)),"⚠ לא בהגדרות"))</f>
        <v/>
      </c>
      <c r="D345" s="56"/>
      <c r="E345" s="58"/>
      <c r="F345" s="57" t="str">
        <f aca="false">IF(A345="","",INDEX(הגדרות!$H$16:$H$27,MONTH(A345)))</f>
        <v/>
      </c>
    </row>
    <row r="346" customFormat="false" ht="15" hidden="false" customHeight="false" outlineLevel="0" collapsed="false">
      <c r="A346" s="50"/>
      <c r="B346" s="51"/>
      <c r="C346" s="52" t="str">
        <f aca="false">IF(B346="","",IFERROR(INDEX(הגדרות!$A$8:$A$53,MATCH(B346,הגדרות!$B$8:$B$53,0)),"⚠ לא בהגדרות"))</f>
        <v/>
      </c>
      <c r="D346" s="51"/>
      <c r="E346" s="53"/>
      <c r="F346" s="52" t="str">
        <f aca="false">IF(A346="","",INDEX(הגדרות!$H$16:$H$27,MONTH(A346)))</f>
        <v/>
      </c>
    </row>
    <row r="347" customFormat="false" ht="15" hidden="false" customHeight="false" outlineLevel="0" collapsed="false">
      <c r="A347" s="55"/>
      <c r="B347" s="56"/>
      <c r="C347" s="57" t="str">
        <f aca="false">IF(B347="","",IFERROR(INDEX(הגדרות!$A$8:$A$53,MATCH(B347,הגדרות!$B$8:$B$53,0)),"⚠ לא בהגדרות"))</f>
        <v/>
      </c>
      <c r="D347" s="56"/>
      <c r="E347" s="58"/>
      <c r="F347" s="57" t="str">
        <f aca="false">IF(A347="","",INDEX(הגדרות!$H$16:$H$27,MONTH(A347)))</f>
        <v/>
      </c>
    </row>
    <row r="348" customFormat="false" ht="15" hidden="false" customHeight="false" outlineLevel="0" collapsed="false">
      <c r="A348" s="50"/>
      <c r="B348" s="51"/>
      <c r="C348" s="52" t="str">
        <f aca="false">IF(B348="","",IFERROR(INDEX(הגדרות!$A$8:$A$53,MATCH(B348,הגדרות!$B$8:$B$53,0)),"⚠ לא בהגדרות"))</f>
        <v/>
      </c>
      <c r="D348" s="51"/>
      <c r="E348" s="53"/>
      <c r="F348" s="52" t="str">
        <f aca="false">IF(A348="","",INDEX(הגדרות!$H$16:$H$27,MONTH(A348)))</f>
        <v/>
      </c>
    </row>
    <row r="349" customFormat="false" ht="15" hidden="false" customHeight="false" outlineLevel="0" collapsed="false">
      <c r="A349" s="55"/>
      <c r="B349" s="56"/>
      <c r="C349" s="57" t="str">
        <f aca="false">IF(B349="","",IFERROR(INDEX(הגדרות!$A$8:$A$53,MATCH(B349,הגדרות!$B$8:$B$53,0)),"⚠ לא בהגדרות"))</f>
        <v/>
      </c>
      <c r="D349" s="56"/>
      <c r="E349" s="58"/>
      <c r="F349" s="57" t="str">
        <f aca="false">IF(A349="","",INDEX(הגדרות!$H$16:$H$27,MONTH(A349)))</f>
        <v/>
      </c>
    </row>
    <row r="350" customFormat="false" ht="15" hidden="false" customHeight="false" outlineLevel="0" collapsed="false">
      <c r="A350" s="50"/>
      <c r="B350" s="51"/>
      <c r="C350" s="52" t="str">
        <f aca="false">IF(B350="","",IFERROR(INDEX(הגדרות!$A$8:$A$53,MATCH(B350,הגדרות!$B$8:$B$53,0)),"⚠ לא בהגדרות"))</f>
        <v/>
      </c>
      <c r="D350" s="51"/>
      <c r="E350" s="53"/>
      <c r="F350" s="52" t="str">
        <f aca="false">IF(A350="","",INDEX(הגדרות!$H$16:$H$27,MONTH(A350)))</f>
        <v/>
      </c>
    </row>
    <row r="351" customFormat="false" ht="15" hidden="false" customHeight="false" outlineLevel="0" collapsed="false">
      <c r="A351" s="55"/>
      <c r="B351" s="56"/>
      <c r="C351" s="57" t="str">
        <f aca="false">IF(B351="","",IFERROR(INDEX(הגדרות!$A$8:$A$53,MATCH(B351,הגדרות!$B$8:$B$53,0)),"⚠ לא בהגדרות"))</f>
        <v/>
      </c>
      <c r="D351" s="56"/>
      <c r="E351" s="58"/>
      <c r="F351" s="57" t="str">
        <f aca="false">IF(A351="","",INDEX(הגדרות!$H$16:$H$27,MONTH(A351)))</f>
        <v/>
      </c>
    </row>
    <row r="352" customFormat="false" ht="15" hidden="false" customHeight="false" outlineLevel="0" collapsed="false">
      <c r="A352" s="50"/>
      <c r="B352" s="51"/>
      <c r="C352" s="52" t="str">
        <f aca="false">IF(B352="","",IFERROR(INDEX(הגדרות!$A$8:$A$53,MATCH(B352,הגדרות!$B$8:$B$53,0)),"⚠ לא בהגדרות"))</f>
        <v/>
      </c>
      <c r="D352" s="51"/>
      <c r="E352" s="53"/>
      <c r="F352" s="52" t="str">
        <f aca="false">IF(A352="","",INDEX(הגדרות!$H$16:$H$27,MONTH(A352)))</f>
        <v/>
      </c>
    </row>
    <row r="353" customFormat="false" ht="15" hidden="false" customHeight="false" outlineLevel="0" collapsed="false">
      <c r="A353" s="55"/>
      <c r="B353" s="56"/>
      <c r="C353" s="57" t="str">
        <f aca="false">IF(B353="","",IFERROR(INDEX(הגדרות!$A$8:$A$53,MATCH(B353,הגדרות!$B$8:$B$53,0)),"⚠ לא בהגדרות"))</f>
        <v/>
      </c>
      <c r="D353" s="56"/>
      <c r="E353" s="58"/>
      <c r="F353" s="57" t="str">
        <f aca="false">IF(A353="","",INDEX(הגדרות!$H$16:$H$27,MONTH(A353)))</f>
        <v/>
      </c>
    </row>
    <row r="354" customFormat="false" ht="15" hidden="false" customHeight="false" outlineLevel="0" collapsed="false">
      <c r="A354" s="50"/>
      <c r="B354" s="51"/>
      <c r="C354" s="52" t="str">
        <f aca="false">IF(B354="","",IFERROR(INDEX(הגדרות!$A$8:$A$53,MATCH(B354,הגדרות!$B$8:$B$53,0)),"⚠ לא בהגדרות"))</f>
        <v/>
      </c>
      <c r="D354" s="51"/>
      <c r="E354" s="53"/>
      <c r="F354" s="52" t="str">
        <f aca="false">IF(A354="","",INDEX(הגדרות!$H$16:$H$27,MONTH(A354)))</f>
        <v/>
      </c>
    </row>
    <row r="355" customFormat="false" ht="15" hidden="false" customHeight="false" outlineLevel="0" collapsed="false">
      <c r="A355" s="55"/>
      <c r="B355" s="56"/>
      <c r="C355" s="57" t="str">
        <f aca="false">IF(B355="","",IFERROR(INDEX(הגדרות!$A$8:$A$53,MATCH(B355,הגדרות!$B$8:$B$53,0)),"⚠ לא בהגדרות"))</f>
        <v/>
      </c>
      <c r="D355" s="56"/>
      <c r="E355" s="58"/>
      <c r="F355" s="57" t="str">
        <f aca="false">IF(A355="","",INDEX(הגדרות!$H$16:$H$27,MONTH(A355)))</f>
        <v/>
      </c>
    </row>
    <row r="356" customFormat="false" ht="15" hidden="false" customHeight="false" outlineLevel="0" collapsed="false">
      <c r="A356" s="50"/>
      <c r="B356" s="51"/>
      <c r="C356" s="52" t="str">
        <f aca="false">IF(B356="","",IFERROR(INDEX(הגדרות!$A$8:$A$53,MATCH(B356,הגדרות!$B$8:$B$53,0)),"⚠ לא בהגדרות"))</f>
        <v/>
      </c>
      <c r="D356" s="51"/>
      <c r="E356" s="53"/>
      <c r="F356" s="52" t="str">
        <f aca="false">IF(A356="","",INDEX(הגדרות!$H$16:$H$27,MONTH(A356)))</f>
        <v/>
      </c>
    </row>
    <row r="357" customFormat="false" ht="15" hidden="false" customHeight="false" outlineLevel="0" collapsed="false">
      <c r="A357" s="55"/>
      <c r="B357" s="56"/>
      <c r="C357" s="57" t="str">
        <f aca="false">IF(B357="","",IFERROR(INDEX(הגדרות!$A$8:$A$53,MATCH(B357,הגדרות!$B$8:$B$53,0)),"⚠ לא בהגדרות"))</f>
        <v/>
      </c>
      <c r="D357" s="56"/>
      <c r="E357" s="58"/>
      <c r="F357" s="57" t="str">
        <f aca="false">IF(A357="","",INDEX(הגדרות!$H$16:$H$27,MONTH(A357)))</f>
        <v/>
      </c>
    </row>
    <row r="358" customFormat="false" ht="15" hidden="false" customHeight="false" outlineLevel="0" collapsed="false">
      <c r="A358" s="50"/>
      <c r="B358" s="51"/>
      <c r="C358" s="52" t="str">
        <f aca="false">IF(B358="","",IFERROR(INDEX(הגדרות!$A$8:$A$53,MATCH(B358,הגדרות!$B$8:$B$53,0)),"⚠ לא בהגדרות"))</f>
        <v/>
      </c>
      <c r="D358" s="51"/>
      <c r="E358" s="53"/>
      <c r="F358" s="52" t="str">
        <f aca="false">IF(A358="","",INDEX(הגדרות!$H$16:$H$27,MONTH(A358)))</f>
        <v/>
      </c>
    </row>
    <row r="359" customFormat="false" ht="15" hidden="false" customHeight="false" outlineLevel="0" collapsed="false">
      <c r="A359" s="55"/>
      <c r="B359" s="56"/>
      <c r="C359" s="57" t="str">
        <f aca="false">IF(B359="","",IFERROR(INDEX(הגדרות!$A$8:$A$53,MATCH(B359,הגדרות!$B$8:$B$53,0)),"⚠ לא בהגדרות"))</f>
        <v/>
      </c>
      <c r="D359" s="56"/>
      <c r="E359" s="58"/>
      <c r="F359" s="57" t="str">
        <f aca="false">IF(A359="","",INDEX(הגדרות!$H$16:$H$27,MONTH(A359)))</f>
        <v/>
      </c>
    </row>
    <row r="360" customFormat="false" ht="15" hidden="false" customHeight="false" outlineLevel="0" collapsed="false">
      <c r="A360" s="50"/>
      <c r="B360" s="51"/>
      <c r="C360" s="52" t="str">
        <f aca="false">IF(B360="","",IFERROR(INDEX(הגדרות!$A$8:$A$53,MATCH(B360,הגדרות!$B$8:$B$53,0)),"⚠ לא בהגדרות"))</f>
        <v/>
      </c>
      <c r="D360" s="51"/>
      <c r="E360" s="53"/>
      <c r="F360" s="52" t="str">
        <f aca="false">IF(A360="","",INDEX(הגדרות!$H$16:$H$27,MONTH(A360)))</f>
        <v/>
      </c>
    </row>
    <row r="361" customFormat="false" ht="15" hidden="false" customHeight="false" outlineLevel="0" collapsed="false">
      <c r="A361" s="55"/>
      <c r="B361" s="56"/>
      <c r="C361" s="57" t="str">
        <f aca="false">IF(B361="","",IFERROR(INDEX(הגדרות!$A$8:$A$53,MATCH(B361,הגדרות!$B$8:$B$53,0)),"⚠ לא בהגדרות"))</f>
        <v/>
      </c>
      <c r="D361" s="56"/>
      <c r="E361" s="58"/>
      <c r="F361" s="57" t="str">
        <f aca="false">IF(A361="","",INDEX(הגדרות!$H$16:$H$27,MONTH(A361)))</f>
        <v/>
      </c>
    </row>
    <row r="362" customFormat="false" ht="15" hidden="false" customHeight="false" outlineLevel="0" collapsed="false">
      <c r="A362" s="50"/>
      <c r="B362" s="51"/>
      <c r="C362" s="52" t="str">
        <f aca="false">IF(B362="","",IFERROR(INDEX(הגדרות!$A$8:$A$53,MATCH(B362,הגדרות!$B$8:$B$53,0)),"⚠ לא בהגדרות"))</f>
        <v/>
      </c>
      <c r="D362" s="51"/>
      <c r="E362" s="53"/>
      <c r="F362" s="52" t="str">
        <f aca="false">IF(A362="","",INDEX(הגדרות!$H$16:$H$27,MONTH(A362)))</f>
        <v/>
      </c>
    </row>
    <row r="363" customFormat="false" ht="15" hidden="false" customHeight="false" outlineLevel="0" collapsed="false">
      <c r="A363" s="55"/>
      <c r="B363" s="56"/>
      <c r="C363" s="57" t="str">
        <f aca="false">IF(B363="","",IFERROR(INDEX(הגדרות!$A$8:$A$53,MATCH(B363,הגדרות!$B$8:$B$53,0)),"⚠ לא בהגדרות"))</f>
        <v/>
      </c>
      <c r="D363" s="56"/>
      <c r="E363" s="58"/>
      <c r="F363" s="57" t="str">
        <f aca="false">IF(A363="","",INDEX(הגדרות!$H$16:$H$27,MONTH(A363)))</f>
        <v/>
      </c>
    </row>
    <row r="364" customFormat="false" ht="15" hidden="false" customHeight="false" outlineLevel="0" collapsed="false">
      <c r="A364" s="50"/>
      <c r="B364" s="51"/>
      <c r="C364" s="52" t="str">
        <f aca="false">IF(B364="","",IFERROR(INDEX(הגדרות!$A$8:$A$53,MATCH(B364,הגדרות!$B$8:$B$53,0)),"⚠ לא בהגדרות"))</f>
        <v/>
      </c>
      <c r="D364" s="51"/>
      <c r="E364" s="53"/>
      <c r="F364" s="52" t="str">
        <f aca="false">IF(A364="","",INDEX(הגדרות!$H$16:$H$27,MONTH(A364)))</f>
        <v/>
      </c>
    </row>
    <row r="365" customFormat="false" ht="15" hidden="false" customHeight="false" outlineLevel="0" collapsed="false">
      <c r="A365" s="55"/>
      <c r="B365" s="56"/>
      <c r="C365" s="57" t="str">
        <f aca="false">IF(B365="","",IFERROR(INDEX(הגדרות!$A$8:$A$53,MATCH(B365,הגדרות!$B$8:$B$53,0)),"⚠ לא בהגדרות"))</f>
        <v/>
      </c>
      <c r="D365" s="56"/>
      <c r="E365" s="58"/>
      <c r="F365" s="57" t="str">
        <f aca="false">IF(A365="","",INDEX(הגדרות!$H$16:$H$27,MONTH(A365)))</f>
        <v/>
      </c>
    </row>
    <row r="366" customFormat="false" ht="15" hidden="false" customHeight="false" outlineLevel="0" collapsed="false">
      <c r="A366" s="50"/>
      <c r="B366" s="51"/>
      <c r="C366" s="52" t="str">
        <f aca="false">IF(B366="","",IFERROR(INDEX(הגדרות!$A$8:$A$53,MATCH(B366,הגדרות!$B$8:$B$53,0)),"⚠ לא בהגדרות"))</f>
        <v/>
      </c>
      <c r="D366" s="51"/>
      <c r="E366" s="53"/>
      <c r="F366" s="52" t="str">
        <f aca="false">IF(A366="","",INDEX(הגדרות!$H$16:$H$27,MONTH(A366)))</f>
        <v/>
      </c>
    </row>
    <row r="367" customFormat="false" ht="15" hidden="false" customHeight="false" outlineLevel="0" collapsed="false">
      <c r="A367" s="55"/>
      <c r="B367" s="56"/>
      <c r="C367" s="57" t="str">
        <f aca="false">IF(B367="","",IFERROR(INDEX(הגדרות!$A$8:$A$53,MATCH(B367,הגדרות!$B$8:$B$53,0)),"⚠ לא בהגדרות"))</f>
        <v/>
      </c>
      <c r="D367" s="56"/>
      <c r="E367" s="58"/>
      <c r="F367" s="57" t="str">
        <f aca="false">IF(A367="","",INDEX(הגדרות!$H$16:$H$27,MONTH(A367)))</f>
        <v/>
      </c>
    </row>
    <row r="368" customFormat="false" ht="15" hidden="false" customHeight="false" outlineLevel="0" collapsed="false">
      <c r="A368" s="50"/>
      <c r="B368" s="51"/>
      <c r="C368" s="52" t="str">
        <f aca="false">IF(B368="","",IFERROR(INDEX(הגדרות!$A$8:$A$53,MATCH(B368,הגדרות!$B$8:$B$53,0)),"⚠ לא בהגדרות"))</f>
        <v/>
      </c>
      <c r="D368" s="51"/>
      <c r="E368" s="53"/>
      <c r="F368" s="52" t="str">
        <f aca="false">IF(A368="","",INDEX(הגדרות!$H$16:$H$27,MONTH(A368)))</f>
        <v/>
      </c>
    </row>
    <row r="369" customFormat="false" ht="15" hidden="false" customHeight="false" outlineLevel="0" collapsed="false">
      <c r="A369" s="55"/>
      <c r="B369" s="56"/>
      <c r="C369" s="57" t="str">
        <f aca="false">IF(B369="","",IFERROR(INDEX(הגדרות!$A$8:$A$53,MATCH(B369,הגדרות!$B$8:$B$53,0)),"⚠ לא בהגדרות"))</f>
        <v/>
      </c>
      <c r="D369" s="56"/>
      <c r="E369" s="58"/>
      <c r="F369" s="57" t="str">
        <f aca="false">IF(A369="","",INDEX(הגדרות!$H$16:$H$27,MONTH(A369)))</f>
        <v/>
      </c>
    </row>
    <row r="370" customFormat="false" ht="15" hidden="false" customHeight="false" outlineLevel="0" collapsed="false">
      <c r="A370" s="50"/>
      <c r="B370" s="51"/>
      <c r="C370" s="52" t="str">
        <f aca="false">IF(B370="","",IFERROR(INDEX(הגדרות!$A$8:$A$53,MATCH(B370,הגדרות!$B$8:$B$53,0)),"⚠ לא בהגדרות"))</f>
        <v/>
      </c>
      <c r="D370" s="51"/>
      <c r="E370" s="53"/>
      <c r="F370" s="52" t="str">
        <f aca="false">IF(A370="","",INDEX(הגדרות!$H$16:$H$27,MONTH(A370)))</f>
        <v/>
      </c>
    </row>
    <row r="371" customFormat="false" ht="15" hidden="false" customHeight="false" outlineLevel="0" collapsed="false">
      <c r="A371" s="55"/>
      <c r="B371" s="56"/>
      <c r="C371" s="57" t="str">
        <f aca="false">IF(B371="","",IFERROR(INDEX(הגדרות!$A$8:$A$53,MATCH(B371,הגדרות!$B$8:$B$53,0)),"⚠ לא בהגדרות"))</f>
        <v/>
      </c>
      <c r="D371" s="56"/>
      <c r="E371" s="58"/>
      <c r="F371" s="57" t="str">
        <f aca="false">IF(A371="","",INDEX(הגדרות!$H$16:$H$27,MONTH(A371)))</f>
        <v/>
      </c>
    </row>
    <row r="372" customFormat="false" ht="15" hidden="false" customHeight="false" outlineLevel="0" collapsed="false">
      <c r="A372" s="50"/>
      <c r="B372" s="51"/>
      <c r="C372" s="52" t="str">
        <f aca="false">IF(B372="","",IFERROR(INDEX(הגדרות!$A$8:$A$53,MATCH(B372,הגדרות!$B$8:$B$53,0)),"⚠ לא בהגדרות"))</f>
        <v/>
      </c>
      <c r="D372" s="51"/>
      <c r="E372" s="53"/>
      <c r="F372" s="52" t="str">
        <f aca="false">IF(A372="","",INDEX(הגדרות!$H$16:$H$27,MONTH(A372)))</f>
        <v/>
      </c>
    </row>
    <row r="373" customFormat="false" ht="15" hidden="false" customHeight="false" outlineLevel="0" collapsed="false">
      <c r="A373" s="55"/>
      <c r="B373" s="56"/>
      <c r="C373" s="57" t="str">
        <f aca="false">IF(B373="","",IFERROR(INDEX(הגדרות!$A$8:$A$53,MATCH(B373,הגדרות!$B$8:$B$53,0)),"⚠ לא בהגדרות"))</f>
        <v/>
      </c>
      <c r="D373" s="56"/>
      <c r="E373" s="58"/>
      <c r="F373" s="57" t="str">
        <f aca="false">IF(A373="","",INDEX(הגדרות!$H$16:$H$27,MONTH(A373)))</f>
        <v/>
      </c>
    </row>
    <row r="374" customFormat="false" ht="15" hidden="false" customHeight="false" outlineLevel="0" collapsed="false">
      <c r="A374" s="50"/>
      <c r="B374" s="51"/>
      <c r="C374" s="52" t="str">
        <f aca="false">IF(B374="","",IFERROR(INDEX(הגדרות!$A$8:$A$53,MATCH(B374,הגדרות!$B$8:$B$53,0)),"⚠ לא בהגדרות"))</f>
        <v/>
      </c>
      <c r="D374" s="51"/>
      <c r="E374" s="53"/>
      <c r="F374" s="52" t="str">
        <f aca="false">IF(A374="","",INDEX(הגדרות!$H$16:$H$27,MONTH(A374)))</f>
        <v/>
      </c>
    </row>
    <row r="375" customFormat="false" ht="15" hidden="false" customHeight="false" outlineLevel="0" collapsed="false">
      <c r="A375" s="55"/>
      <c r="B375" s="56"/>
      <c r="C375" s="57" t="str">
        <f aca="false">IF(B375="","",IFERROR(INDEX(הגדרות!$A$8:$A$53,MATCH(B375,הגדרות!$B$8:$B$53,0)),"⚠ לא בהגדרות"))</f>
        <v/>
      </c>
      <c r="D375" s="56"/>
      <c r="E375" s="58"/>
      <c r="F375" s="57" t="str">
        <f aca="false">IF(A375="","",INDEX(הגדרות!$H$16:$H$27,MONTH(A375)))</f>
        <v/>
      </c>
    </row>
    <row r="376" customFormat="false" ht="15" hidden="false" customHeight="false" outlineLevel="0" collapsed="false">
      <c r="A376" s="50"/>
      <c r="B376" s="51"/>
      <c r="C376" s="52" t="str">
        <f aca="false">IF(B376="","",IFERROR(INDEX(הגדרות!$A$8:$A$53,MATCH(B376,הגדרות!$B$8:$B$53,0)),"⚠ לא בהגדרות"))</f>
        <v/>
      </c>
      <c r="D376" s="51"/>
      <c r="E376" s="53"/>
      <c r="F376" s="52" t="str">
        <f aca="false">IF(A376="","",INDEX(הגדרות!$H$16:$H$27,MONTH(A376)))</f>
        <v/>
      </c>
    </row>
    <row r="377" customFormat="false" ht="15" hidden="false" customHeight="false" outlineLevel="0" collapsed="false">
      <c r="A377" s="55"/>
      <c r="B377" s="56"/>
      <c r="C377" s="57" t="str">
        <f aca="false">IF(B377="","",IFERROR(INDEX(הגדרות!$A$8:$A$53,MATCH(B377,הגדרות!$B$8:$B$53,0)),"⚠ לא בהגדרות"))</f>
        <v/>
      </c>
      <c r="D377" s="56"/>
      <c r="E377" s="58"/>
      <c r="F377" s="57" t="str">
        <f aca="false">IF(A377="","",INDEX(הגדרות!$H$16:$H$27,MONTH(A377)))</f>
        <v/>
      </c>
    </row>
    <row r="378" customFormat="false" ht="15" hidden="false" customHeight="false" outlineLevel="0" collapsed="false">
      <c r="A378" s="50"/>
      <c r="B378" s="51"/>
      <c r="C378" s="52" t="str">
        <f aca="false">IF(B378="","",IFERROR(INDEX(הגדרות!$A$8:$A$53,MATCH(B378,הגדרות!$B$8:$B$53,0)),"⚠ לא בהגדרות"))</f>
        <v/>
      </c>
      <c r="D378" s="51"/>
      <c r="E378" s="53"/>
      <c r="F378" s="52" t="str">
        <f aca="false">IF(A378="","",INDEX(הגדרות!$H$16:$H$27,MONTH(A378)))</f>
        <v/>
      </c>
    </row>
    <row r="379" customFormat="false" ht="15" hidden="false" customHeight="false" outlineLevel="0" collapsed="false">
      <c r="A379" s="55"/>
      <c r="B379" s="56"/>
      <c r="C379" s="57" t="str">
        <f aca="false">IF(B379="","",IFERROR(INDEX(הגדרות!$A$8:$A$53,MATCH(B379,הגדרות!$B$8:$B$53,0)),"⚠ לא בהגדרות"))</f>
        <v/>
      </c>
      <c r="D379" s="56"/>
      <c r="E379" s="58"/>
      <c r="F379" s="57" t="str">
        <f aca="false">IF(A379="","",INDEX(הגדרות!$H$16:$H$27,MONTH(A379)))</f>
        <v/>
      </c>
    </row>
    <row r="380" customFormat="false" ht="15" hidden="false" customHeight="false" outlineLevel="0" collapsed="false">
      <c r="A380" s="50"/>
      <c r="B380" s="51"/>
      <c r="C380" s="52" t="str">
        <f aca="false">IF(B380="","",IFERROR(INDEX(הגדרות!$A$8:$A$53,MATCH(B380,הגדרות!$B$8:$B$53,0)),"⚠ לא בהגדרות"))</f>
        <v/>
      </c>
      <c r="D380" s="51"/>
      <c r="E380" s="53"/>
      <c r="F380" s="52" t="str">
        <f aca="false">IF(A380="","",INDEX(הגדרות!$H$16:$H$27,MONTH(A380)))</f>
        <v/>
      </c>
    </row>
    <row r="381" customFormat="false" ht="15" hidden="false" customHeight="false" outlineLevel="0" collapsed="false">
      <c r="A381" s="55"/>
      <c r="B381" s="56"/>
      <c r="C381" s="57" t="str">
        <f aca="false">IF(B381="","",IFERROR(INDEX(הגדרות!$A$8:$A$53,MATCH(B381,הגדרות!$B$8:$B$53,0)),"⚠ לא בהגדרות"))</f>
        <v/>
      </c>
      <c r="D381" s="56"/>
      <c r="E381" s="58"/>
      <c r="F381" s="57" t="str">
        <f aca="false">IF(A381="","",INDEX(הגדרות!$H$16:$H$27,MONTH(A381)))</f>
        <v/>
      </c>
    </row>
    <row r="382" customFormat="false" ht="15" hidden="false" customHeight="false" outlineLevel="0" collapsed="false">
      <c r="A382" s="50"/>
      <c r="B382" s="51"/>
      <c r="C382" s="52" t="str">
        <f aca="false">IF(B382="","",IFERROR(INDEX(הגדרות!$A$8:$A$53,MATCH(B382,הגדרות!$B$8:$B$53,0)),"⚠ לא בהגדרות"))</f>
        <v/>
      </c>
      <c r="D382" s="51"/>
      <c r="E382" s="53"/>
      <c r="F382" s="52" t="str">
        <f aca="false">IF(A382="","",INDEX(הגדרות!$H$16:$H$27,MONTH(A382)))</f>
        <v/>
      </c>
    </row>
    <row r="383" customFormat="false" ht="15" hidden="false" customHeight="false" outlineLevel="0" collapsed="false">
      <c r="A383" s="55"/>
      <c r="B383" s="56"/>
      <c r="C383" s="57" t="str">
        <f aca="false">IF(B383="","",IFERROR(INDEX(הגדרות!$A$8:$A$53,MATCH(B383,הגדרות!$B$8:$B$53,0)),"⚠ לא בהגדרות"))</f>
        <v/>
      </c>
      <c r="D383" s="56"/>
      <c r="E383" s="58"/>
      <c r="F383" s="57" t="str">
        <f aca="false">IF(A383="","",INDEX(הגדרות!$H$16:$H$27,MONTH(A383)))</f>
        <v/>
      </c>
    </row>
    <row r="384" customFormat="false" ht="15" hidden="false" customHeight="false" outlineLevel="0" collapsed="false">
      <c r="A384" s="50"/>
      <c r="B384" s="51"/>
      <c r="C384" s="52" t="str">
        <f aca="false">IF(B384="","",IFERROR(INDEX(הגדרות!$A$8:$A$53,MATCH(B384,הגדרות!$B$8:$B$53,0)),"⚠ לא בהגדרות"))</f>
        <v/>
      </c>
      <c r="D384" s="51"/>
      <c r="E384" s="53"/>
      <c r="F384" s="52" t="str">
        <f aca="false">IF(A384="","",INDEX(הגדרות!$H$16:$H$27,MONTH(A384)))</f>
        <v/>
      </c>
    </row>
    <row r="385" customFormat="false" ht="15" hidden="false" customHeight="false" outlineLevel="0" collapsed="false">
      <c r="A385" s="55"/>
      <c r="B385" s="56"/>
      <c r="C385" s="57" t="str">
        <f aca="false">IF(B385="","",IFERROR(INDEX(הגדרות!$A$8:$A$53,MATCH(B385,הגדרות!$B$8:$B$53,0)),"⚠ לא בהגדרות"))</f>
        <v/>
      </c>
      <c r="D385" s="56"/>
      <c r="E385" s="58"/>
      <c r="F385" s="57" t="str">
        <f aca="false">IF(A385="","",INDEX(הגדרות!$H$16:$H$27,MONTH(A385)))</f>
        <v/>
      </c>
    </row>
    <row r="386" customFormat="false" ht="15" hidden="false" customHeight="false" outlineLevel="0" collapsed="false">
      <c r="A386" s="50"/>
      <c r="B386" s="51"/>
      <c r="C386" s="52" t="str">
        <f aca="false">IF(B386="","",IFERROR(INDEX(הגדרות!$A$8:$A$53,MATCH(B386,הגדרות!$B$8:$B$53,0)),"⚠ לא בהגדרות"))</f>
        <v/>
      </c>
      <c r="D386" s="51"/>
      <c r="E386" s="53"/>
      <c r="F386" s="52" t="str">
        <f aca="false">IF(A386="","",INDEX(הגדרות!$H$16:$H$27,MONTH(A386)))</f>
        <v/>
      </c>
    </row>
    <row r="387" customFormat="false" ht="15" hidden="false" customHeight="false" outlineLevel="0" collapsed="false">
      <c r="A387" s="55"/>
      <c r="B387" s="56"/>
      <c r="C387" s="57" t="str">
        <f aca="false">IF(B387="","",IFERROR(INDEX(הגדרות!$A$8:$A$53,MATCH(B387,הגדרות!$B$8:$B$53,0)),"⚠ לא בהגדרות"))</f>
        <v/>
      </c>
      <c r="D387" s="56"/>
      <c r="E387" s="58"/>
      <c r="F387" s="57" t="str">
        <f aca="false">IF(A387="","",INDEX(הגדרות!$H$16:$H$27,MONTH(A387)))</f>
        <v/>
      </c>
    </row>
    <row r="388" customFormat="false" ht="15" hidden="false" customHeight="false" outlineLevel="0" collapsed="false">
      <c r="A388" s="50"/>
      <c r="B388" s="51"/>
      <c r="C388" s="52" t="str">
        <f aca="false">IF(B388="","",IFERROR(INDEX(הגדרות!$A$8:$A$53,MATCH(B388,הגדרות!$B$8:$B$53,0)),"⚠ לא בהגדרות"))</f>
        <v/>
      </c>
      <c r="D388" s="51"/>
      <c r="E388" s="53"/>
      <c r="F388" s="52" t="str">
        <f aca="false">IF(A388="","",INDEX(הגדרות!$H$16:$H$27,MONTH(A388)))</f>
        <v/>
      </c>
    </row>
    <row r="389" customFormat="false" ht="15" hidden="false" customHeight="false" outlineLevel="0" collapsed="false">
      <c r="A389" s="55"/>
      <c r="B389" s="56"/>
      <c r="C389" s="57" t="str">
        <f aca="false">IF(B389="","",IFERROR(INDEX(הגדרות!$A$8:$A$53,MATCH(B389,הגדרות!$B$8:$B$53,0)),"⚠ לא בהגדרות"))</f>
        <v/>
      </c>
      <c r="D389" s="56"/>
      <c r="E389" s="58"/>
      <c r="F389" s="57" t="str">
        <f aca="false">IF(A389="","",INDEX(הגדרות!$H$16:$H$27,MONTH(A389)))</f>
        <v/>
      </c>
    </row>
    <row r="390" customFormat="false" ht="15" hidden="false" customHeight="false" outlineLevel="0" collapsed="false">
      <c r="A390" s="50"/>
      <c r="B390" s="51"/>
      <c r="C390" s="52" t="str">
        <f aca="false">IF(B390="","",IFERROR(INDEX(הגדרות!$A$8:$A$53,MATCH(B390,הגדרות!$B$8:$B$53,0)),"⚠ לא בהגדרות"))</f>
        <v/>
      </c>
      <c r="D390" s="51"/>
      <c r="E390" s="53"/>
      <c r="F390" s="52" t="str">
        <f aca="false">IF(A390="","",INDEX(הגדרות!$H$16:$H$27,MONTH(A390)))</f>
        <v/>
      </c>
    </row>
    <row r="391" customFormat="false" ht="15" hidden="false" customHeight="false" outlineLevel="0" collapsed="false">
      <c r="A391" s="55"/>
      <c r="B391" s="56"/>
      <c r="C391" s="57" t="str">
        <f aca="false">IF(B391="","",IFERROR(INDEX(הגדרות!$A$8:$A$53,MATCH(B391,הגדרות!$B$8:$B$53,0)),"⚠ לא בהגדרות"))</f>
        <v/>
      </c>
      <c r="D391" s="56"/>
      <c r="E391" s="58"/>
      <c r="F391" s="57" t="str">
        <f aca="false">IF(A391="","",INDEX(הגדרות!$H$16:$H$27,MONTH(A391)))</f>
        <v/>
      </c>
    </row>
    <row r="392" customFormat="false" ht="15" hidden="false" customHeight="false" outlineLevel="0" collapsed="false">
      <c r="A392" s="50"/>
      <c r="B392" s="51"/>
      <c r="C392" s="52" t="str">
        <f aca="false">IF(B392="","",IFERROR(INDEX(הגדרות!$A$8:$A$53,MATCH(B392,הגדרות!$B$8:$B$53,0)),"⚠ לא בהגדרות"))</f>
        <v/>
      </c>
      <c r="D392" s="51"/>
      <c r="E392" s="53"/>
      <c r="F392" s="52" t="str">
        <f aca="false">IF(A392="","",INDEX(הגדרות!$H$16:$H$27,MONTH(A392)))</f>
        <v/>
      </c>
    </row>
    <row r="393" customFormat="false" ht="15" hidden="false" customHeight="false" outlineLevel="0" collapsed="false">
      <c r="A393" s="55"/>
      <c r="B393" s="56"/>
      <c r="C393" s="57" t="str">
        <f aca="false">IF(B393="","",IFERROR(INDEX(הגדרות!$A$8:$A$53,MATCH(B393,הגדרות!$B$8:$B$53,0)),"⚠ לא בהגדרות"))</f>
        <v/>
      </c>
      <c r="D393" s="56"/>
      <c r="E393" s="58"/>
      <c r="F393" s="57" t="str">
        <f aca="false">IF(A393="","",INDEX(הגדרות!$H$16:$H$27,MONTH(A393)))</f>
        <v/>
      </c>
    </row>
    <row r="394" customFormat="false" ht="15" hidden="false" customHeight="false" outlineLevel="0" collapsed="false">
      <c r="A394" s="50"/>
      <c r="B394" s="51"/>
      <c r="C394" s="52" t="str">
        <f aca="false">IF(B394="","",IFERROR(INDEX(הגדרות!$A$8:$A$53,MATCH(B394,הגדרות!$B$8:$B$53,0)),"⚠ לא בהגדרות"))</f>
        <v/>
      </c>
      <c r="D394" s="51"/>
      <c r="E394" s="53"/>
      <c r="F394" s="52" t="str">
        <f aca="false">IF(A394="","",INDEX(הגדרות!$H$16:$H$27,MONTH(A394)))</f>
        <v/>
      </c>
    </row>
    <row r="395" customFormat="false" ht="15" hidden="false" customHeight="false" outlineLevel="0" collapsed="false">
      <c r="A395" s="55"/>
      <c r="B395" s="56"/>
      <c r="C395" s="57" t="str">
        <f aca="false">IF(B395="","",IFERROR(INDEX(הגדרות!$A$8:$A$53,MATCH(B395,הגדרות!$B$8:$B$53,0)),"⚠ לא בהגדרות"))</f>
        <v/>
      </c>
      <c r="D395" s="56"/>
      <c r="E395" s="58"/>
      <c r="F395" s="57" t="str">
        <f aca="false">IF(A395="","",INDEX(הגדרות!$H$16:$H$27,MONTH(A395)))</f>
        <v/>
      </c>
    </row>
    <row r="396" customFormat="false" ht="15" hidden="false" customHeight="false" outlineLevel="0" collapsed="false">
      <c r="A396" s="50"/>
      <c r="B396" s="51"/>
      <c r="C396" s="52" t="str">
        <f aca="false">IF(B396="","",IFERROR(INDEX(הגדרות!$A$8:$A$53,MATCH(B396,הגדרות!$B$8:$B$53,0)),"⚠ לא בהגדרות"))</f>
        <v/>
      </c>
      <c r="D396" s="51"/>
      <c r="E396" s="53"/>
      <c r="F396" s="52" t="str">
        <f aca="false">IF(A396="","",INDEX(הגדרות!$H$16:$H$27,MONTH(A396)))</f>
        <v/>
      </c>
    </row>
    <row r="397" customFormat="false" ht="15" hidden="false" customHeight="false" outlineLevel="0" collapsed="false">
      <c r="A397" s="55"/>
      <c r="B397" s="56"/>
      <c r="C397" s="57" t="str">
        <f aca="false">IF(B397="","",IFERROR(INDEX(הגדרות!$A$8:$A$53,MATCH(B397,הגדרות!$B$8:$B$53,0)),"⚠ לא בהגדרות"))</f>
        <v/>
      </c>
      <c r="D397" s="56"/>
      <c r="E397" s="58"/>
      <c r="F397" s="57" t="str">
        <f aca="false">IF(A397="","",INDEX(הגדרות!$H$16:$H$27,MONTH(A397)))</f>
        <v/>
      </c>
    </row>
    <row r="398" customFormat="false" ht="15" hidden="false" customHeight="false" outlineLevel="0" collapsed="false">
      <c r="A398" s="50"/>
      <c r="B398" s="51"/>
      <c r="C398" s="52" t="str">
        <f aca="false">IF(B398="","",IFERROR(INDEX(הגדרות!$A$8:$A$53,MATCH(B398,הגדרות!$B$8:$B$53,0)),"⚠ לא בהגדרות"))</f>
        <v/>
      </c>
      <c r="D398" s="51"/>
      <c r="E398" s="53"/>
      <c r="F398" s="52" t="str">
        <f aca="false">IF(A398="","",INDEX(הגדרות!$H$16:$H$27,MONTH(A398)))</f>
        <v/>
      </c>
    </row>
    <row r="399" customFormat="false" ht="15" hidden="false" customHeight="false" outlineLevel="0" collapsed="false">
      <c r="A399" s="55"/>
      <c r="B399" s="56"/>
      <c r="C399" s="57" t="str">
        <f aca="false">IF(B399="","",IFERROR(INDEX(הגדרות!$A$8:$A$53,MATCH(B399,הגדרות!$B$8:$B$53,0)),"⚠ לא בהגדרות"))</f>
        <v/>
      </c>
      <c r="D399" s="56"/>
      <c r="E399" s="58"/>
      <c r="F399" s="57" t="str">
        <f aca="false">IF(A399="","",INDEX(הגדרות!$H$16:$H$27,MONTH(A399)))</f>
        <v/>
      </c>
    </row>
    <row r="400" customFormat="false" ht="15" hidden="false" customHeight="false" outlineLevel="0" collapsed="false">
      <c r="A400" s="50"/>
      <c r="B400" s="51"/>
      <c r="C400" s="52" t="str">
        <f aca="false">IF(B400="","",IFERROR(INDEX(הגדרות!$A$8:$A$53,MATCH(B400,הגדרות!$B$8:$B$53,0)),"⚠ לא בהגדרות"))</f>
        <v/>
      </c>
      <c r="D400" s="51"/>
      <c r="E400" s="53"/>
      <c r="F400" s="52" t="str">
        <f aca="false">IF(A400="","",INDEX(הגדרות!$H$16:$H$27,MONTH(A400)))</f>
        <v/>
      </c>
    </row>
    <row r="401" customFormat="false" ht="15" hidden="false" customHeight="false" outlineLevel="0" collapsed="false">
      <c r="A401" s="55"/>
      <c r="B401" s="56"/>
      <c r="C401" s="57" t="str">
        <f aca="false">IF(B401="","",IFERROR(INDEX(הגדרות!$A$8:$A$53,MATCH(B401,הגדרות!$B$8:$B$53,0)),"⚠ לא בהגדרות"))</f>
        <v/>
      </c>
      <c r="D401" s="56"/>
      <c r="E401" s="58"/>
      <c r="F401" s="57" t="str">
        <f aca="false">IF(A401="","",INDEX(הגדרות!$H$16:$H$27,MONTH(A401)))</f>
        <v/>
      </c>
    </row>
    <row r="402" customFormat="false" ht="15" hidden="false" customHeight="false" outlineLevel="0" collapsed="false">
      <c r="A402" s="50"/>
      <c r="B402" s="51"/>
      <c r="C402" s="52" t="str">
        <f aca="false">IF(B402="","",IFERROR(INDEX(הגדרות!$A$8:$A$53,MATCH(B402,הגדרות!$B$8:$B$53,0)),"⚠ לא בהגדרות"))</f>
        <v/>
      </c>
      <c r="D402" s="51"/>
      <c r="E402" s="53"/>
      <c r="F402" s="52" t="str">
        <f aca="false">IF(A402="","",INDEX(הגדרות!$H$16:$H$27,MONTH(A402)))</f>
        <v/>
      </c>
    </row>
    <row r="403" customFormat="false" ht="15" hidden="false" customHeight="false" outlineLevel="0" collapsed="false">
      <c r="A403" s="55"/>
      <c r="B403" s="56"/>
      <c r="C403" s="57" t="str">
        <f aca="false">IF(B403="","",IFERROR(INDEX(הגדרות!$A$8:$A$53,MATCH(B403,הגדרות!$B$8:$B$53,0)),"⚠ לא בהגדרות"))</f>
        <v/>
      </c>
      <c r="D403" s="56"/>
      <c r="E403" s="58"/>
      <c r="F403" s="57" t="str">
        <f aca="false">IF(A403="","",INDEX(הגדרות!$H$16:$H$27,MONTH(A403)))</f>
        <v/>
      </c>
    </row>
    <row r="404" customFormat="false" ht="15" hidden="false" customHeight="false" outlineLevel="0" collapsed="false">
      <c r="A404" s="50"/>
      <c r="B404" s="51"/>
      <c r="C404" s="52" t="str">
        <f aca="false">IF(B404="","",IFERROR(INDEX(הגדרות!$A$8:$A$53,MATCH(B404,הגדרות!$B$8:$B$53,0)),"⚠ לא בהגדרות"))</f>
        <v/>
      </c>
      <c r="D404" s="51"/>
      <c r="E404" s="53"/>
      <c r="F404" s="52" t="str">
        <f aca="false">IF(A404="","",INDEX(הגדרות!$H$16:$H$27,MONTH(A404)))</f>
        <v/>
      </c>
    </row>
    <row r="405" customFormat="false" ht="15" hidden="false" customHeight="false" outlineLevel="0" collapsed="false">
      <c r="A405" s="55"/>
      <c r="B405" s="56"/>
      <c r="C405" s="57" t="str">
        <f aca="false">IF(B405="","",IFERROR(INDEX(הגדרות!$A$8:$A$53,MATCH(B405,הגדרות!$B$8:$B$53,0)),"⚠ לא בהגדרות"))</f>
        <v/>
      </c>
      <c r="D405" s="56"/>
      <c r="E405" s="58"/>
      <c r="F405" s="57" t="str">
        <f aca="false">IF(A405="","",INDEX(הגדרות!$H$16:$H$27,MONTH(A405)))</f>
        <v/>
      </c>
    </row>
    <row r="406" customFormat="false" ht="15" hidden="false" customHeight="false" outlineLevel="0" collapsed="false">
      <c r="A406" s="50"/>
      <c r="B406" s="51"/>
      <c r="C406" s="52" t="str">
        <f aca="false">IF(B406="","",IFERROR(INDEX(הגדרות!$A$8:$A$53,MATCH(B406,הגדרות!$B$8:$B$53,0)),"⚠ לא בהגדרות"))</f>
        <v/>
      </c>
      <c r="D406" s="51"/>
      <c r="E406" s="53"/>
      <c r="F406" s="52" t="str">
        <f aca="false">IF(A406="","",INDEX(הגדרות!$H$16:$H$27,MONTH(A406)))</f>
        <v/>
      </c>
    </row>
    <row r="407" customFormat="false" ht="15" hidden="false" customHeight="false" outlineLevel="0" collapsed="false">
      <c r="A407" s="55"/>
      <c r="B407" s="56"/>
      <c r="C407" s="57" t="str">
        <f aca="false">IF(B407="","",IFERROR(INDEX(הגדרות!$A$8:$A$53,MATCH(B407,הגדרות!$B$8:$B$53,0)),"⚠ לא בהגדרות"))</f>
        <v/>
      </c>
      <c r="D407" s="56"/>
      <c r="E407" s="58"/>
      <c r="F407" s="57" t="str">
        <f aca="false">IF(A407="","",INDEX(הגדרות!$H$16:$H$27,MONTH(A407)))</f>
        <v/>
      </c>
    </row>
    <row r="408" customFormat="false" ht="15" hidden="false" customHeight="false" outlineLevel="0" collapsed="false">
      <c r="A408" s="50"/>
      <c r="B408" s="51"/>
      <c r="C408" s="52" t="str">
        <f aca="false">IF(B408="","",IFERROR(INDEX(הגדרות!$A$8:$A$53,MATCH(B408,הגדרות!$B$8:$B$53,0)),"⚠ לא בהגדרות"))</f>
        <v/>
      </c>
      <c r="D408" s="51"/>
      <c r="E408" s="53"/>
      <c r="F408" s="52" t="str">
        <f aca="false">IF(A408="","",INDEX(הגדרות!$H$16:$H$27,MONTH(A408)))</f>
        <v/>
      </c>
    </row>
    <row r="409" customFormat="false" ht="15" hidden="false" customHeight="false" outlineLevel="0" collapsed="false">
      <c r="A409" s="55"/>
      <c r="B409" s="56"/>
      <c r="C409" s="57" t="str">
        <f aca="false">IF(B409="","",IFERROR(INDEX(הגדרות!$A$8:$A$53,MATCH(B409,הגדרות!$B$8:$B$53,0)),"⚠ לא בהגדרות"))</f>
        <v/>
      </c>
      <c r="D409" s="56"/>
      <c r="E409" s="58"/>
      <c r="F409" s="57" t="str">
        <f aca="false">IF(A409="","",INDEX(הגדרות!$H$16:$H$27,MONTH(A409)))</f>
        <v/>
      </c>
    </row>
    <row r="410" customFormat="false" ht="15" hidden="false" customHeight="false" outlineLevel="0" collapsed="false">
      <c r="A410" s="50"/>
      <c r="B410" s="51"/>
      <c r="C410" s="52" t="str">
        <f aca="false">IF(B410="","",IFERROR(INDEX(הגדרות!$A$8:$A$53,MATCH(B410,הגדרות!$B$8:$B$53,0)),"⚠ לא בהגדרות"))</f>
        <v/>
      </c>
      <c r="D410" s="51"/>
      <c r="E410" s="53"/>
      <c r="F410" s="52" t="str">
        <f aca="false">IF(A410="","",INDEX(הגדרות!$H$16:$H$27,MONTH(A410)))</f>
        <v/>
      </c>
    </row>
    <row r="411" customFormat="false" ht="15" hidden="false" customHeight="false" outlineLevel="0" collapsed="false">
      <c r="A411" s="55"/>
      <c r="B411" s="56"/>
      <c r="C411" s="57" t="str">
        <f aca="false">IF(B411="","",IFERROR(INDEX(הגדרות!$A$8:$A$53,MATCH(B411,הגדרות!$B$8:$B$53,0)),"⚠ לא בהגדרות"))</f>
        <v/>
      </c>
      <c r="D411" s="56"/>
      <c r="E411" s="58"/>
      <c r="F411" s="57" t="str">
        <f aca="false">IF(A411="","",INDEX(הגדרות!$H$16:$H$27,MONTH(A411)))</f>
        <v/>
      </c>
    </row>
    <row r="412" customFormat="false" ht="15" hidden="false" customHeight="false" outlineLevel="0" collapsed="false">
      <c r="A412" s="50"/>
      <c r="B412" s="51"/>
      <c r="C412" s="52" t="str">
        <f aca="false">IF(B412="","",IFERROR(INDEX(הגדרות!$A$8:$A$53,MATCH(B412,הגדרות!$B$8:$B$53,0)),"⚠ לא בהגדרות"))</f>
        <v/>
      </c>
      <c r="D412" s="51"/>
      <c r="E412" s="53"/>
      <c r="F412" s="52" t="str">
        <f aca="false">IF(A412="","",INDEX(הגדרות!$H$16:$H$27,MONTH(A412)))</f>
        <v/>
      </c>
    </row>
    <row r="413" customFormat="false" ht="15" hidden="false" customHeight="false" outlineLevel="0" collapsed="false">
      <c r="A413" s="55"/>
      <c r="B413" s="56"/>
      <c r="C413" s="57" t="str">
        <f aca="false">IF(B413="","",IFERROR(INDEX(הגדרות!$A$8:$A$53,MATCH(B413,הגדרות!$B$8:$B$53,0)),"⚠ לא בהגדרות"))</f>
        <v/>
      </c>
      <c r="D413" s="56"/>
      <c r="E413" s="58"/>
      <c r="F413" s="57" t="str">
        <f aca="false">IF(A413="","",INDEX(הגדרות!$H$16:$H$27,MONTH(A413)))</f>
        <v/>
      </c>
    </row>
    <row r="414" customFormat="false" ht="15" hidden="false" customHeight="false" outlineLevel="0" collapsed="false">
      <c r="A414" s="50"/>
      <c r="B414" s="51"/>
      <c r="C414" s="52" t="str">
        <f aca="false">IF(B414="","",IFERROR(INDEX(הגדרות!$A$8:$A$53,MATCH(B414,הגדרות!$B$8:$B$53,0)),"⚠ לא בהגדרות"))</f>
        <v/>
      </c>
      <c r="D414" s="51"/>
      <c r="E414" s="53"/>
      <c r="F414" s="52" t="str">
        <f aca="false">IF(A414="","",INDEX(הגדרות!$H$16:$H$27,MONTH(A414)))</f>
        <v/>
      </c>
    </row>
    <row r="415" customFormat="false" ht="15" hidden="false" customHeight="false" outlineLevel="0" collapsed="false">
      <c r="A415" s="55"/>
      <c r="B415" s="56"/>
      <c r="C415" s="57" t="str">
        <f aca="false">IF(B415="","",IFERROR(INDEX(הגדרות!$A$8:$A$53,MATCH(B415,הגדרות!$B$8:$B$53,0)),"⚠ לא בהגדרות"))</f>
        <v/>
      </c>
      <c r="D415" s="56"/>
      <c r="E415" s="58"/>
      <c r="F415" s="57" t="str">
        <f aca="false">IF(A415="","",INDEX(הגדרות!$H$16:$H$27,MONTH(A415)))</f>
        <v/>
      </c>
    </row>
    <row r="416" customFormat="false" ht="15" hidden="false" customHeight="false" outlineLevel="0" collapsed="false">
      <c r="A416" s="50"/>
      <c r="B416" s="51"/>
      <c r="C416" s="52" t="str">
        <f aca="false">IF(B416="","",IFERROR(INDEX(הגדרות!$A$8:$A$53,MATCH(B416,הגדרות!$B$8:$B$53,0)),"⚠ לא בהגדרות"))</f>
        <v/>
      </c>
      <c r="D416" s="51"/>
      <c r="E416" s="53"/>
      <c r="F416" s="52" t="str">
        <f aca="false">IF(A416="","",INDEX(הגדרות!$H$16:$H$27,MONTH(A416)))</f>
        <v/>
      </c>
    </row>
    <row r="417" customFormat="false" ht="15" hidden="false" customHeight="false" outlineLevel="0" collapsed="false">
      <c r="A417" s="55"/>
      <c r="B417" s="56"/>
      <c r="C417" s="57" t="str">
        <f aca="false">IF(B417="","",IFERROR(INDEX(הגדרות!$A$8:$A$53,MATCH(B417,הגדרות!$B$8:$B$53,0)),"⚠ לא בהגדרות"))</f>
        <v/>
      </c>
      <c r="D417" s="56"/>
      <c r="E417" s="58"/>
      <c r="F417" s="57" t="str">
        <f aca="false">IF(A417="","",INDEX(הגדרות!$H$16:$H$27,MONTH(A417)))</f>
        <v/>
      </c>
    </row>
    <row r="418" customFormat="false" ht="15" hidden="false" customHeight="false" outlineLevel="0" collapsed="false">
      <c r="A418" s="50"/>
      <c r="B418" s="51"/>
      <c r="C418" s="52" t="str">
        <f aca="false">IF(B418="","",IFERROR(INDEX(הגדרות!$A$8:$A$53,MATCH(B418,הגדרות!$B$8:$B$53,0)),"⚠ לא בהגדרות"))</f>
        <v/>
      </c>
      <c r="D418" s="51"/>
      <c r="E418" s="53"/>
      <c r="F418" s="52" t="str">
        <f aca="false">IF(A418="","",INDEX(הגדרות!$H$16:$H$27,MONTH(A418)))</f>
        <v/>
      </c>
    </row>
    <row r="419" customFormat="false" ht="15" hidden="false" customHeight="false" outlineLevel="0" collapsed="false">
      <c r="A419" s="55"/>
      <c r="B419" s="56"/>
      <c r="C419" s="57" t="str">
        <f aca="false">IF(B419="","",IFERROR(INDEX(הגדרות!$A$8:$A$53,MATCH(B419,הגדרות!$B$8:$B$53,0)),"⚠ לא בהגדרות"))</f>
        <v/>
      </c>
      <c r="D419" s="56"/>
      <c r="E419" s="58"/>
      <c r="F419" s="57" t="str">
        <f aca="false">IF(A419="","",INDEX(הגדרות!$H$16:$H$27,MONTH(A419)))</f>
        <v/>
      </c>
    </row>
    <row r="420" customFormat="false" ht="15" hidden="false" customHeight="false" outlineLevel="0" collapsed="false">
      <c r="A420" s="50"/>
      <c r="B420" s="51"/>
      <c r="C420" s="52" t="str">
        <f aca="false">IF(B420="","",IFERROR(INDEX(הגדרות!$A$8:$A$53,MATCH(B420,הגדרות!$B$8:$B$53,0)),"⚠ לא בהגדרות"))</f>
        <v/>
      </c>
      <c r="D420" s="51"/>
      <c r="E420" s="53"/>
      <c r="F420" s="52" t="str">
        <f aca="false">IF(A420="","",INDEX(הגדרות!$H$16:$H$27,MONTH(A420)))</f>
        <v/>
      </c>
    </row>
    <row r="421" customFormat="false" ht="15" hidden="false" customHeight="false" outlineLevel="0" collapsed="false">
      <c r="A421" s="55"/>
      <c r="B421" s="56"/>
      <c r="C421" s="57" t="str">
        <f aca="false">IF(B421="","",IFERROR(INDEX(הגדרות!$A$8:$A$53,MATCH(B421,הגדרות!$B$8:$B$53,0)),"⚠ לא בהגדרות"))</f>
        <v/>
      </c>
      <c r="D421" s="56"/>
      <c r="E421" s="58"/>
      <c r="F421" s="57" t="str">
        <f aca="false">IF(A421="","",INDEX(הגדרות!$H$16:$H$27,MONTH(A421)))</f>
        <v/>
      </c>
    </row>
    <row r="422" customFormat="false" ht="15" hidden="false" customHeight="false" outlineLevel="0" collapsed="false">
      <c r="A422" s="50"/>
      <c r="B422" s="51"/>
      <c r="C422" s="52" t="str">
        <f aca="false">IF(B422="","",IFERROR(INDEX(הגדרות!$A$8:$A$53,MATCH(B422,הגדרות!$B$8:$B$53,0)),"⚠ לא בהגדרות"))</f>
        <v/>
      </c>
      <c r="D422" s="51"/>
      <c r="E422" s="53"/>
      <c r="F422" s="52" t="str">
        <f aca="false">IF(A422="","",INDEX(הגדרות!$H$16:$H$27,MONTH(A422)))</f>
        <v/>
      </c>
    </row>
    <row r="423" customFormat="false" ht="15" hidden="false" customHeight="false" outlineLevel="0" collapsed="false">
      <c r="A423" s="55"/>
      <c r="B423" s="56"/>
      <c r="C423" s="57" t="str">
        <f aca="false">IF(B423="","",IFERROR(INDEX(הגדרות!$A$8:$A$53,MATCH(B423,הגדרות!$B$8:$B$53,0)),"⚠ לא בהגדרות"))</f>
        <v/>
      </c>
      <c r="D423" s="56"/>
      <c r="E423" s="58"/>
      <c r="F423" s="57" t="str">
        <f aca="false">IF(A423="","",INDEX(הגדרות!$H$16:$H$27,MONTH(A423)))</f>
        <v/>
      </c>
    </row>
    <row r="424" customFormat="false" ht="15" hidden="false" customHeight="false" outlineLevel="0" collapsed="false">
      <c r="A424" s="50"/>
      <c r="B424" s="51"/>
      <c r="C424" s="52" t="str">
        <f aca="false">IF(B424="","",IFERROR(INDEX(הגדרות!$A$8:$A$53,MATCH(B424,הגדרות!$B$8:$B$53,0)),"⚠ לא בהגדרות"))</f>
        <v/>
      </c>
      <c r="D424" s="51"/>
      <c r="E424" s="53"/>
      <c r="F424" s="52" t="str">
        <f aca="false">IF(A424="","",INDEX(הגדרות!$H$16:$H$27,MONTH(A424)))</f>
        <v/>
      </c>
    </row>
    <row r="425" customFormat="false" ht="15" hidden="false" customHeight="false" outlineLevel="0" collapsed="false">
      <c r="A425" s="55"/>
      <c r="B425" s="56"/>
      <c r="C425" s="57" t="str">
        <f aca="false">IF(B425="","",IFERROR(INDEX(הגדרות!$A$8:$A$53,MATCH(B425,הגדרות!$B$8:$B$53,0)),"⚠ לא בהגדרות"))</f>
        <v/>
      </c>
      <c r="D425" s="56"/>
      <c r="E425" s="58"/>
      <c r="F425" s="57" t="str">
        <f aca="false">IF(A425="","",INDEX(הגדרות!$H$16:$H$27,MONTH(A425)))</f>
        <v/>
      </c>
    </row>
    <row r="426" customFormat="false" ht="15" hidden="false" customHeight="false" outlineLevel="0" collapsed="false">
      <c r="A426" s="50"/>
      <c r="B426" s="51"/>
      <c r="C426" s="52" t="str">
        <f aca="false">IF(B426="","",IFERROR(INDEX(הגדרות!$A$8:$A$53,MATCH(B426,הגדרות!$B$8:$B$53,0)),"⚠ לא בהגדרות"))</f>
        <v/>
      </c>
      <c r="D426" s="51"/>
      <c r="E426" s="53"/>
      <c r="F426" s="52" t="str">
        <f aca="false">IF(A426="","",INDEX(הגדרות!$H$16:$H$27,MONTH(A426)))</f>
        <v/>
      </c>
    </row>
    <row r="427" customFormat="false" ht="15" hidden="false" customHeight="false" outlineLevel="0" collapsed="false">
      <c r="A427" s="55"/>
      <c r="B427" s="56"/>
      <c r="C427" s="57" t="str">
        <f aca="false">IF(B427="","",IFERROR(INDEX(הגדרות!$A$8:$A$53,MATCH(B427,הגדרות!$B$8:$B$53,0)),"⚠ לא בהגדרות"))</f>
        <v/>
      </c>
      <c r="D427" s="56"/>
      <c r="E427" s="58"/>
      <c r="F427" s="57" t="str">
        <f aca="false">IF(A427="","",INDEX(הגדרות!$H$16:$H$27,MONTH(A427)))</f>
        <v/>
      </c>
    </row>
    <row r="428" customFormat="false" ht="15" hidden="false" customHeight="false" outlineLevel="0" collapsed="false">
      <c r="A428" s="50"/>
      <c r="B428" s="51"/>
      <c r="C428" s="52" t="str">
        <f aca="false">IF(B428="","",IFERROR(INDEX(הגדרות!$A$8:$A$53,MATCH(B428,הגדרות!$B$8:$B$53,0)),"⚠ לא בהגדרות"))</f>
        <v/>
      </c>
      <c r="D428" s="51"/>
      <c r="E428" s="53"/>
      <c r="F428" s="52" t="str">
        <f aca="false">IF(A428="","",INDEX(הגדרות!$H$16:$H$27,MONTH(A428)))</f>
        <v/>
      </c>
    </row>
    <row r="429" customFormat="false" ht="15" hidden="false" customHeight="false" outlineLevel="0" collapsed="false">
      <c r="A429" s="55"/>
      <c r="B429" s="56"/>
      <c r="C429" s="57" t="str">
        <f aca="false">IF(B429="","",IFERROR(INDEX(הגדרות!$A$8:$A$53,MATCH(B429,הגדרות!$B$8:$B$53,0)),"⚠ לא בהגדרות"))</f>
        <v/>
      </c>
      <c r="D429" s="56"/>
      <c r="E429" s="58"/>
      <c r="F429" s="57" t="str">
        <f aca="false">IF(A429="","",INDEX(הגדרות!$H$16:$H$27,MONTH(A429)))</f>
        <v/>
      </c>
    </row>
    <row r="430" customFormat="false" ht="15" hidden="false" customHeight="false" outlineLevel="0" collapsed="false">
      <c r="A430" s="50"/>
      <c r="B430" s="51"/>
      <c r="C430" s="52" t="str">
        <f aca="false">IF(B430="","",IFERROR(INDEX(הגדרות!$A$8:$A$53,MATCH(B430,הגדרות!$B$8:$B$53,0)),"⚠ לא בהגדרות"))</f>
        <v/>
      </c>
      <c r="D430" s="51"/>
      <c r="E430" s="53"/>
      <c r="F430" s="52" t="str">
        <f aca="false">IF(A430="","",INDEX(הגדרות!$H$16:$H$27,MONTH(A430)))</f>
        <v/>
      </c>
    </row>
    <row r="431" customFormat="false" ht="15" hidden="false" customHeight="false" outlineLevel="0" collapsed="false">
      <c r="A431" s="55"/>
      <c r="B431" s="56"/>
      <c r="C431" s="57" t="str">
        <f aca="false">IF(B431="","",IFERROR(INDEX(הגדרות!$A$8:$A$53,MATCH(B431,הגדרות!$B$8:$B$53,0)),"⚠ לא בהגדרות"))</f>
        <v/>
      </c>
      <c r="D431" s="56"/>
      <c r="E431" s="58"/>
      <c r="F431" s="57" t="str">
        <f aca="false">IF(A431="","",INDEX(הגדרות!$H$16:$H$27,MONTH(A431)))</f>
        <v/>
      </c>
    </row>
    <row r="432" customFormat="false" ht="15" hidden="false" customHeight="false" outlineLevel="0" collapsed="false">
      <c r="A432" s="50"/>
      <c r="B432" s="51"/>
      <c r="C432" s="52" t="str">
        <f aca="false">IF(B432="","",IFERROR(INDEX(הגדרות!$A$8:$A$53,MATCH(B432,הגדרות!$B$8:$B$53,0)),"⚠ לא בהגדרות"))</f>
        <v/>
      </c>
      <c r="D432" s="51"/>
      <c r="E432" s="53"/>
      <c r="F432" s="52" t="str">
        <f aca="false">IF(A432="","",INDEX(הגדרות!$H$16:$H$27,MONTH(A432)))</f>
        <v/>
      </c>
    </row>
    <row r="433" customFormat="false" ht="15" hidden="false" customHeight="false" outlineLevel="0" collapsed="false">
      <c r="A433" s="55"/>
      <c r="B433" s="56"/>
      <c r="C433" s="57" t="str">
        <f aca="false">IF(B433="","",IFERROR(INDEX(הגדרות!$A$8:$A$53,MATCH(B433,הגדרות!$B$8:$B$53,0)),"⚠ לא בהגדרות"))</f>
        <v/>
      </c>
      <c r="D433" s="56"/>
      <c r="E433" s="58"/>
      <c r="F433" s="57" t="str">
        <f aca="false">IF(A433="","",INDEX(הגדרות!$H$16:$H$27,MONTH(A433)))</f>
        <v/>
      </c>
    </row>
    <row r="434" customFormat="false" ht="15" hidden="false" customHeight="false" outlineLevel="0" collapsed="false">
      <c r="A434" s="50"/>
      <c r="B434" s="51"/>
      <c r="C434" s="52" t="str">
        <f aca="false">IF(B434="","",IFERROR(INDEX(הגדרות!$A$8:$A$53,MATCH(B434,הגדרות!$B$8:$B$53,0)),"⚠ לא בהגדרות"))</f>
        <v/>
      </c>
      <c r="D434" s="51"/>
      <c r="E434" s="53"/>
      <c r="F434" s="52" t="str">
        <f aca="false">IF(A434="","",INDEX(הגדרות!$H$16:$H$27,MONTH(A434)))</f>
        <v/>
      </c>
    </row>
    <row r="435" customFormat="false" ht="15" hidden="false" customHeight="false" outlineLevel="0" collapsed="false">
      <c r="A435" s="55"/>
      <c r="B435" s="56"/>
      <c r="C435" s="57" t="str">
        <f aca="false">IF(B435="","",IFERROR(INDEX(הגדרות!$A$8:$A$53,MATCH(B435,הגדרות!$B$8:$B$53,0)),"⚠ לא בהגדרות"))</f>
        <v/>
      </c>
      <c r="D435" s="56"/>
      <c r="E435" s="58"/>
      <c r="F435" s="57" t="str">
        <f aca="false">IF(A435="","",INDEX(הגדרות!$H$16:$H$27,MONTH(A435)))</f>
        <v/>
      </c>
    </row>
    <row r="436" customFormat="false" ht="15" hidden="false" customHeight="false" outlineLevel="0" collapsed="false">
      <c r="A436" s="50"/>
      <c r="B436" s="51"/>
      <c r="C436" s="52" t="str">
        <f aca="false">IF(B436="","",IFERROR(INDEX(הגדרות!$A$8:$A$53,MATCH(B436,הגדרות!$B$8:$B$53,0)),"⚠ לא בהגדרות"))</f>
        <v/>
      </c>
      <c r="D436" s="51"/>
      <c r="E436" s="53"/>
      <c r="F436" s="52" t="str">
        <f aca="false">IF(A436="","",INDEX(הגדרות!$H$16:$H$27,MONTH(A436)))</f>
        <v/>
      </c>
    </row>
    <row r="437" customFormat="false" ht="15" hidden="false" customHeight="false" outlineLevel="0" collapsed="false">
      <c r="A437" s="55"/>
      <c r="B437" s="56"/>
      <c r="C437" s="57" t="str">
        <f aca="false">IF(B437="","",IFERROR(INDEX(הגדרות!$A$8:$A$53,MATCH(B437,הגדרות!$B$8:$B$53,0)),"⚠ לא בהגדרות"))</f>
        <v/>
      </c>
      <c r="D437" s="56"/>
      <c r="E437" s="58"/>
      <c r="F437" s="57" t="str">
        <f aca="false">IF(A437="","",INDEX(הגדרות!$H$16:$H$27,MONTH(A437)))</f>
        <v/>
      </c>
    </row>
    <row r="438" customFormat="false" ht="15" hidden="false" customHeight="false" outlineLevel="0" collapsed="false">
      <c r="A438" s="50"/>
      <c r="B438" s="51"/>
      <c r="C438" s="52" t="str">
        <f aca="false">IF(B438="","",IFERROR(INDEX(הגדרות!$A$8:$A$53,MATCH(B438,הגדרות!$B$8:$B$53,0)),"⚠ לא בהגדרות"))</f>
        <v/>
      </c>
      <c r="D438" s="51"/>
      <c r="E438" s="53"/>
      <c r="F438" s="52" t="str">
        <f aca="false">IF(A438="","",INDEX(הגדרות!$H$16:$H$27,MONTH(A438)))</f>
        <v/>
      </c>
    </row>
    <row r="439" customFormat="false" ht="15" hidden="false" customHeight="false" outlineLevel="0" collapsed="false">
      <c r="A439" s="55"/>
      <c r="B439" s="56"/>
      <c r="C439" s="57" t="str">
        <f aca="false">IF(B439="","",IFERROR(INDEX(הגדרות!$A$8:$A$53,MATCH(B439,הגדרות!$B$8:$B$53,0)),"⚠ לא בהגדרות"))</f>
        <v/>
      </c>
      <c r="D439" s="56"/>
      <c r="E439" s="58"/>
      <c r="F439" s="57" t="str">
        <f aca="false">IF(A439="","",INDEX(הגדרות!$H$16:$H$27,MONTH(A439)))</f>
        <v/>
      </c>
    </row>
    <row r="440" customFormat="false" ht="15" hidden="false" customHeight="false" outlineLevel="0" collapsed="false">
      <c r="A440" s="50"/>
      <c r="B440" s="51"/>
      <c r="C440" s="52" t="str">
        <f aca="false">IF(B440="","",IFERROR(INDEX(הגדרות!$A$8:$A$53,MATCH(B440,הגדרות!$B$8:$B$53,0)),"⚠ לא בהגדרות"))</f>
        <v/>
      </c>
      <c r="D440" s="51"/>
      <c r="E440" s="53"/>
      <c r="F440" s="52" t="str">
        <f aca="false">IF(A440="","",INDEX(הגדרות!$H$16:$H$27,MONTH(A440)))</f>
        <v/>
      </c>
    </row>
    <row r="441" customFormat="false" ht="15" hidden="false" customHeight="false" outlineLevel="0" collapsed="false">
      <c r="A441" s="55"/>
      <c r="B441" s="56"/>
      <c r="C441" s="57" t="str">
        <f aca="false">IF(B441="","",IFERROR(INDEX(הגדרות!$A$8:$A$53,MATCH(B441,הגדרות!$B$8:$B$53,0)),"⚠ לא בהגדרות"))</f>
        <v/>
      </c>
      <c r="D441" s="56"/>
      <c r="E441" s="58"/>
      <c r="F441" s="57" t="str">
        <f aca="false">IF(A441="","",INDEX(הגדרות!$H$16:$H$27,MONTH(A441)))</f>
        <v/>
      </c>
    </row>
    <row r="442" customFormat="false" ht="15" hidden="false" customHeight="false" outlineLevel="0" collapsed="false">
      <c r="A442" s="50"/>
      <c r="B442" s="51"/>
      <c r="C442" s="52" t="str">
        <f aca="false">IF(B442="","",IFERROR(INDEX(הגדרות!$A$8:$A$53,MATCH(B442,הגדרות!$B$8:$B$53,0)),"⚠ לא בהגדרות"))</f>
        <v/>
      </c>
      <c r="D442" s="51"/>
      <c r="E442" s="53"/>
      <c r="F442" s="52" t="str">
        <f aca="false">IF(A442="","",INDEX(הגדרות!$H$16:$H$27,MONTH(A442)))</f>
        <v/>
      </c>
    </row>
    <row r="443" customFormat="false" ht="15" hidden="false" customHeight="false" outlineLevel="0" collapsed="false">
      <c r="A443" s="55"/>
      <c r="B443" s="56"/>
      <c r="C443" s="57" t="str">
        <f aca="false">IF(B443="","",IFERROR(INDEX(הגדרות!$A$8:$A$53,MATCH(B443,הגדרות!$B$8:$B$53,0)),"⚠ לא בהגדרות"))</f>
        <v/>
      </c>
      <c r="D443" s="56"/>
      <c r="E443" s="58"/>
      <c r="F443" s="57" t="str">
        <f aca="false">IF(A443="","",INDEX(הגדרות!$H$16:$H$27,MONTH(A443)))</f>
        <v/>
      </c>
    </row>
    <row r="444" customFormat="false" ht="15" hidden="false" customHeight="false" outlineLevel="0" collapsed="false">
      <c r="A444" s="50"/>
      <c r="B444" s="51"/>
      <c r="C444" s="52" t="str">
        <f aca="false">IF(B444="","",IFERROR(INDEX(הגדרות!$A$8:$A$53,MATCH(B444,הגדרות!$B$8:$B$53,0)),"⚠ לא בהגדרות"))</f>
        <v/>
      </c>
      <c r="D444" s="51"/>
      <c r="E444" s="53"/>
      <c r="F444" s="52" t="str">
        <f aca="false">IF(A444="","",INDEX(הגדרות!$H$16:$H$27,MONTH(A444)))</f>
        <v/>
      </c>
    </row>
    <row r="445" customFormat="false" ht="15" hidden="false" customHeight="false" outlineLevel="0" collapsed="false">
      <c r="A445" s="55"/>
      <c r="B445" s="56"/>
      <c r="C445" s="57" t="str">
        <f aca="false">IF(B445="","",IFERROR(INDEX(הגדרות!$A$8:$A$53,MATCH(B445,הגדרות!$B$8:$B$53,0)),"⚠ לא בהגדרות"))</f>
        <v/>
      </c>
      <c r="D445" s="56"/>
      <c r="E445" s="58"/>
      <c r="F445" s="57" t="str">
        <f aca="false">IF(A445="","",INDEX(הגדרות!$H$16:$H$27,MONTH(A445)))</f>
        <v/>
      </c>
    </row>
    <row r="446" customFormat="false" ht="15" hidden="false" customHeight="false" outlineLevel="0" collapsed="false">
      <c r="A446" s="50"/>
      <c r="B446" s="51"/>
      <c r="C446" s="52" t="str">
        <f aca="false">IF(B446="","",IFERROR(INDEX(הגדרות!$A$8:$A$53,MATCH(B446,הגדרות!$B$8:$B$53,0)),"⚠ לא בהגדרות"))</f>
        <v/>
      </c>
      <c r="D446" s="51"/>
      <c r="E446" s="53"/>
      <c r="F446" s="52" t="str">
        <f aca="false">IF(A446="","",INDEX(הגדרות!$H$16:$H$27,MONTH(A446)))</f>
        <v/>
      </c>
    </row>
    <row r="447" customFormat="false" ht="15" hidden="false" customHeight="false" outlineLevel="0" collapsed="false">
      <c r="A447" s="55"/>
      <c r="B447" s="56"/>
      <c r="C447" s="57" t="str">
        <f aca="false">IF(B447="","",IFERROR(INDEX(הגדרות!$A$8:$A$53,MATCH(B447,הגדרות!$B$8:$B$53,0)),"⚠ לא בהגדרות"))</f>
        <v/>
      </c>
      <c r="D447" s="56"/>
      <c r="E447" s="58"/>
      <c r="F447" s="57" t="str">
        <f aca="false">IF(A447="","",INDEX(הגדרות!$H$16:$H$27,MONTH(A447)))</f>
        <v/>
      </c>
    </row>
    <row r="448" customFormat="false" ht="15" hidden="false" customHeight="false" outlineLevel="0" collapsed="false">
      <c r="A448" s="50"/>
      <c r="B448" s="51"/>
      <c r="C448" s="52" t="str">
        <f aca="false">IF(B448="","",IFERROR(INDEX(הגדרות!$A$8:$A$53,MATCH(B448,הגדרות!$B$8:$B$53,0)),"⚠ לא בהגדרות"))</f>
        <v/>
      </c>
      <c r="D448" s="51"/>
      <c r="E448" s="53"/>
      <c r="F448" s="52" t="str">
        <f aca="false">IF(A448="","",INDEX(הגדרות!$H$16:$H$27,MONTH(A448)))</f>
        <v/>
      </c>
    </row>
    <row r="449" customFormat="false" ht="15" hidden="false" customHeight="false" outlineLevel="0" collapsed="false">
      <c r="A449" s="55"/>
      <c r="B449" s="56"/>
      <c r="C449" s="57" t="str">
        <f aca="false">IF(B449="","",IFERROR(INDEX(הגדרות!$A$8:$A$53,MATCH(B449,הגדרות!$B$8:$B$53,0)),"⚠ לא בהגדרות"))</f>
        <v/>
      </c>
      <c r="D449" s="56"/>
      <c r="E449" s="58"/>
      <c r="F449" s="57" t="str">
        <f aca="false">IF(A449="","",INDEX(הגדרות!$H$16:$H$27,MONTH(A449)))</f>
        <v/>
      </c>
    </row>
    <row r="450" customFormat="false" ht="15" hidden="false" customHeight="false" outlineLevel="0" collapsed="false">
      <c r="A450" s="50"/>
      <c r="B450" s="51"/>
      <c r="C450" s="52" t="str">
        <f aca="false">IF(B450="","",IFERROR(INDEX(הגדרות!$A$8:$A$53,MATCH(B450,הגדרות!$B$8:$B$53,0)),"⚠ לא בהגדרות"))</f>
        <v/>
      </c>
      <c r="D450" s="51"/>
      <c r="E450" s="53"/>
      <c r="F450" s="52" t="str">
        <f aca="false">IF(A450="","",INDEX(הגדרות!$H$16:$H$27,MONTH(A450)))</f>
        <v/>
      </c>
    </row>
    <row r="451" customFormat="false" ht="15" hidden="false" customHeight="false" outlineLevel="0" collapsed="false">
      <c r="A451" s="55"/>
      <c r="B451" s="56"/>
      <c r="C451" s="57" t="str">
        <f aca="false">IF(B451="","",IFERROR(INDEX(הגדרות!$A$8:$A$53,MATCH(B451,הגדרות!$B$8:$B$53,0)),"⚠ לא בהגדרות"))</f>
        <v/>
      </c>
      <c r="D451" s="56"/>
      <c r="E451" s="58"/>
      <c r="F451" s="57" t="str">
        <f aca="false">IF(A451="","",INDEX(הגדרות!$H$16:$H$27,MONTH(A451)))</f>
        <v/>
      </c>
    </row>
    <row r="452" customFormat="false" ht="15" hidden="false" customHeight="false" outlineLevel="0" collapsed="false">
      <c r="A452" s="50"/>
      <c r="B452" s="51"/>
      <c r="C452" s="52" t="str">
        <f aca="false">IF(B452="","",IFERROR(INDEX(הגדרות!$A$8:$A$53,MATCH(B452,הגדרות!$B$8:$B$53,0)),"⚠ לא בהגדרות"))</f>
        <v/>
      </c>
      <c r="D452" s="51"/>
      <c r="E452" s="53"/>
      <c r="F452" s="52" t="str">
        <f aca="false">IF(A452="","",INDEX(הגדרות!$H$16:$H$27,MONTH(A452)))</f>
        <v/>
      </c>
    </row>
    <row r="453" customFormat="false" ht="15" hidden="false" customHeight="false" outlineLevel="0" collapsed="false">
      <c r="A453" s="55"/>
      <c r="B453" s="56"/>
      <c r="C453" s="57" t="str">
        <f aca="false">IF(B453="","",IFERROR(INDEX(הגדרות!$A$8:$A$53,MATCH(B453,הגדרות!$B$8:$B$53,0)),"⚠ לא בהגדרות"))</f>
        <v/>
      </c>
      <c r="D453" s="56"/>
      <c r="E453" s="58"/>
      <c r="F453" s="57" t="str">
        <f aca="false">IF(A453="","",INDEX(הגדרות!$H$16:$H$27,MONTH(A453)))</f>
        <v/>
      </c>
    </row>
    <row r="454" customFormat="false" ht="15" hidden="false" customHeight="false" outlineLevel="0" collapsed="false">
      <c r="A454" s="50"/>
      <c r="B454" s="51"/>
      <c r="C454" s="52" t="str">
        <f aca="false">IF(B454="","",IFERROR(INDEX(הגדרות!$A$8:$A$53,MATCH(B454,הגדרות!$B$8:$B$53,0)),"⚠ לא בהגדרות"))</f>
        <v/>
      </c>
      <c r="D454" s="51"/>
      <c r="E454" s="53"/>
      <c r="F454" s="52" t="str">
        <f aca="false">IF(A454="","",INDEX(הגדרות!$H$16:$H$27,MONTH(A454)))</f>
        <v/>
      </c>
    </row>
    <row r="455" customFormat="false" ht="15" hidden="false" customHeight="false" outlineLevel="0" collapsed="false">
      <c r="A455" s="55"/>
      <c r="B455" s="56"/>
      <c r="C455" s="57" t="str">
        <f aca="false">IF(B455="","",IFERROR(INDEX(הגדרות!$A$8:$A$53,MATCH(B455,הגדרות!$B$8:$B$53,0)),"⚠ לא בהגדרות"))</f>
        <v/>
      </c>
      <c r="D455" s="56"/>
      <c r="E455" s="58"/>
      <c r="F455" s="57" t="str">
        <f aca="false">IF(A455="","",INDEX(הגדרות!$H$16:$H$27,MONTH(A455)))</f>
        <v/>
      </c>
    </row>
    <row r="456" customFormat="false" ht="15" hidden="false" customHeight="false" outlineLevel="0" collapsed="false">
      <c r="A456" s="50"/>
      <c r="B456" s="51"/>
      <c r="C456" s="52" t="str">
        <f aca="false">IF(B456="","",IFERROR(INDEX(הגדרות!$A$8:$A$53,MATCH(B456,הגדרות!$B$8:$B$53,0)),"⚠ לא בהגדרות"))</f>
        <v/>
      </c>
      <c r="D456" s="51"/>
      <c r="E456" s="53"/>
      <c r="F456" s="52" t="str">
        <f aca="false">IF(A456="","",INDEX(הגדרות!$H$16:$H$27,MONTH(A456)))</f>
        <v/>
      </c>
    </row>
    <row r="457" customFormat="false" ht="15" hidden="false" customHeight="false" outlineLevel="0" collapsed="false">
      <c r="A457" s="55"/>
      <c r="B457" s="56"/>
      <c r="C457" s="57" t="str">
        <f aca="false">IF(B457="","",IFERROR(INDEX(הגדרות!$A$8:$A$53,MATCH(B457,הגדרות!$B$8:$B$53,0)),"⚠ לא בהגדרות"))</f>
        <v/>
      </c>
      <c r="D457" s="56"/>
      <c r="E457" s="58"/>
      <c r="F457" s="57" t="str">
        <f aca="false">IF(A457="","",INDEX(הגדרות!$H$16:$H$27,MONTH(A457)))</f>
        <v/>
      </c>
    </row>
    <row r="458" customFormat="false" ht="15" hidden="false" customHeight="false" outlineLevel="0" collapsed="false">
      <c r="A458" s="50"/>
      <c r="B458" s="51"/>
      <c r="C458" s="52" t="str">
        <f aca="false">IF(B458="","",IFERROR(INDEX(הגדרות!$A$8:$A$53,MATCH(B458,הגדרות!$B$8:$B$53,0)),"⚠ לא בהגדרות"))</f>
        <v/>
      </c>
      <c r="D458" s="51"/>
      <c r="E458" s="53"/>
      <c r="F458" s="52" t="str">
        <f aca="false">IF(A458="","",INDEX(הגדרות!$H$16:$H$27,MONTH(A458)))</f>
        <v/>
      </c>
    </row>
    <row r="459" customFormat="false" ht="15" hidden="false" customHeight="false" outlineLevel="0" collapsed="false">
      <c r="A459" s="55"/>
      <c r="B459" s="56"/>
      <c r="C459" s="57" t="str">
        <f aca="false">IF(B459="","",IFERROR(INDEX(הגדרות!$A$8:$A$53,MATCH(B459,הגדרות!$B$8:$B$53,0)),"⚠ לא בהגדרות"))</f>
        <v/>
      </c>
      <c r="D459" s="56"/>
      <c r="E459" s="58"/>
      <c r="F459" s="57" t="str">
        <f aca="false">IF(A459="","",INDEX(הגדרות!$H$16:$H$27,MONTH(A459)))</f>
        <v/>
      </c>
    </row>
    <row r="460" customFormat="false" ht="15" hidden="false" customHeight="false" outlineLevel="0" collapsed="false">
      <c r="A460" s="50"/>
      <c r="B460" s="51"/>
      <c r="C460" s="52" t="str">
        <f aca="false">IF(B460="","",IFERROR(INDEX(הגדרות!$A$8:$A$53,MATCH(B460,הגדרות!$B$8:$B$53,0)),"⚠ לא בהגדרות"))</f>
        <v/>
      </c>
      <c r="D460" s="51"/>
      <c r="E460" s="53"/>
      <c r="F460" s="52" t="str">
        <f aca="false">IF(A460="","",INDEX(הגדרות!$H$16:$H$27,MONTH(A460)))</f>
        <v/>
      </c>
    </row>
    <row r="461" customFormat="false" ht="15" hidden="false" customHeight="false" outlineLevel="0" collapsed="false">
      <c r="A461" s="55"/>
      <c r="B461" s="56"/>
      <c r="C461" s="57" t="str">
        <f aca="false">IF(B461="","",IFERROR(INDEX(הגדרות!$A$8:$A$53,MATCH(B461,הגדרות!$B$8:$B$53,0)),"⚠ לא בהגדרות"))</f>
        <v/>
      </c>
      <c r="D461" s="56"/>
      <c r="E461" s="58"/>
      <c r="F461" s="57" t="str">
        <f aca="false">IF(A461="","",INDEX(הגדרות!$H$16:$H$27,MONTH(A461)))</f>
        <v/>
      </c>
    </row>
    <row r="462" customFormat="false" ht="15" hidden="false" customHeight="false" outlineLevel="0" collapsed="false">
      <c r="A462" s="50"/>
      <c r="B462" s="51"/>
      <c r="C462" s="52" t="str">
        <f aca="false">IF(B462="","",IFERROR(INDEX(הגדרות!$A$8:$A$53,MATCH(B462,הגדרות!$B$8:$B$53,0)),"⚠ לא בהגדרות"))</f>
        <v/>
      </c>
      <c r="D462" s="51"/>
      <c r="E462" s="53"/>
      <c r="F462" s="52" t="str">
        <f aca="false">IF(A462="","",INDEX(הגדרות!$H$16:$H$27,MONTH(A462)))</f>
        <v/>
      </c>
    </row>
    <row r="463" customFormat="false" ht="15" hidden="false" customHeight="false" outlineLevel="0" collapsed="false">
      <c r="A463" s="55"/>
      <c r="B463" s="56"/>
      <c r="C463" s="57" t="str">
        <f aca="false">IF(B463="","",IFERROR(INDEX(הגדרות!$A$8:$A$53,MATCH(B463,הגדרות!$B$8:$B$53,0)),"⚠ לא בהגדרות"))</f>
        <v/>
      </c>
      <c r="D463" s="56"/>
      <c r="E463" s="58"/>
      <c r="F463" s="57" t="str">
        <f aca="false">IF(A463="","",INDEX(הגדרות!$H$16:$H$27,MONTH(A463)))</f>
        <v/>
      </c>
    </row>
    <row r="464" customFormat="false" ht="15" hidden="false" customHeight="false" outlineLevel="0" collapsed="false">
      <c r="A464" s="50"/>
      <c r="B464" s="51"/>
      <c r="C464" s="52" t="str">
        <f aca="false">IF(B464="","",IFERROR(INDEX(הגדרות!$A$8:$A$53,MATCH(B464,הגדרות!$B$8:$B$53,0)),"⚠ לא בהגדרות"))</f>
        <v/>
      </c>
      <c r="D464" s="51"/>
      <c r="E464" s="53"/>
      <c r="F464" s="52" t="str">
        <f aca="false">IF(A464="","",INDEX(הגדרות!$H$16:$H$27,MONTH(A464)))</f>
        <v/>
      </c>
    </row>
    <row r="465" customFormat="false" ht="15" hidden="false" customHeight="false" outlineLevel="0" collapsed="false">
      <c r="A465" s="55"/>
      <c r="B465" s="56"/>
      <c r="C465" s="57" t="str">
        <f aca="false">IF(B465="","",IFERROR(INDEX(הגדרות!$A$8:$A$53,MATCH(B465,הגדרות!$B$8:$B$53,0)),"⚠ לא בהגדרות"))</f>
        <v/>
      </c>
      <c r="D465" s="56"/>
      <c r="E465" s="58"/>
      <c r="F465" s="57" t="str">
        <f aca="false">IF(A465="","",INDEX(הגדרות!$H$16:$H$27,MONTH(A465)))</f>
        <v/>
      </c>
    </row>
    <row r="466" customFormat="false" ht="15" hidden="false" customHeight="false" outlineLevel="0" collapsed="false">
      <c r="A466" s="50"/>
      <c r="B466" s="51"/>
      <c r="C466" s="52" t="str">
        <f aca="false">IF(B466="","",IFERROR(INDEX(הגדרות!$A$8:$A$53,MATCH(B466,הגדרות!$B$8:$B$53,0)),"⚠ לא בהגדרות"))</f>
        <v/>
      </c>
      <c r="D466" s="51"/>
      <c r="E466" s="53"/>
      <c r="F466" s="52" t="str">
        <f aca="false">IF(A466="","",INDEX(הגדרות!$H$16:$H$27,MONTH(A466)))</f>
        <v/>
      </c>
    </row>
    <row r="467" customFormat="false" ht="15" hidden="false" customHeight="false" outlineLevel="0" collapsed="false">
      <c r="A467" s="55"/>
      <c r="B467" s="56"/>
      <c r="C467" s="57" t="str">
        <f aca="false">IF(B467="","",IFERROR(INDEX(הגדרות!$A$8:$A$53,MATCH(B467,הגדרות!$B$8:$B$53,0)),"⚠ לא בהגדרות"))</f>
        <v/>
      </c>
      <c r="D467" s="56"/>
      <c r="E467" s="58"/>
      <c r="F467" s="57" t="str">
        <f aca="false">IF(A467="","",INDEX(הגדרות!$H$16:$H$27,MONTH(A467)))</f>
        <v/>
      </c>
    </row>
    <row r="468" customFormat="false" ht="15" hidden="false" customHeight="false" outlineLevel="0" collapsed="false">
      <c r="A468" s="50"/>
      <c r="B468" s="51"/>
      <c r="C468" s="52" t="str">
        <f aca="false">IF(B468="","",IFERROR(INDEX(הגדרות!$A$8:$A$53,MATCH(B468,הגדרות!$B$8:$B$53,0)),"⚠ לא בהגדרות"))</f>
        <v/>
      </c>
      <c r="D468" s="51"/>
      <c r="E468" s="53"/>
      <c r="F468" s="52" t="str">
        <f aca="false">IF(A468="","",INDEX(הגדרות!$H$16:$H$27,MONTH(A468)))</f>
        <v/>
      </c>
    </row>
    <row r="469" customFormat="false" ht="15" hidden="false" customHeight="false" outlineLevel="0" collapsed="false">
      <c r="A469" s="55"/>
      <c r="B469" s="56"/>
      <c r="C469" s="57" t="str">
        <f aca="false">IF(B469="","",IFERROR(INDEX(הגדרות!$A$8:$A$53,MATCH(B469,הגדרות!$B$8:$B$53,0)),"⚠ לא בהגדרות"))</f>
        <v/>
      </c>
      <c r="D469" s="56"/>
      <c r="E469" s="58"/>
      <c r="F469" s="57" t="str">
        <f aca="false">IF(A469="","",INDEX(הגדרות!$H$16:$H$27,MONTH(A469)))</f>
        <v/>
      </c>
    </row>
    <row r="470" customFormat="false" ht="15" hidden="false" customHeight="false" outlineLevel="0" collapsed="false">
      <c r="A470" s="50"/>
      <c r="B470" s="51"/>
      <c r="C470" s="52" t="str">
        <f aca="false">IF(B470="","",IFERROR(INDEX(הגדרות!$A$8:$A$53,MATCH(B470,הגדרות!$B$8:$B$53,0)),"⚠ לא בהגדרות"))</f>
        <v/>
      </c>
      <c r="D470" s="51"/>
      <c r="E470" s="53"/>
      <c r="F470" s="52" t="str">
        <f aca="false">IF(A470="","",INDEX(הגדרות!$H$16:$H$27,MONTH(A470)))</f>
        <v/>
      </c>
    </row>
    <row r="471" customFormat="false" ht="15" hidden="false" customHeight="false" outlineLevel="0" collapsed="false">
      <c r="A471" s="55"/>
      <c r="B471" s="56"/>
      <c r="C471" s="57" t="str">
        <f aca="false">IF(B471="","",IFERROR(INDEX(הגדרות!$A$8:$A$53,MATCH(B471,הגדרות!$B$8:$B$53,0)),"⚠ לא בהגדרות"))</f>
        <v/>
      </c>
      <c r="D471" s="56"/>
      <c r="E471" s="58"/>
      <c r="F471" s="57" t="str">
        <f aca="false">IF(A471="","",INDEX(הגדרות!$H$16:$H$27,MONTH(A471)))</f>
        <v/>
      </c>
    </row>
    <row r="472" customFormat="false" ht="15" hidden="false" customHeight="false" outlineLevel="0" collapsed="false">
      <c r="A472" s="50"/>
      <c r="B472" s="51"/>
      <c r="C472" s="52" t="str">
        <f aca="false">IF(B472="","",IFERROR(INDEX(הגדרות!$A$8:$A$53,MATCH(B472,הגדרות!$B$8:$B$53,0)),"⚠ לא בהגדרות"))</f>
        <v/>
      </c>
      <c r="D472" s="51"/>
      <c r="E472" s="53"/>
      <c r="F472" s="52" t="str">
        <f aca="false">IF(A472="","",INDEX(הגדרות!$H$16:$H$27,MONTH(A472)))</f>
        <v/>
      </c>
    </row>
    <row r="473" customFormat="false" ht="15" hidden="false" customHeight="false" outlineLevel="0" collapsed="false">
      <c r="A473" s="55"/>
      <c r="B473" s="56"/>
      <c r="C473" s="57" t="str">
        <f aca="false">IF(B473="","",IFERROR(INDEX(הגדרות!$A$8:$A$53,MATCH(B473,הגדרות!$B$8:$B$53,0)),"⚠ לא בהגדרות"))</f>
        <v/>
      </c>
      <c r="D473" s="56"/>
      <c r="E473" s="58"/>
      <c r="F473" s="57" t="str">
        <f aca="false">IF(A473="","",INDEX(הגדרות!$H$16:$H$27,MONTH(A473)))</f>
        <v/>
      </c>
    </row>
    <row r="474" customFormat="false" ht="15" hidden="false" customHeight="false" outlineLevel="0" collapsed="false">
      <c r="A474" s="50"/>
      <c r="B474" s="51"/>
      <c r="C474" s="52" t="str">
        <f aca="false">IF(B474="","",IFERROR(INDEX(הגדרות!$A$8:$A$53,MATCH(B474,הגדרות!$B$8:$B$53,0)),"⚠ לא בהגדרות"))</f>
        <v/>
      </c>
      <c r="D474" s="51"/>
      <c r="E474" s="53"/>
      <c r="F474" s="52" t="str">
        <f aca="false">IF(A474="","",INDEX(הגדרות!$H$16:$H$27,MONTH(A474)))</f>
        <v/>
      </c>
    </row>
    <row r="475" customFormat="false" ht="15" hidden="false" customHeight="false" outlineLevel="0" collapsed="false">
      <c r="A475" s="55"/>
      <c r="B475" s="56"/>
      <c r="C475" s="57" t="str">
        <f aca="false">IF(B475="","",IFERROR(INDEX(הגדרות!$A$8:$A$53,MATCH(B475,הגדרות!$B$8:$B$53,0)),"⚠ לא בהגדרות"))</f>
        <v/>
      </c>
      <c r="D475" s="56"/>
      <c r="E475" s="58"/>
      <c r="F475" s="57" t="str">
        <f aca="false">IF(A475="","",INDEX(הגדרות!$H$16:$H$27,MONTH(A475)))</f>
        <v/>
      </c>
    </row>
    <row r="476" customFormat="false" ht="15" hidden="false" customHeight="false" outlineLevel="0" collapsed="false">
      <c r="A476" s="50"/>
      <c r="B476" s="51"/>
      <c r="C476" s="52" t="str">
        <f aca="false">IF(B476="","",IFERROR(INDEX(הגדרות!$A$8:$A$53,MATCH(B476,הגדרות!$B$8:$B$53,0)),"⚠ לא בהגדרות"))</f>
        <v/>
      </c>
      <c r="D476" s="51"/>
      <c r="E476" s="53"/>
      <c r="F476" s="52" t="str">
        <f aca="false">IF(A476="","",INDEX(הגדרות!$H$16:$H$27,MONTH(A476)))</f>
        <v/>
      </c>
    </row>
    <row r="477" customFormat="false" ht="15" hidden="false" customHeight="false" outlineLevel="0" collapsed="false">
      <c r="A477" s="55"/>
      <c r="B477" s="56"/>
      <c r="C477" s="57" t="str">
        <f aca="false">IF(B477="","",IFERROR(INDEX(הגדרות!$A$8:$A$53,MATCH(B477,הגדרות!$B$8:$B$53,0)),"⚠ לא בהגדרות"))</f>
        <v/>
      </c>
      <c r="D477" s="56"/>
      <c r="E477" s="58"/>
      <c r="F477" s="57" t="str">
        <f aca="false">IF(A477="","",INDEX(הגדרות!$H$16:$H$27,MONTH(A477)))</f>
        <v/>
      </c>
    </row>
    <row r="478" customFormat="false" ht="15" hidden="false" customHeight="false" outlineLevel="0" collapsed="false">
      <c r="A478" s="50"/>
      <c r="B478" s="51"/>
      <c r="C478" s="52" t="str">
        <f aca="false">IF(B478="","",IFERROR(INDEX(הגדרות!$A$8:$A$53,MATCH(B478,הגדרות!$B$8:$B$53,0)),"⚠ לא בהגדרות"))</f>
        <v/>
      </c>
      <c r="D478" s="51"/>
      <c r="E478" s="53"/>
      <c r="F478" s="52" t="str">
        <f aca="false">IF(A478="","",INDEX(הגדרות!$H$16:$H$27,MONTH(A478)))</f>
        <v/>
      </c>
    </row>
    <row r="479" customFormat="false" ht="15" hidden="false" customHeight="false" outlineLevel="0" collapsed="false">
      <c r="A479" s="55"/>
      <c r="B479" s="56"/>
      <c r="C479" s="57" t="str">
        <f aca="false">IF(B479="","",IFERROR(INDEX(הגדרות!$A$8:$A$53,MATCH(B479,הגדרות!$B$8:$B$53,0)),"⚠ לא בהגדרות"))</f>
        <v/>
      </c>
      <c r="D479" s="56"/>
      <c r="E479" s="58"/>
      <c r="F479" s="57" t="str">
        <f aca="false">IF(A479="","",INDEX(הגדרות!$H$16:$H$27,MONTH(A479)))</f>
        <v/>
      </c>
    </row>
    <row r="480" customFormat="false" ht="15" hidden="false" customHeight="false" outlineLevel="0" collapsed="false">
      <c r="A480" s="50"/>
      <c r="B480" s="51"/>
      <c r="C480" s="52" t="str">
        <f aca="false">IF(B480="","",IFERROR(INDEX(הגדרות!$A$8:$A$53,MATCH(B480,הגדרות!$B$8:$B$53,0)),"⚠ לא בהגדרות"))</f>
        <v/>
      </c>
      <c r="D480" s="51"/>
      <c r="E480" s="53"/>
      <c r="F480" s="52" t="str">
        <f aca="false">IF(A480="","",INDEX(הגדרות!$H$16:$H$27,MONTH(A480)))</f>
        <v/>
      </c>
    </row>
    <row r="481" customFormat="false" ht="15" hidden="false" customHeight="false" outlineLevel="0" collapsed="false">
      <c r="A481" s="55"/>
      <c r="B481" s="56"/>
      <c r="C481" s="57" t="str">
        <f aca="false">IF(B481="","",IFERROR(INDEX(הגדרות!$A$8:$A$53,MATCH(B481,הגדרות!$B$8:$B$53,0)),"⚠ לא בהגדרות"))</f>
        <v/>
      </c>
      <c r="D481" s="56"/>
      <c r="E481" s="58"/>
      <c r="F481" s="57" t="str">
        <f aca="false">IF(A481="","",INDEX(הגדרות!$H$16:$H$27,MONTH(A481)))</f>
        <v/>
      </c>
    </row>
    <row r="482" customFormat="false" ht="15" hidden="false" customHeight="false" outlineLevel="0" collapsed="false">
      <c r="A482" s="50"/>
      <c r="B482" s="51"/>
      <c r="C482" s="52" t="str">
        <f aca="false">IF(B482="","",IFERROR(INDEX(הגדרות!$A$8:$A$53,MATCH(B482,הגדרות!$B$8:$B$53,0)),"⚠ לא בהגדרות"))</f>
        <v/>
      </c>
      <c r="D482" s="51"/>
      <c r="E482" s="53"/>
      <c r="F482" s="52" t="str">
        <f aca="false">IF(A482="","",INDEX(הגדרות!$H$16:$H$27,MONTH(A482)))</f>
        <v/>
      </c>
    </row>
    <row r="483" customFormat="false" ht="15" hidden="false" customHeight="false" outlineLevel="0" collapsed="false">
      <c r="A483" s="55"/>
      <c r="B483" s="56"/>
      <c r="C483" s="57" t="str">
        <f aca="false">IF(B483="","",IFERROR(INDEX(הגדרות!$A$8:$A$53,MATCH(B483,הגדרות!$B$8:$B$53,0)),"⚠ לא בהגדרות"))</f>
        <v/>
      </c>
      <c r="D483" s="56"/>
      <c r="E483" s="58"/>
      <c r="F483" s="57" t="str">
        <f aca="false">IF(A483="","",INDEX(הגדרות!$H$16:$H$27,MONTH(A483)))</f>
        <v/>
      </c>
    </row>
    <row r="484" customFormat="false" ht="15" hidden="false" customHeight="false" outlineLevel="0" collapsed="false">
      <c r="A484" s="50"/>
      <c r="B484" s="51"/>
      <c r="C484" s="52" t="str">
        <f aca="false">IF(B484="","",IFERROR(INDEX(הגדרות!$A$8:$A$53,MATCH(B484,הגדרות!$B$8:$B$53,0)),"⚠ לא בהגדרות"))</f>
        <v/>
      </c>
      <c r="D484" s="51"/>
      <c r="E484" s="53"/>
      <c r="F484" s="52" t="str">
        <f aca="false">IF(A484="","",INDEX(הגדרות!$H$16:$H$27,MONTH(A484)))</f>
        <v/>
      </c>
    </row>
    <row r="485" customFormat="false" ht="15" hidden="false" customHeight="false" outlineLevel="0" collapsed="false">
      <c r="A485" s="55"/>
      <c r="B485" s="56"/>
      <c r="C485" s="57" t="str">
        <f aca="false">IF(B485="","",IFERROR(INDEX(הגדרות!$A$8:$A$53,MATCH(B485,הגדרות!$B$8:$B$53,0)),"⚠ לא בהגדרות"))</f>
        <v/>
      </c>
      <c r="D485" s="56"/>
      <c r="E485" s="58"/>
      <c r="F485" s="57" t="str">
        <f aca="false">IF(A485="","",INDEX(הגדרות!$H$16:$H$27,MONTH(A485)))</f>
        <v/>
      </c>
    </row>
    <row r="486" customFormat="false" ht="15" hidden="false" customHeight="false" outlineLevel="0" collapsed="false">
      <c r="A486" s="50"/>
      <c r="B486" s="51"/>
      <c r="C486" s="52" t="str">
        <f aca="false">IF(B486="","",IFERROR(INDEX(הגדרות!$A$8:$A$53,MATCH(B486,הגדרות!$B$8:$B$53,0)),"⚠ לא בהגדרות"))</f>
        <v/>
      </c>
      <c r="D486" s="51"/>
      <c r="E486" s="53"/>
      <c r="F486" s="52" t="str">
        <f aca="false">IF(A486="","",INDEX(הגדרות!$H$16:$H$27,MONTH(A486)))</f>
        <v/>
      </c>
    </row>
    <row r="487" customFormat="false" ht="15" hidden="false" customHeight="false" outlineLevel="0" collapsed="false">
      <c r="A487" s="55"/>
      <c r="B487" s="56"/>
      <c r="C487" s="57" t="str">
        <f aca="false">IF(B487="","",IFERROR(INDEX(הגדרות!$A$8:$A$53,MATCH(B487,הגדרות!$B$8:$B$53,0)),"⚠ לא בהגדרות"))</f>
        <v/>
      </c>
      <c r="D487" s="56"/>
      <c r="E487" s="58"/>
      <c r="F487" s="57" t="str">
        <f aca="false">IF(A487="","",INDEX(הגדרות!$H$16:$H$27,MONTH(A487)))</f>
        <v/>
      </c>
    </row>
    <row r="488" customFormat="false" ht="15" hidden="false" customHeight="false" outlineLevel="0" collapsed="false">
      <c r="A488" s="50"/>
      <c r="B488" s="51"/>
      <c r="C488" s="52" t="str">
        <f aca="false">IF(B488="","",IFERROR(INDEX(הגדרות!$A$8:$A$53,MATCH(B488,הגדרות!$B$8:$B$53,0)),"⚠ לא בהגדרות"))</f>
        <v/>
      </c>
      <c r="D488" s="51"/>
      <c r="E488" s="53"/>
      <c r="F488" s="52" t="str">
        <f aca="false">IF(A488="","",INDEX(הגדרות!$H$16:$H$27,MONTH(A488)))</f>
        <v/>
      </c>
    </row>
    <row r="489" customFormat="false" ht="15" hidden="false" customHeight="false" outlineLevel="0" collapsed="false">
      <c r="A489" s="55"/>
      <c r="B489" s="56"/>
      <c r="C489" s="57" t="str">
        <f aca="false">IF(B489="","",IFERROR(INDEX(הגדרות!$A$8:$A$53,MATCH(B489,הגדרות!$B$8:$B$53,0)),"⚠ לא בהגדרות"))</f>
        <v/>
      </c>
      <c r="D489" s="56"/>
      <c r="E489" s="58"/>
      <c r="F489" s="57" t="str">
        <f aca="false">IF(A489="","",INDEX(הגדרות!$H$16:$H$27,MONTH(A489)))</f>
        <v/>
      </c>
    </row>
    <row r="490" customFormat="false" ht="15" hidden="false" customHeight="false" outlineLevel="0" collapsed="false">
      <c r="A490" s="50"/>
      <c r="B490" s="51"/>
      <c r="C490" s="52" t="str">
        <f aca="false">IF(B490="","",IFERROR(INDEX(הגדרות!$A$8:$A$53,MATCH(B490,הגדרות!$B$8:$B$53,0)),"⚠ לא בהגדרות"))</f>
        <v/>
      </c>
      <c r="D490" s="51"/>
      <c r="E490" s="53"/>
      <c r="F490" s="52" t="str">
        <f aca="false">IF(A490="","",INDEX(הגדרות!$H$16:$H$27,MONTH(A490)))</f>
        <v/>
      </c>
    </row>
    <row r="491" customFormat="false" ht="15" hidden="false" customHeight="false" outlineLevel="0" collapsed="false">
      <c r="A491" s="55"/>
      <c r="B491" s="56"/>
      <c r="C491" s="57" t="str">
        <f aca="false">IF(B491="","",IFERROR(INDEX(הגדרות!$A$8:$A$53,MATCH(B491,הגדרות!$B$8:$B$53,0)),"⚠ לא בהגדרות"))</f>
        <v/>
      </c>
      <c r="D491" s="56"/>
      <c r="E491" s="58"/>
      <c r="F491" s="57" t="str">
        <f aca="false">IF(A491="","",INDEX(הגדרות!$H$16:$H$27,MONTH(A491)))</f>
        <v/>
      </c>
    </row>
    <row r="492" customFormat="false" ht="15" hidden="false" customHeight="false" outlineLevel="0" collapsed="false">
      <c r="A492" s="50"/>
      <c r="B492" s="51"/>
      <c r="C492" s="52" t="str">
        <f aca="false">IF(B492="","",IFERROR(INDEX(הגדרות!$A$8:$A$53,MATCH(B492,הגדרות!$B$8:$B$53,0)),"⚠ לא בהגדרות"))</f>
        <v/>
      </c>
      <c r="D492" s="51"/>
      <c r="E492" s="53"/>
      <c r="F492" s="52" t="str">
        <f aca="false">IF(A492="","",INDEX(הגדרות!$H$16:$H$27,MONTH(A492)))</f>
        <v/>
      </c>
    </row>
    <row r="493" customFormat="false" ht="15" hidden="false" customHeight="false" outlineLevel="0" collapsed="false">
      <c r="A493" s="55"/>
      <c r="B493" s="56"/>
      <c r="C493" s="57" t="str">
        <f aca="false">IF(B493="","",IFERROR(INDEX(הגדרות!$A$8:$A$53,MATCH(B493,הגדרות!$B$8:$B$53,0)),"⚠ לא בהגדרות"))</f>
        <v/>
      </c>
      <c r="D493" s="56"/>
      <c r="E493" s="58"/>
      <c r="F493" s="57" t="str">
        <f aca="false">IF(A493="","",INDEX(הגדרות!$H$16:$H$27,MONTH(A493)))</f>
        <v/>
      </c>
    </row>
    <row r="494" customFormat="false" ht="15" hidden="false" customHeight="false" outlineLevel="0" collapsed="false">
      <c r="A494" s="50"/>
      <c r="B494" s="51"/>
      <c r="C494" s="52" t="str">
        <f aca="false">IF(B494="","",IFERROR(INDEX(הגדרות!$A$8:$A$53,MATCH(B494,הגדרות!$B$8:$B$53,0)),"⚠ לא בהגדרות"))</f>
        <v/>
      </c>
      <c r="D494" s="51"/>
      <c r="E494" s="53"/>
      <c r="F494" s="52" t="str">
        <f aca="false">IF(A494="","",INDEX(הגדרות!$H$16:$H$27,MONTH(A494)))</f>
        <v/>
      </c>
    </row>
    <row r="495" customFormat="false" ht="15" hidden="false" customHeight="false" outlineLevel="0" collapsed="false">
      <c r="A495" s="55"/>
      <c r="B495" s="56"/>
      <c r="C495" s="57" t="str">
        <f aca="false">IF(B495="","",IFERROR(INDEX(הגדרות!$A$8:$A$53,MATCH(B495,הגדרות!$B$8:$B$53,0)),"⚠ לא בהגדרות"))</f>
        <v/>
      </c>
      <c r="D495" s="56"/>
      <c r="E495" s="58"/>
      <c r="F495" s="57" t="str">
        <f aca="false">IF(A495="","",INDEX(הגדרות!$H$16:$H$27,MONTH(A495)))</f>
        <v/>
      </c>
    </row>
    <row r="496" customFormat="false" ht="15" hidden="false" customHeight="false" outlineLevel="0" collapsed="false">
      <c r="A496" s="50"/>
      <c r="B496" s="51"/>
      <c r="C496" s="52" t="str">
        <f aca="false">IF(B496="","",IFERROR(INDEX(הגדרות!$A$8:$A$53,MATCH(B496,הגדרות!$B$8:$B$53,0)),"⚠ לא בהגדרות"))</f>
        <v/>
      </c>
      <c r="D496" s="51"/>
      <c r="E496" s="53"/>
      <c r="F496" s="52" t="str">
        <f aca="false">IF(A496="","",INDEX(הגדרות!$H$16:$H$27,MONTH(A496)))</f>
        <v/>
      </c>
    </row>
    <row r="497" customFormat="false" ht="15" hidden="false" customHeight="false" outlineLevel="0" collapsed="false">
      <c r="A497" s="55"/>
      <c r="B497" s="56"/>
      <c r="C497" s="57" t="str">
        <f aca="false">IF(B497="","",IFERROR(INDEX(הגדרות!$A$8:$A$53,MATCH(B497,הגדרות!$B$8:$B$53,0)),"⚠ לא בהגדרות"))</f>
        <v/>
      </c>
      <c r="D497" s="56"/>
      <c r="E497" s="58"/>
      <c r="F497" s="57" t="str">
        <f aca="false">IF(A497="","",INDEX(הגדרות!$H$16:$H$27,MONTH(A497)))</f>
        <v/>
      </c>
    </row>
    <row r="498" customFormat="false" ht="15" hidden="false" customHeight="false" outlineLevel="0" collapsed="false">
      <c r="A498" s="50"/>
      <c r="B498" s="51"/>
      <c r="C498" s="52" t="str">
        <f aca="false">IF(B498="","",IFERROR(INDEX(הגדרות!$A$8:$A$53,MATCH(B498,הגדרות!$B$8:$B$53,0)),"⚠ לא בהגדרות"))</f>
        <v/>
      </c>
      <c r="D498" s="51"/>
      <c r="E498" s="53"/>
      <c r="F498" s="52" t="str">
        <f aca="false">IF(A498="","",INDEX(הגדרות!$H$16:$H$27,MONTH(A498)))</f>
        <v/>
      </c>
    </row>
    <row r="499" customFormat="false" ht="15" hidden="false" customHeight="false" outlineLevel="0" collapsed="false">
      <c r="A499" s="55"/>
      <c r="B499" s="56"/>
      <c r="C499" s="57" t="str">
        <f aca="false">IF(B499="","",IFERROR(INDEX(הגדרות!$A$8:$A$53,MATCH(B499,הגדרות!$B$8:$B$53,0)),"⚠ לא בהגדרות"))</f>
        <v/>
      </c>
      <c r="D499" s="56"/>
      <c r="E499" s="58"/>
      <c r="F499" s="57" t="str">
        <f aca="false">IF(A499="","",INDEX(הגדרות!$H$16:$H$27,MONTH(A499)))</f>
        <v/>
      </c>
    </row>
    <row r="500" customFormat="false" ht="15" hidden="false" customHeight="false" outlineLevel="0" collapsed="false">
      <c r="A500" s="50"/>
      <c r="B500" s="51"/>
      <c r="C500" s="52" t="str">
        <f aca="false">IF(B500="","",IFERROR(INDEX(הגדרות!$A$8:$A$53,MATCH(B500,הגדרות!$B$8:$B$53,0)),"⚠ לא בהגדרות"))</f>
        <v/>
      </c>
      <c r="D500" s="51"/>
      <c r="E500" s="53"/>
      <c r="F500" s="52" t="str">
        <f aca="false">IF(A500="","",INDEX(הגדרות!$H$16:$H$27,MONTH(A500)))</f>
        <v/>
      </c>
    </row>
    <row r="501" customFormat="false" ht="15" hidden="false" customHeight="false" outlineLevel="0" collapsed="false">
      <c r="A501" s="55"/>
      <c r="B501" s="56"/>
      <c r="C501" s="57" t="str">
        <f aca="false">IF(B501="","",IFERROR(INDEX(הגדרות!$A$8:$A$53,MATCH(B501,הגדרות!$B$8:$B$53,0)),"⚠ לא בהגדרות"))</f>
        <v/>
      </c>
      <c r="D501" s="56"/>
      <c r="E501" s="58"/>
      <c r="F501" s="57" t="str">
        <f aca="false">IF(A501="","",INDEX(הגדרות!$H$16:$H$27,MONTH(A501)))</f>
        <v/>
      </c>
    </row>
    <row r="502" customFormat="false" ht="15" hidden="false" customHeight="false" outlineLevel="0" collapsed="false">
      <c r="A502" s="50"/>
      <c r="B502" s="51"/>
      <c r="C502" s="52" t="str">
        <f aca="false">IF(B502="","",IFERROR(INDEX(הגדרות!$A$8:$A$53,MATCH(B502,הגדרות!$B$8:$B$53,0)),"⚠ לא בהגדרות"))</f>
        <v/>
      </c>
      <c r="D502" s="51"/>
      <c r="E502" s="53"/>
      <c r="F502" s="52" t="str">
        <f aca="false">IF(A502="","",INDEX(הגדרות!$H$16:$H$27,MONTH(A502)))</f>
        <v/>
      </c>
    </row>
    <row r="503" customFormat="false" ht="15" hidden="false" customHeight="false" outlineLevel="0" collapsed="false">
      <c r="A503" s="55"/>
      <c r="B503" s="56"/>
      <c r="C503" s="57" t="str">
        <f aca="false">IF(B503="","",IFERROR(INDEX(הגדרות!$A$8:$A$53,MATCH(B503,הגדרות!$B$8:$B$53,0)),"⚠ לא בהגדרות"))</f>
        <v/>
      </c>
      <c r="D503" s="56"/>
      <c r="E503" s="58"/>
      <c r="F503" s="57" t="str">
        <f aca="false">IF(A503="","",INDEX(הגדרות!$H$16:$H$27,MONTH(A503)))</f>
        <v/>
      </c>
    </row>
    <row r="504" customFormat="false" ht="15" hidden="false" customHeight="false" outlineLevel="0" collapsed="false">
      <c r="A504" s="50"/>
      <c r="B504" s="51"/>
      <c r="C504" s="52" t="str">
        <f aca="false">IF(B504="","",IFERROR(INDEX(הגדרות!$A$8:$A$53,MATCH(B504,הגדרות!$B$8:$B$53,0)),"⚠ לא בהגדרות"))</f>
        <v/>
      </c>
      <c r="D504" s="51"/>
      <c r="E504" s="53"/>
      <c r="F504" s="52" t="str">
        <f aca="false">IF(A504="","",INDEX(הגדרות!$H$16:$H$27,MONTH(A504)))</f>
        <v/>
      </c>
    </row>
    <row r="505" customFormat="false" ht="15" hidden="false" customHeight="false" outlineLevel="0" collapsed="false">
      <c r="A505" s="55"/>
      <c r="B505" s="56"/>
      <c r="C505" s="57" t="str">
        <f aca="false">IF(B505="","",IFERROR(INDEX(הגדרות!$A$8:$A$53,MATCH(B505,הגדרות!$B$8:$B$53,0)),"⚠ לא בהגדרות"))</f>
        <v/>
      </c>
      <c r="D505" s="56"/>
      <c r="E505" s="58"/>
      <c r="F505" s="57" t="str">
        <f aca="false">IF(A505="","",INDEX(הגדרות!$H$16:$H$27,MONTH(A505)))</f>
        <v/>
      </c>
    </row>
    <row r="506" customFormat="false" ht="15" hidden="false" customHeight="false" outlineLevel="0" collapsed="false">
      <c r="A506" s="50"/>
      <c r="B506" s="51"/>
      <c r="C506" s="52" t="str">
        <f aca="false">IF(B506="","",IFERROR(INDEX(הגדרות!$A$8:$A$53,MATCH(B506,הגדרות!$B$8:$B$53,0)),"⚠ לא בהגדרות"))</f>
        <v/>
      </c>
      <c r="D506" s="51"/>
      <c r="E506" s="53"/>
      <c r="F506" s="52" t="str">
        <f aca="false">IF(A506="","",INDEX(הגדרות!$H$16:$H$27,MONTH(A506)))</f>
        <v/>
      </c>
    </row>
    <row r="507" customFormat="false" ht="15" hidden="false" customHeight="false" outlineLevel="0" collapsed="false">
      <c r="A507" s="55"/>
      <c r="B507" s="56"/>
      <c r="C507" s="57" t="str">
        <f aca="false">IF(B507="","",IFERROR(INDEX(הגדרות!$A$8:$A$53,MATCH(B507,הגדרות!$B$8:$B$53,0)),"⚠ לא בהגדרות"))</f>
        <v/>
      </c>
      <c r="D507" s="56"/>
      <c r="E507" s="58"/>
      <c r="F507" s="57" t="str">
        <f aca="false">IF(A507="","",INDEX(הגדרות!$H$16:$H$27,MONTH(A507)))</f>
        <v/>
      </c>
    </row>
    <row r="508" customFormat="false" ht="15" hidden="false" customHeight="false" outlineLevel="0" collapsed="false">
      <c r="A508" s="50"/>
      <c r="B508" s="51"/>
      <c r="C508" s="52" t="str">
        <f aca="false">IF(B508="","",IFERROR(INDEX(הגדרות!$A$8:$A$53,MATCH(B508,הגדרות!$B$8:$B$53,0)),"⚠ לא בהגדרות"))</f>
        <v/>
      </c>
      <c r="D508" s="51"/>
      <c r="E508" s="53"/>
      <c r="F508" s="52" t="str">
        <f aca="false">IF(A508="","",INDEX(הגדרות!$H$16:$H$27,MONTH(A508)))</f>
        <v/>
      </c>
    </row>
    <row r="509" customFormat="false" ht="15" hidden="false" customHeight="false" outlineLevel="0" collapsed="false">
      <c r="A509" s="55"/>
      <c r="B509" s="56"/>
      <c r="C509" s="57" t="str">
        <f aca="false">IF(B509="","",IFERROR(INDEX(הגדרות!$A$8:$A$53,MATCH(B509,הגדרות!$B$8:$B$53,0)),"⚠ לא בהגדרות"))</f>
        <v/>
      </c>
      <c r="D509" s="56"/>
      <c r="E509" s="58"/>
      <c r="F509" s="57" t="str">
        <f aca="false">IF(A509="","",INDEX(הגדרות!$H$16:$H$27,MONTH(A509)))</f>
        <v/>
      </c>
    </row>
    <row r="510" customFormat="false" ht="15" hidden="false" customHeight="false" outlineLevel="0" collapsed="false">
      <c r="A510" s="50"/>
      <c r="B510" s="51"/>
      <c r="C510" s="52" t="str">
        <f aca="false">IF(B510="","",IFERROR(INDEX(הגדרות!$A$8:$A$53,MATCH(B510,הגדרות!$B$8:$B$53,0)),"⚠ לא בהגדרות"))</f>
        <v/>
      </c>
      <c r="D510" s="51"/>
      <c r="E510" s="53"/>
      <c r="F510" s="52" t="str">
        <f aca="false">IF(A510="","",INDEX(הגדרות!$H$16:$H$27,MONTH(A510)))</f>
        <v/>
      </c>
    </row>
    <row r="511" customFormat="false" ht="15" hidden="false" customHeight="false" outlineLevel="0" collapsed="false">
      <c r="A511" s="55"/>
      <c r="B511" s="56"/>
      <c r="C511" s="57" t="str">
        <f aca="false">IF(B511="","",IFERROR(INDEX(הגדרות!$A$8:$A$53,MATCH(B511,הגדרות!$B$8:$B$53,0)),"⚠ לא בהגדרות"))</f>
        <v/>
      </c>
      <c r="D511" s="56"/>
      <c r="E511" s="58"/>
      <c r="F511" s="57" t="str">
        <f aca="false">IF(A511="","",INDEX(הגדרות!$H$16:$H$27,MONTH(A511)))</f>
        <v/>
      </c>
    </row>
    <row r="512" customFormat="false" ht="15" hidden="false" customHeight="false" outlineLevel="0" collapsed="false">
      <c r="A512" s="50"/>
      <c r="B512" s="51"/>
      <c r="C512" s="52" t="str">
        <f aca="false">IF(B512="","",IFERROR(INDEX(הגדרות!$A$8:$A$53,MATCH(B512,הגדרות!$B$8:$B$53,0)),"⚠ לא בהגדרות"))</f>
        <v/>
      </c>
      <c r="D512" s="51"/>
      <c r="E512" s="53"/>
      <c r="F512" s="52" t="str">
        <f aca="false">IF(A512="","",INDEX(הגדרות!$H$16:$H$27,MONTH(A512)))</f>
        <v/>
      </c>
    </row>
    <row r="513" customFormat="false" ht="15" hidden="false" customHeight="false" outlineLevel="0" collapsed="false">
      <c r="A513" s="55"/>
      <c r="B513" s="56"/>
      <c r="C513" s="57" t="str">
        <f aca="false">IF(B513="","",IFERROR(INDEX(הגדרות!$A$8:$A$53,MATCH(B513,הגדרות!$B$8:$B$53,0)),"⚠ לא בהגדרות"))</f>
        <v/>
      </c>
      <c r="D513" s="56"/>
      <c r="E513" s="58"/>
      <c r="F513" s="57" t="str">
        <f aca="false">IF(A513="","",INDEX(הגדרות!$H$16:$H$27,MONTH(A513)))</f>
        <v/>
      </c>
    </row>
    <row r="514" customFormat="false" ht="15" hidden="false" customHeight="false" outlineLevel="0" collapsed="false">
      <c r="A514" s="50"/>
      <c r="B514" s="51"/>
      <c r="C514" s="52" t="str">
        <f aca="false">IF(B514="","",IFERROR(INDEX(הגדרות!$A$8:$A$53,MATCH(B514,הגדרות!$B$8:$B$53,0)),"⚠ לא בהגדרות"))</f>
        <v/>
      </c>
      <c r="D514" s="51"/>
      <c r="E514" s="53"/>
      <c r="F514" s="52" t="str">
        <f aca="false">IF(A514="","",INDEX(הגדרות!$H$16:$H$27,MONTH(A514)))</f>
        <v/>
      </c>
    </row>
    <row r="515" customFormat="false" ht="15" hidden="false" customHeight="false" outlineLevel="0" collapsed="false">
      <c r="A515" s="55"/>
      <c r="B515" s="56"/>
      <c r="C515" s="57" t="str">
        <f aca="false">IF(B515="","",IFERROR(INDEX(הגדרות!$A$8:$A$53,MATCH(B515,הגדרות!$B$8:$B$53,0)),"⚠ לא בהגדרות"))</f>
        <v/>
      </c>
      <c r="D515" s="56"/>
      <c r="E515" s="58"/>
      <c r="F515" s="57" t="str">
        <f aca="false">IF(A515="","",INDEX(הגדרות!$H$16:$H$27,MONTH(A515)))</f>
        <v/>
      </c>
    </row>
    <row r="516" customFormat="false" ht="15" hidden="false" customHeight="false" outlineLevel="0" collapsed="false">
      <c r="A516" s="50"/>
      <c r="B516" s="51"/>
      <c r="C516" s="52" t="str">
        <f aca="false">IF(B516="","",IFERROR(INDEX(הגדרות!$A$8:$A$53,MATCH(B516,הגדרות!$B$8:$B$53,0)),"⚠ לא בהגדרות"))</f>
        <v/>
      </c>
      <c r="D516" s="51"/>
      <c r="E516" s="53"/>
      <c r="F516" s="52" t="str">
        <f aca="false">IF(A516="","",INDEX(הגדרות!$H$16:$H$27,MONTH(A516)))</f>
        <v/>
      </c>
    </row>
    <row r="517" customFormat="false" ht="15" hidden="false" customHeight="false" outlineLevel="0" collapsed="false">
      <c r="A517" s="55"/>
      <c r="B517" s="56"/>
      <c r="C517" s="57" t="str">
        <f aca="false">IF(B517="","",IFERROR(INDEX(הגדרות!$A$8:$A$53,MATCH(B517,הגדרות!$B$8:$B$53,0)),"⚠ לא בהגדרות"))</f>
        <v/>
      </c>
      <c r="D517" s="56"/>
      <c r="E517" s="58"/>
      <c r="F517" s="57" t="str">
        <f aca="false">IF(A517="","",INDEX(הגדרות!$H$16:$H$27,MONTH(A517)))</f>
        <v/>
      </c>
    </row>
    <row r="518" customFormat="false" ht="15" hidden="false" customHeight="false" outlineLevel="0" collapsed="false">
      <c r="A518" s="50"/>
      <c r="B518" s="51"/>
      <c r="C518" s="52" t="str">
        <f aca="false">IF(B518="","",IFERROR(INDEX(הגדרות!$A$8:$A$53,MATCH(B518,הגדרות!$B$8:$B$53,0)),"⚠ לא בהגדרות"))</f>
        <v/>
      </c>
      <c r="D518" s="51"/>
      <c r="E518" s="53"/>
      <c r="F518" s="52" t="str">
        <f aca="false">IF(A518="","",INDEX(הגדרות!$H$16:$H$27,MONTH(A518)))</f>
        <v/>
      </c>
    </row>
    <row r="519" customFormat="false" ht="15" hidden="false" customHeight="false" outlineLevel="0" collapsed="false">
      <c r="A519" s="55"/>
      <c r="B519" s="56"/>
      <c r="C519" s="57" t="str">
        <f aca="false">IF(B519="","",IFERROR(INDEX(הגדרות!$A$8:$A$53,MATCH(B519,הגדרות!$B$8:$B$53,0)),"⚠ לא בהגדרות"))</f>
        <v/>
      </c>
      <c r="D519" s="56"/>
      <c r="E519" s="58"/>
      <c r="F519" s="57" t="str">
        <f aca="false">IF(A519="","",INDEX(הגדרות!$H$16:$H$27,MONTH(A519)))</f>
        <v/>
      </c>
    </row>
    <row r="520" customFormat="false" ht="15" hidden="false" customHeight="false" outlineLevel="0" collapsed="false">
      <c r="A520" s="50"/>
      <c r="B520" s="51"/>
      <c r="C520" s="52" t="str">
        <f aca="false">IF(B520="","",IFERROR(INDEX(הגדרות!$A$8:$A$53,MATCH(B520,הגדרות!$B$8:$B$53,0)),"⚠ לא בהגדרות"))</f>
        <v/>
      </c>
      <c r="D520" s="51"/>
      <c r="E520" s="53"/>
      <c r="F520" s="52" t="str">
        <f aca="false">IF(A520="","",INDEX(הגדרות!$H$16:$H$27,MONTH(A520)))</f>
        <v/>
      </c>
    </row>
    <row r="521" customFormat="false" ht="15" hidden="false" customHeight="false" outlineLevel="0" collapsed="false">
      <c r="A521" s="55"/>
      <c r="B521" s="56"/>
      <c r="C521" s="57" t="str">
        <f aca="false">IF(B521="","",IFERROR(INDEX(הגדרות!$A$8:$A$53,MATCH(B521,הגדרות!$B$8:$B$53,0)),"⚠ לא בהגדרות"))</f>
        <v/>
      </c>
      <c r="D521" s="56"/>
      <c r="E521" s="58"/>
      <c r="F521" s="57" t="str">
        <f aca="false">IF(A521="","",INDEX(הגדרות!$H$16:$H$27,MONTH(A521)))</f>
        <v/>
      </c>
    </row>
    <row r="522" customFormat="false" ht="15" hidden="false" customHeight="false" outlineLevel="0" collapsed="false">
      <c r="A522" s="50"/>
      <c r="B522" s="51"/>
      <c r="C522" s="52" t="str">
        <f aca="false">IF(B522="","",IFERROR(INDEX(הגדרות!$A$8:$A$53,MATCH(B522,הגדרות!$B$8:$B$53,0)),"⚠ לא בהגדרות"))</f>
        <v/>
      </c>
      <c r="D522" s="51"/>
      <c r="E522" s="53"/>
      <c r="F522" s="52" t="str">
        <f aca="false">IF(A522="","",INDEX(הגדרות!$H$16:$H$27,MONTH(A522)))</f>
        <v/>
      </c>
    </row>
    <row r="523" customFormat="false" ht="15" hidden="false" customHeight="false" outlineLevel="0" collapsed="false">
      <c r="A523" s="55"/>
      <c r="B523" s="56"/>
      <c r="C523" s="57" t="str">
        <f aca="false">IF(B523="","",IFERROR(INDEX(הגדרות!$A$8:$A$53,MATCH(B523,הגדרות!$B$8:$B$53,0)),"⚠ לא בהגדרות"))</f>
        <v/>
      </c>
      <c r="D523" s="56"/>
      <c r="E523" s="58"/>
      <c r="F523" s="57" t="str">
        <f aca="false">IF(A523="","",INDEX(הגדרות!$H$16:$H$27,MONTH(A523)))</f>
        <v/>
      </c>
    </row>
    <row r="524" customFormat="false" ht="15" hidden="false" customHeight="false" outlineLevel="0" collapsed="false">
      <c r="A524" s="50"/>
      <c r="B524" s="51"/>
      <c r="C524" s="52" t="str">
        <f aca="false">IF(B524="","",IFERROR(INDEX(הגדרות!$A$8:$A$53,MATCH(B524,הגדרות!$B$8:$B$53,0)),"⚠ לא בהגדרות"))</f>
        <v/>
      </c>
      <c r="D524" s="51"/>
      <c r="E524" s="53"/>
      <c r="F524" s="52" t="str">
        <f aca="false">IF(A524="","",INDEX(הגדרות!$H$16:$H$27,MONTH(A524)))</f>
        <v/>
      </c>
    </row>
    <row r="525" customFormat="false" ht="15" hidden="false" customHeight="false" outlineLevel="0" collapsed="false">
      <c r="A525" s="55"/>
      <c r="B525" s="56"/>
      <c r="C525" s="57" t="str">
        <f aca="false">IF(B525="","",IFERROR(INDEX(הגדרות!$A$8:$A$53,MATCH(B525,הגדרות!$B$8:$B$53,0)),"⚠ לא בהגדרות"))</f>
        <v/>
      </c>
      <c r="D525" s="56"/>
      <c r="E525" s="58"/>
      <c r="F525" s="57" t="str">
        <f aca="false">IF(A525="","",INDEX(הגדרות!$H$16:$H$27,MONTH(A525)))</f>
        <v/>
      </c>
    </row>
    <row r="526" customFormat="false" ht="15" hidden="false" customHeight="false" outlineLevel="0" collapsed="false">
      <c r="A526" s="50"/>
      <c r="B526" s="51"/>
      <c r="C526" s="52" t="str">
        <f aca="false">IF(B526="","",IFERROR(INDEX(הגדרות!$A$8:$A$53,MATCH(B526,הגדרות!$B$8:$B$53,0)),"⚠ לא בהגדרות"))</f>
        <v/>
      </c>
      <c r="D526" s="51"/>
      <c r="E526" s="53"/>
      <c r="F526" s="52" t="str">
        <f aca="false">IF(A526="","",INDEX(הגדרות!$H$16:$H$27,MONTH(A526)))</f>
        <v/>
      </c>
    </row>
    <row r="527" customFormat="false" ht="15" hidden="false" customHeight="false" outlineLevel="0" collapsed="false">
      <c r="A527" s="55"/>
      <c r="B527" s="56"/>
      <c r="C527" s="57" t="str">
        <f aca="false">IF(B527="","",IFERROR(INDEX(הגדרות!$A$8:$A$53,MATCH(B527,הגדרות!$B$8:$B$53,0)),"⚠ לא בהגדרות"))</f>
        <v/>
      </c>
      <c r="D527" s="56"/>
      <c r="E527" s="58"/>
      <c r="F527" s="57" t="str">
        <f aca="false">IF(A527="","",INDEX(הגדרות!$H$16:$H$27,MONTH(A527)))</f>
        <v/>
      </c>
    </row>
    <row r="528" customFormat="false" ht="15" hidden="false" customHeight="false" outlineLevel="0" collapsed="false">
      <c r="A528" s="50"/>
      <c r="B528" s="51"/>
      <c r="C528" s="52" t="str">
        <f aca="false">IF(B528="","",IFERROR(INDEX(הגדרות!$A$8:$A$53,MATCH(B528,הגדרות!$B$8:$B$53,0)),"⚠ לא בהגדרות"))</f>
        <v/>
      </c>
      <c r="D528" s="51"/>
      <c r="E528" s="53"/>
      <c r="F528" s="52" t="str">
        <f aca="false">IF(A528="","",INDEX(הגדרות!$H$16:$H$27,MONTH(A528)))</f>
        <v/>
      </c>
    </row>
    <row r="529" customFormat="false" ht="15" hidden="false" customHeight="false" outlineLevel="0" collapsed="false">
      <c r="A529" s="55"/>
      <c r="B529" s="56"/>
      <c r="C529" s="57" t="str">
        <f aca="false">IF(B529="","",IFERROR(INDEX(הגדרות!$A$8:$A$53,MATCH(B529,הגדרות!$B$8:$B$53,0)),"⚠ לא בהגדרות"))</f>
        <v/>
      </c>
      <c r="D529" s="56"/>
      <c r="E529" s="58"/>
      <c r="F529" s="57" t="str">
        <f aca="false">IF(A529="","",INDEX(הגדרות!$H$16:$H$27,MONTH(A529)))</f>
        <v/>
      </c>
    </row>
    <row r="530" customFormat="false" ht="15" hidden="false" customHeight="false" outlineLevel="0" collapsed="false">
      <c r="A530" s="50"/>
      <c r="B530" s="51"/>
      <c r="C530" s="52" t="str">
        <f aca="false">IF(B530="","",IFERROR(INDEX(הגדרות!$A$8:$A$53,MATCH(B530,הגדרות!$B$8:$B$53,0)),"⚠ לא בהגדרות"))</f>
        <v/>
      </c>
      <c r="D530" s="51"/>
      <c r="E530" s="53"/>
      <c r="F530" s="52" t="str">
        <f aca="false">IF(A530="","",INDEX(הגדרות!$H$16:$H$27,MONTH(A530)))</f>
        <v/>
      </c>
    </row>
    <row r="531" customFormat="false" ht="15" hidden="false" customHeight="false" outlineLevel="0" collapsed="false">
      <c r="A531" s="55"/>
      <c r="B531" s="56"/>
      <c r="C531" s="57" t="str">
        <f aca="false">IF(B531="","",IFERROR(INDEX(הגדרות!$A$8:$A$53,MATCH(B531,הגדרות!$B$8:$B$53,0)),"⚠ לא בהגדרות"))</f>
        <v/>
      </c>
      <c r="D531" s="56"/>
      <c r="E531" s="58"/>
      <c r="F531" s="57" t="str">
        <f aca="false">IF(A531="","",INDEX(הגדרות!$H$16:$H$27,MONTH(A531)))</f>
        <v/>
      </c>
    </row>
    <row r="532" customFormat="false" ht="15" hidden="false" customHeight="false" outlineLevel="0" collapsed="false">
      <c r="A532" s="50"/>
      <c r="B532" s="51"/>
      <c r="C532" s="52" t="str">
        <f aca="false">IF(B532="","",IFERROR(INDEX(הגדרות!$A$8:$A$53,MATCH(B532,הגדרות!$B$8:$B$53,0)),"⚠ לא בהגדרות"))</f>
        <v/>
      </c>
      <c r="D532" s="51"/>
      <c r="E532" s="53"/>
      <c r="F532" s="52" t="str">
        <f aca="false">IF(A532="","",INDEX(הגדרות!$H$16:$H$27,MONTH(A532)))</f>
        <v/>
      </c>
    </row>
    <row r="533" customFormat="false" ht="15" hidden="false" customHeight="false" outlineLevel="0" collapsed="false">
      <c r="A533" s="55"/>
      <c r="B533" s="56"/>
      <c r="C533" s="57" t="str">
        <f aca="false">IF(B533="","",IFERROR(INDEX(הגדרות!$A$8:$A$53,MATCH(B533,הגדרות!$B$8:$B$53,0)),"⚠ לא בהגדרות"))</f>
        <v/>
      </c>
      <c r="D533" s="56"/>
      <c r="E533" s="58"/>
      <c r="F533" s="57" t="str">
        <f aca="false">IF(A533="","",INDEX(הגדרות!$H$16:$H$27,MONTH(A533)))</f>
        <v/>
      </c>
    </row>
    <row r="534" customFormat="false" ht="15" hidden="false" customHeight="false" outlineLevel="0" collapsed="false">
      <c r="A534" s="50"/>
      <c r="B534" s="51"/>
      <c r="C534" s="52" t="str">
        <f aca="false">IF(B534="","",IFERROR(INDEX(הגדרות!$A$8:$A$53,MATCH(B534,הגדרות!$B$8:$B$53,0)),"⚠ לא בהגדרות"))</f>
        <v/>
      </c>
      <c r="D534" s="51"/>
      <c r="E534" s="53"/>
      <c r="F534" s="52" t="str">
        <f aca="false">IF(A534="","",INDEX(הגדרות!$H$16:$H$27,MONTH(A534)))</f>
        <v/>
      </c>
    </row>
    <row r="535" customFormat="false" ht="15" hidden="false" customHeight="false" outlineLevel="0" collapsed="false">
      <c r="A535" s="55"/>
      <c r="B535" s="56"/>
      <c r="C535" s="57" t="str">
        <f aca="false">IF(B535="","",IFERROR(INDEX(הגדרות!$A$8:$A$53,MATCH(B535,הגדרות!$B$8:$B$53,0)),"⚠ לא בהגדרות"))</f>
        <v/>
      </c>
      <c r="D535" s="56"/>
      <c r="E535" s="58"/>
      <c r="F535" s="57" t="str">
        <f aca="false">IF(A535="","",INDEX(הגדרות!$H$16:$H$27,MONTH(A535)))</f>
        <v/>
      </c>
    </row>
    <row r="536" customFormat="false" ht="15" hidden="false" customHeight="false" outlineLevel="0" collapsed="false">
      <c r="A536" s="50"/>
      <c r="B536" s="51"/>
      <c r="C536" s="52" t="str">
        <f aca="false">IF(B536="","",IFERROR(INDEX(הגדרות!$A$8:$A$53,MATCH(B536,הגדרות!$B$8:$B$53,0)),"⚠ לא בהגדרות"))</f>
        <v/>
      </c>
      <c r="D536" s="51"/>
      <c r="E536" s="53"/>
      <c r="F536" s="52" t="str">
        <f aca="false">IF(A536="","",INDEX(הגדרות!$H$16:$H$27,MONTH(A536)))</f>
        <v/>
      </c>
    </row>
    <row r="537" customFormat="false" ht="15" hidden="false" customHeight="false" outlineLevel="0" collapsed="false">
      <c r="A537" s="55"/>
      <c r="B537" s="56"/>
      <c r="C537" s="57" t="str">
        <f aca="false">IF(B537="","",IFERROR(INDEX(הגדרות!$A$8:$A$53,MATCH(B537,הגדרות!$B$8:$B$53,0)),"⚠ לא בהגדרות"))</f>
        <v/>
      </c>
      <c r="D537" s="56"/>
      <c r="E537" s="58"/>
      <c r="F537" s="57" t="str">
        <f aca="false">IF(A537="","",INDEX(הגדרות!$H$16:$H$27,MONTH(A537)))</f>
        <v/>
      </c>
    </row>
    <row r="538" customFormat="false" ht="15" hidden="false" customHeight="false" outlineLevel="0" collapsed="false">
      <c r="A538" s="50"/>
      <c r="B538" s="51"/>
      <c r="C538" s="52" t="str">
        <f aca="false">IF(B538="","",IFERROR(INDEX(הגדרות!$A$8:$A$53,MATCH(B538,הגדרות!$B$8:$B$53,0)),"⚠ לא בהגדרות"))</f>
        <v/>
      </c>
      <c r="D538" s="51"/>
      <c r="E538" s="53"/>
      <c r="F538" s="52" t="str">
        <f aca="false">IF(A538="","",INDEX(הגדרות!$H$16:$H$27,MONTH(A538)))</f>
        <v/>
      </c>
    </row>
    <row r="539" customFormat="false" ht="15" hidden="false" customHeight="false" outlineLevel="0" collapsed="false">
      <c r="A539" s="55"/>
      <c r="B539" s="56"/>
      <c r="C539" s="57" t="str">
        <f aca="false">IF(B539="","",IFERROR(INDEX(הגדרות!$A$8:$A$53,MATCH(B539,הגדרות!$B$8:$B$53,0)),"⚠ לא בהגדרות"))</f>
        <v/>
      </c>
      <c r="D539" s="56"/>
      <c r="E539" s="58"/>
      <c r="F539" s="57" t="str">
        <f aca="false">IF(A539="","",INDEX(הגדרות!$H$16:$H$27,MONTH(A539)))</f>
        <v/>
      </c>
    </row>
    <row r="540" customFormat="false" ht="15" hidden="false" customHeight="false" outlineLevel="0" collapsed="false">
      <c r="A540" s="50"/>
      <c r="B540" s="51"/>
      <c r="C540" s="52" t="str">
        <f aca="false">IF(B540="","",IFERROR(INDEX(הגדרות!$A$8:$A$53,MATCH(B540,הגדרות!$B$8:$B$53,0)),"⚠ לא בהגדרות"))</f>
        <v/>
      </c>
      <c r="D540" s="51"/>
      <c r="E540" s="53"/>
      <c r="F540" s="52" t="str">
        <f aca="false">IF(A540="","",INDEX(הגדרות!$H$16:$H$27,MONTH(A540)))</f>
        <v/>
      </c>
    </row>
    <row r="541" customFormat="false" ht="15" hidden="false" customHeight="false" outlineLevel="0" collapsed="false">
      <c r="A541" s="55"/>
      <c r="B541" s="56"/>
      <c r="C541" s="57" t="str">
        <f aca="false">IF(B541="","",IFERROR(INDEX(הגדרות!$A$8:$A$53,MATCH(B541,הגדרות!$B$8:$B$53,0)),"⚠ לא בהגדרות"))</f>
        <v/>
      </c>
      <c r="D541" s="56"/>
      <c r="E541" s="58"/>
      <c r="F541" s="57" t="str">
        <f aca="false">IF(A541="","",INDEX(הגדרות!$H$16:$H$27,MONTH(A541)))</f>
        <v/>
      </c>
    </row>
    <row r="542" customFormat="false" ht="15" hidden="false" customHeight="false" outlineLevel="0" collapsed="false">
      <c r="A542" s="50"/>
      <c r="B542" s="51"/>
      <c r="C542" s="52" t="str">
        <f aca="false">IF(B542="","",IFERROR(INDEX(הגדרות!$A$8:$A$53,MATCH(B542,הגדרות!$B$8:$B$53,0)),"⚠ לא בהגדרות"))</f>
        <v/>
      </c>
      <c r="D542" s="51"/>
      <c r="E542" s="53"/>
      <c r="F542" s="52" t="str">
        <f aca="false">IF(A542="","",INDEX(הגדרות!$H$16:$H$27,MONTH(A542)))</f>
        <v/>
      </c>
    </row>
    <row r="543" customFormat="false" ht="15" hidden="false" customHeight="false" outlineLevel="0" collapsed="false">
      <c r="A543" s="55"/>
      <c r="B543" s="56"/>
      <c r="C543" s="57" t="str">
        <f aca="false">IF(B543="","",IFERROR(INDEX(הגדרות!$A$8:$A$53,MATCH(B543,הגדרות!$B$8:$B$53,0)),"⚠ לא בהגדרות"))</f>
        <v/>
      </c>
      <c r="D543" s="56"/>
      <c r="E543" s="58"/>
      <c r="F543" s="57" t="str">
        <f aca="false">IF(A543="","",INDEX(הגדרות!$H$16:$H$27,MONTH(A543)))</f>
        <v/>
      </c>
    </row>
    <row r="544" customFormat="false" ht="15" hidden="false" customHeight="false" outlineLevel="0" collapsed="false">
      <c r="A544" s="50"/>
      <c r="B544" s="51"/>
      <c r="C544" s="52" t="str">
        <f aca="false">IF(B544="","",IFERROR(INDEX(הגדרות!$A$8:$A$53,MATCH(B544,הגדרות!$B$8:$B$53,0)),"⚠ לא בהגדרות"))</f>
        <v/>
      </c>
      <c r="D544" s="51"/>
      <c r="E544" s="53"/>
      <c r="F544" s="52" t="str">
        <f aca="false">IF(A544="","",INDEX(הגדרות!$H$16:$H$27,MONTH(A544)))</f>
        <v/>
      </c>
    </row>
    <row r="545" customFormat="false" ht="15" hidden="false" customHeight="false" outlineLevel="0" collapsed="false">
      <c r="A545" s="55"/>
      <c r="B545" s="56"/>
      <c r="C545" s="57" t="str">
        <f aca="false">IF(B545="","",IFERROR(INDEX(הגדרות!$A$8:$A$53,MATCH(B545,הגדרות!$B$8:$B$53,0)),"⚠ לא בהגדרות"))</f>
        <v/>
      </c>
      <c r="D545" s="56"/>
      <c r="E545" s="58"/>
      <c r="F545" s="57" t="str">
        <f aca="false">IF(A545="","",INDEX(הגדרות!$H$16:$H$27,MONTH(A545)))</f>
        <v/>
      </c>
    </row>
    <row r="546" customFormat="false" ht="15" hidden="false" customHeight="false" outlineLevel="0" collapsed="false">
      <c r="A546" s="50"/>
      <c r="B546" s="51"/>
      <c r="C546" s="52" t="str">
        <f aca="false">IF(B546="","",IFERROR(INDEX(הגדרות!$A$8:$A$53,MATCH(B546,הגדרות!$B$8:$B$53,0)),"⚠ לא בהגדרות"))</f>
        <v/>
      </c>
      <c r="D546" s="51"/>
      <c r="E546" s="53"/>
      <c r="F546" s="52" t="str">
        <f aca="false">IF(A546="","",INDEX(הגדרות!$H$16:$H$27,MONTH(A546)))</f>
        <v/>
      </c>
    </row>
    <row r="547" customFormat="false" ht="15" hidden="false" customHeight="false" outlineLevel="0" collapsed="false">
      <c r="A547" s="55"/>
      <c r="B547" s="56"/>
      <c r="C547" s="57" t="str">
        <f aca="false">IF(B547="","",IFERROR(INDEX(הגדרות!$A$8:$A$53,MATCH(B547,הגדרות!$B$8:$B$53,0)),"⚠ לא בהגדרות"))</f>
        <v/>
      </c>
      <c r="D547" s="56"/>
      <c r="E547" s="58"/>
      <c r="F547" s="57" t="str">
        <f aca="false">IF(A547="","",INDEX(הגדרות!$H$16:$H$27,MONTH(A547)))</f>
        <v/>
      </c>
    </row>
    <row r="548" customFormat="false" ht="15" hidden="false" customHeight="false" outlineLevel="0" collapsed="false">
      <c r="A548" s="50"/>
      <c r="B548" s="51"/>
      <c r="C548" s="52" t="str">
        <f aca="false">IF(B548="","",IFERROR(INDEX(הגדרות!$A$8:$A$53,MATCH(B548,הגדרות!$B$8:$B$53,0)),"⚠ לא בהגדרות"))</f>
        <v/>
      </c>
      <c r="D548" s="51"/>
      <c r="E548" s="53"/>
      <c r="F548" s="52" t="str">
        <f aca="false">IF(A548="","",INDEX(הגדרות!$H$16:$H$27,MONTH(A548)))</f>
        <v/>
      </c>
    </row>
    <row r="549" customFormat="false" ht="15" hidden="false" customHeight="false" outlineLevel="0" collapsed="false">
      <c r="A549" s="55"/>
      <c r="B549" s="56"/>
      <c r="C549" s="57" t="str">
        <f aca="false">IF(B549="","",IFERROR(INDEX(הגדרות!$A$8:$A$53,MATCH(B549,הגדרות!$B$8:$B$53,0)),"⚠ לא בהגדרות"))</f>
        <v/>
      </c>
      <c r="D549" s="56"/>
      <c r="E549" s="58"/>
      <c r="F549" s="57" t="str">
        <f aca="false">IF(A549="","",INDEX(הגדרות!$H$16:$H$27,MONTH(A549)))</f>
        <v/>
      </c>
    </row>
    <row r="550" customFormat="false" ht="15" hidden="false" customHeight="false" outlineLevel="0" collapsed="false">
      <c r="A550" s="50"/>
      <c r="B550" s="51"/>
      <c r="C550" s="52" t="str">
        <f aca="false">IF(B550="","",IFERROR(INDEX(הגדרות!$A$8:$A$53,MATCH(B550,הגדרות!$B$8:$B$53,0)),"⚠ לא בהגדרות"))</f>
        <v/>
      </c>
      <c r="D550" s="51"/>
      <c r="E550" s="53"/>
      <c r="F550" s="52" t="str">
        <f aca="false">IF(A550="","",INDEX(הגדרות!$H$16:$H$27,MONTH(A550)))</f>
        <v/>
      </c>
    </row>
    <row r="551" customFormat="false" ht="15" hidden="false" customHeight="false" outlineLevel="0" collapsed="false">
      <c r="A551" s="55"/>
      <c r="B551" s="56"/>
      <c r="C551" s="57" t="str">
        <f aca="false">IF(B551="","",IFERROR(INDEX(הגדרות!$A$8:$A$53,MATCH(B551,הגדרות!$B$8:$B$53,0)),"⚠ לא בהגדרות"))</f>
        <v/>
      </c>
      <c r="D551" s="56"/>
      <c r="E551" s="58"/>
      <c r="F551" s="57" t="str">
        <f aca="false">IF(A551="","",INDEX(הגדרות!$H$16:$H$27,MONTH(A551)))</f>
        <v/>
      </c>
    </row>
    <row r="552" customFormat="false" ht="15" hidden="false" customHeight="false" outlineLevel="0" collapsed="false">
      <c r="A552" s="50"/>
      <c r="B552" s="51"/>
      <c r="C552" s="52" t="str">
        <f aca="false">IF(B552="","",IFERROR(INDEX(הגדרות!$A$8:$A$53,MATCH(B552,הגדרות!$B$8:$B$53,0)),"⚠ לא בהגדרות"))</f>
        <v/>
      </c>
      <c r="D552" s="51"/>
      <c r="E552" s="53"/>
      <c r="F552" s="52" t="str">
        <f aca="false">IF(A552="","",INDEX(הגדרות!$H$16:$H$27,MONTH(A552)))</f>
        <v/>
      </c>
    </row>
    <row r="553" customFormat="false" ht="15" hidden="false" customHeight="false" outlineLevel="0" collapsed="false">
      <c r="A553" s="55"/>
      <c r="B553" s="56"/>
      <c r="C553" s="57" t="str">
        <f aca="false">IF(B553="","",IFERROR(INDEX(הגדרות!$A$8:$A$53,MATCH(B553,הגדרות!$B$8:$B$53,0)),"⚠ לא בהגדרות"))</f>
        <v/>
      </c>
      <c r="D553" s="56"/>
      <c r="E553" s="58"/>
      <c r="F553" s="57" t="str">
        <f aca="false">IF(A553="","",INDEX(הגדרות!$H$16:$H$27,MONTH(A553)))</f>
        <v/>
      </c>
    </row>
    <row r="554" customFormat="false" ht="15" hidden="false" customHeight="false" outlineLevel="0" collapsed="false">
      <c r="A554" s="50"/>
      <c r="B554" s="51"/>
      <c r="C554" s="52" t="str">
        <f aca="false">IF(B554="","",IFERROR(INDEX(הגדרות!$A$8:$A$53,MATCH(B554,הגדרות!$B$8:$B$53,0)),"⚠ לא בהגדרות"))</f>
        <v/>
      </c>
      <c r="D554" s="51"/>
      <c r="E554" s="53"/>
      <c r="F554" s="52" t="str">
        <f aca="false">IF(A554="","",INDEX(הגדרות!$H$16:$H$27,MONTH(A554)))</f>
        <v/>
      </c>
    </row>
    <row r="555" customFormat="false" ht="15" hidden="false" customHeight="false" outlineLevel="0" collapsed="false">
      <c r="A555" s="55"/>
      <c r="B555" s="56"/>
      <c r="C555" s="57" t="str">
        <f aca="false">IF(B555="","",IFERROR(INDEX(הגדרות!$A$8:$A$53,MATCH(B555,הגדרות!$B$8:$B$53,0)),"⚠ לא בהגדרות"))</f>
        <v/>
      </c>
      <c r="D555" s="56"/>
      <c r="E555" s="58"/>
      <c r="F555" s="57" t="str">
        <f aca="false">IF(A555="","",INDEX(הגדרות!$H$16:$H$27,MONTH(A555)))</f>
        <v/>
      </c>
    </row>
    <row r="556" customFormat="false" ht="15" hidden="false" customHeight="false" outlineLevel="0" collapsed="false">
      <c r="A556" s="50"/>
      <c r="B556" s="51"/>
      <c r="C556" s="52" t="str">
        <f aca="false">IF(B556="","",IFERROR(INDEX(הגדרות!$A$8:$A$53,MATCH(B556,הגדרות!$B$8:$B$53,0)),"⚠ לא בהגדרות"))</f>
        <v/>
      </c>
      <c r="D556" s="51"/>
      <c r="E556" s="53"/>
      <c r="F556" s="52" t="str">
        <f aca="false">IF(A556="","",INDEX(הגדרות!$H$16:$H$27,MONTH(A556)))</f>
        <v/>
      </c>
    </row>
    <row r="557" customFormat="false" ht="15" hidden="false" customHeight="false" outlineLevel="0" collapsed="false">
      <c r="A557" s="55"/>
      <c r="B557" s="56"/>
      <c r="C557" s="57" t="str">
        <f aca="false">IF(B557="","",IFERROR(INDEX(הגדרות!$A$8:$A$53,MATCH(B557,הגדרות!$B$8:$B$53,0)),"⚠ לא בהגדרות"))</f>
        <v/>
      </c>
      <c r="D557" s="56"/>
      <c r="E557" s="58"/>
      <c r="F557" s="57" t="str">
        <f aca="false">IF(A557="","",INDEX(הגדרות!$H$16:$H$27,MONTH(A557)))</f>
        <v/>
      </c>
    </row>
    <row r="558" customFormat="false" ht="15" hidden="false" customHeight="false" outlineLevel="0" collapsed="false">
      <c r="A558" s="50"/>
      <c r="B558" s="51"/>
      <c r="C558" s="52" t="str">
        <f aca="false">IF(B558="","",IFERROR(INDEX(הגדרות!$A$8:$A$53,MATCH(B558,הגדרות!$B$8:$B$53,0)),"⚠ לא בהגדרות"))</f>
        <v/>
      </c>
      <c r="D558" s="51"/>
      <c r="E558" s="53"/>
      <c r="F558" s="52" t="str">
        <f aca="false">IF(A558="","",INDEX(הגדרות!$H$16:$H$27,MONTH(A558)))</f>
        <v/>
      </c>
    </row>
    <row r="559" customFormat="false" ht="15" hidden="false" customHeight="false" outlineLevel="0" collapsed="false">
      <c r="A559" s="55"/>
      <c r="B559" s="56"/>
      <c r="C559" s="57" t="str">
        <f aca="false">IF(B559="","",IFERROR(INDEX(הגדרות!$A$8:$A$53,MATCH(B559,הגדרות!$B$8:$B$53,0)),"⚠ לא בהגדרות"))</f>
        <v/>
      </c>
      <c r="D559" s="56"/>
      <c r="E559" s="58"/>
      <c r="F559" s="57" t="str">
        <f aca="false">IF(A559="","",INDEX(הגדרות!$H$16:$H$27,MONTH(A559)))</f>
        <v/>
      </c>
    </row>
    <row r="560" customFormat="false" ht="15" hidden="false" customHeight="false" outlineLevel="0" collapsed="false">
      <c r="A560" s="50"/>
      <c r="B560" s="51"/>
      <c r="C560" s="52" t="str">
        <f aca="false">IF(B560="","",IFERROR(INDEX(הגדרות!$A$8:$A$53,MATCH(B560,הגדרות!$B$8:$B$53,0)),"⚠ לא בהגדרות"))</f>
        <v/>
      </c>
      <c r="D560" s="51"/>
      <c r="E560" s="53"/>
      <c r="F560" s="52" t="str">
        <f aca="false">IF(A560="","",INDEX(הגדרות!$H$16:$H$27,MONTH(A560)))</f>
        <v/>
      </c>
    </row>
    <row r="561" customFormat="false" ht="15" hidden="false" customHeight="false" outlineLevel="0" collapsed="false">
      <c r="A561" s="55"/>
      <c r="B561" s="56"/>
      <c r="C561" s="57" t="str">
        <f aca="false">IF(B561="","",IFERROR(INDEX(הגדרות!$A$8:$A$53,MATCH(B561,הגדרות!$B$8:$B$53,0)),"⚠ לא בהגדרות"))</f>
        <v/>
      </c>
      <c r="D561" s="56"/>
      <c r="E561" s="58"/>
      <c r="F561" s="57" t="str">
        <f aca="false">IF(A561="","",INDEX(הגדרות!$H$16:$H$27,MONTH(A561)))</f>
        <v/>
      </c>
    </row>
    <row r="562" customFormat="false" ht="15" hidden="false" customHeight="false" outlineLevel="0" collapsed="false">
      <c r="A562" s="50"/>
      <c r="B562" s="51"/>
      <c r="C562" s="52" t="str">
        <f aca="false">IF(B562="","",IFERROR(INDEX(הגדרות!$A$8:$A$53,MATCH(B562,הגדרות!$B$8:$B$53,0)),"⚠ לא בהגדרות"))</f>
        <v/>
      </c>
      <c r="D562" s="51"/>
      <c r="E562" s="53"/>
      <c r="F562" s="52" t="str">
        <f aca="false">IF(A562="","",INDEX(הגדרות!$H$16:$H$27,MONTH(A562)))</f>
        <v/>
      </c>
    </row>
    <row r="563" customFormat="false" ht="15" hidden="false" customHeight="false" outlineLevel="0" collapsed="false">
      <c r="A563" s="55"/>
      <c r="B563" s="56"/>
      <c r="C563" s="57" t="str">
        <f aca="false">IF(B563="","",IFERROR(INDEX(הגדרות!$A$8:$A$53,MATCH(B563,הגדרות!$B$8:$B$53,0)),"⚠ לא בהגדרות"))</f>
        <v/>
      </c>
      <c r="D563" s="56"/>
      <c r="E563" s="58"/>
      <c r="F563" s="57" t="str">
        <f aca="false">IF(A563="","",INDEX(הגדרות!$H$16:$H$27,MONTH(A563)))</f>
        <v/>
      </c>
    </row>
    <row r="564" customFormat="false" ht="15" hidden="false" customHeight="false" outlineLevel="0" collapsed="false">
      <c r="A564" s="50"/>
      <c r="B564" s="51"/>
      <c r="C564" s="52" t="str">
        <f aca="false">IF(B564="","",IFERROR(INDEX(הגדרות!$A$8:$A$53,MATCH(B564,הגדרות!$B$8:$B$53,0)),"⚠ לא בהגדרות"))</f>
        <v/>
      </c>
      <c r="D564" s="51"/>
      <c r="E564" s="53"/>
      <c r="F564" s="52" t="str">
        <f aca="false">IF(A564="","",INDEX(הגדרות!$H$16:$H$27,MONTH(A564)))</f>
        <v/>
      </c>
    </row>
    <row r="565" customFormat="false" ht="15" hidden="false" customHeight="false" outlineLevel="0" collapsed="false">
      <c r="A565" s="55"/>
      <c r="B565" s="56"/>
      <c r="C565" s="57" t="str">
        <f aca="false">IF(B565="","",IFERROR(INDEX(הגדרות!$A$8:$A$53,MATCH(B565,הגדרות!$B$8:$B$53,0)),"⚠ לא בהגדרות"))</f>
        <v/>
      </c>
      <c r="D565" s="56"/>
      <c r="E565" s="58"/>
      <c r="F565" s="57" t="str">
        <f aca="false">IF(A565="","",INDEX(הגדרות!$H$16:$H$27,MONTH(A565)))</f>
        <v/>
      </c>
    </row>
    <row r="566" customFormat="false" ht="15" hidden="false" customHeight="false" outlineLevel="0" collapsed="false">
      <c r="A566" s="50"/>
      <c r="B566" s="51"/>
      <c r="C566" s="52" t="str">
        <f aca="false">IF(B566="","",IFERROR(INDEX(הגדרות!$A$8:$A$53,MATCH(B566,הגדרות!$B$8:$B$53,0)),"⚠ לא בהגדרות"))</f>
        <v/>
      </c>
      <c r="D566" s="51"/>
      <c r="E566" s="53"/>
      <c r="F566" s="52" t="str">
        <f aca="false">IF(A566="","",INDEX(הגדרות!$H$16:$H$27,MONTH(A566)))</f>
        <v/>
      </c>
    </row>
    <row r="567" customFormat="false" ht="15" hidden="false" customHeight="false" outlineLevel="0" collapsed="false">
      <c r="A567" s="55"/>
      <c r="B567" s="56"/>
      <c r="C567" s="57" t="str">
        <f aca="false">IF(B567="","",IFERROR(INDEX(הגדרות!$A$8:$A$53,MATCH(B567,הגדרות!$B$8:$B$53,0)),"⚠ לא בהגדרות"))</f>
        <v/>
      </c>
      <c r="D567" s="56"/>
      <c r="E567" s="58"/>
      <c r="F567" s="57" t="str">
        <f aca="false">IF(A567="","",INDEX(הגדרות!$H$16:$H$27,MONTH(A567)))</f>
        <v/>
      </c>
    </row>
    <row r="568" customFormat="false" ht="15" hidden="false" customHeight="false" outlineLevel="0" collapsed="false">
      <c r="A568" s="50"/>
      <c r="B568" s="51"/>
      <c r="C568" s="52" t="str">
        <f aca="false">IF(B568="","",IFERROR(INDEX(הגדרות!$A$8:$A$53,MATCH(B568,הגדרות!$B$8:$B$53,0)),"⚠ לא בהגדרות"))</f>
        <v/>
      </c>
      <c r="D568" s="51"/>
      <c r="E568" s="53"/>
      <c r="F568" s="52" t="str">
        <f aca="false">IF(A568="","",INDEX(הגדרות!$H$16:$H$27,MONTH(A568)))</f>
        <v/>
      </c>
    </row>
    <row r="569" customFormat="false" ht="15" hidden="false" customHeight="false" outlineLevel="0" collapsed="false">
      <c r="A569" s="55"/>
      <c r="B569" s="56"/>
      <c r="C569" s="57" t="str">
        <f aca="false">IF(B569="","",IFERROR(INDEX(הגדרות!$A$8:$A$53,MATCH(B569,הגדרות!$B$8:$B$53,0)),"⚠ לא בהגדרות"))</f>
        <v/>
      </c>
      <c r="D569" s="56"/>
      <c r="E569" s="58"/>
      <c r="F569" s="57" t="str">
        <f aca="false">IF(A569="","",INDEX(הגדרות!$H$16:$H$27,MONTH(A569)))</f>
        <v/>
      </c>
    </row>
    <row r="570" customFormat="false" ht="15" hidden="false" customHeight="false" outlineLevel="0" collapsed="false">
      <c r="A570" s="50"/>
      <c r="B570" s="51"/>
      <c r="C570" s="52" t="str">
        <f aca="false">IF(B570="","",IFERROR(INDEX(הגדרות!$A$8:$A$53,MATCH(B570,הגדרות!$B$8:$B$53,0)),"⚠ לא בהגדרות"))</f>
        <v/>
      </c>
      <c r="D570" s="51"/>
      <c r="E570" s="53"/>
      <c r="F570" s="52" t="str">
        <f aca="false">IF(A570="","",INDEX(הגדרות!$H$16:$H$27,MONTH(A570)))</f>
        <v/>
      </c>
    </row>
    <row r="571" customFormat="false" ht="15" hidden="false" customHeight="false" outlineLevel="0" collapsed="false">
      <c r="A571" s="55"/>
      <c r="B571" s="56"/>
      <c r="C571" s="57" t="str">
        <f aca="false">IF(B571="","",IFERROR(INDEX(הגדרות!$A$8:$A$53,MATCH(B571,הגדרות!$B$8:$B$53,0)),"⚠ לא בהגדרות"))</f>
        <v/>
      </c>
      <c r="D571" s="56"/>
      <c r="E571" s="58"/>
      <c r="F571" s="57" t="str">
        <f aca="false">IF(A571="","",INDEX(הגדרות!$H$16:$H$27,MONTH(A571)))</f>
        <v/>
      </c>
    </row>
    <row r="572" customFormat="false" ht="15" hidden="false" customHeight="false" outlineLevel="0" collapsed="false">
      <c r="A572" s="50"/>
      <c r="B572" s="51"/>
      <c r="C572" s="52" t="str">
        <f aca="false">IF(B572="","",IFERROR(INDEX(הגדרות!$A$8:$A$53,MATCH(B572,הגדרות!$B$8:$B$53,0)),"⚠ לא בהגדרות"))</f>
        <v/>
      </c>
      <c r="D572" s="51"/>
      <c r="E572" s="53"/>
      <c r="F572" s="52" t="str">
        <f aca="false">IF(A572="","",INDEX(הגדרות!$H$16:$H$27,MONTH(A572)))</f>
        <v/>
      </c>
    </row>
    <row r="573" customFormat="false" ht="15" hidden="false" customHeight="false" outlineLevel="0" collapsed="false">
      <c r="A573" s="55"/>
      <c r="B573" s="56"/>
      <c r="C573" s="57" t="str">
        <f aca="false">IF(B573="","",IFERROR(INDEX(הגדרות!$A$8:$A$53,MATCH(B573,הגדרות!$B$8:$B$53,0)),"⚠ לא בהגדרות"))</f>
        <v/>
      </c>
      <c r="D573" s="56"/>
      <c r="E573" s="58"/>
      <c r="F573" s="57" t="str">
        <f aca="false">IF(A573="","",INDEX(הגדרות!$H$16:$H$27,MONTH(A573)))</f>
        <v/>
      </c>
    </row>
    <row r="574" customFormat="false" ht="15" hidden="false" customHeight="false" outlineLevel="0" collapsed="false">
      <c r="A574" s="50"/>
      <c r="B574" s="51"/>
      <c r="C574" s="52" t="str">
        <f aca="false">IF(B574="","",IFERROR(INDEX(הגדרות!$A$8:$A$53,MATCH(B574,הגדרות!$B$8:$B$53,0)),"⚠ לא בהגדרות"))</f>
        <v/>
      </c>
      <c r="D574" s="51"/>
      <c r="E574" s="53"/>
      <c r="F574" s="52" t="str">
        <f aca="false">IF(A574="","",INDEX(הגדרות!$H$16:$H$27,MONTH(A574)))</f>
        <v/>
      </c>
    </row>
    <row r="575" customFormat="false" ht="15" hidden="false" customHeight="false" outlineLevel="0" collapsed="false">
      <c r="A575" s="55"/>
      <c r="B575" s="56"/>
      <c r="C575" s="57" t="str">
        <f aca="false">IF(B575="","",IFERROR(INDEX(הגדרות!$A$8:$A$53,MATCH(B575,הגדרות!$B$8:$B$53,0)),"⚠ לא בהגדרות"))</f>
        <v/>
      </c>
      <c r="D575" s="56"/>
      <c r="E575" s="58"/>
      <c r="F575" s="57" t="str">
        <f aca="false">IF(A575="","",INDEX(הגדרות!$H$16:$H$27,MONTH(A575)))</f>
        <v/>
      </c>
    </row>
    <row r="576" customFormat="false" ht="15" hidden="false" customHeight="false" outlineLevel="0" collapsed="false">
      <c r="A576" s="50"/>
      <c r="B576" s="51"/>
      <c r="C576" s="52" t="str">
        <f aca="false">IF(B576="","",IFERROR(INDEX(הגדרות!$A$8:$A$53,MATCH(B576,הגדרות!$B$8:$B$53,0)),"⚠ לא בהגדרות"))</f>
        <v/>
      </c>
      <c r="D576" s="51"/>
      <c r="E576" s="53"/>
      <c r="F576" s="52" t="str">
        <f aca="false">IF(A576="","",INDEX(הגדרות!$H$16:$H$27,MONTH(A576)))</f>
        <v/>
      </c>
    </row>
    <row r="577" customFormat="false" ht="15" hidden="false" customHeight="false" outlineLevel="0" collapsed="false">
      <c r="A577" s="55"/>
      <c r="B577" s="56"/>
      <c r="C577" s="57" t="str">
        <f aca="false">IF(B577="","",IFERROR(INDEX(הגדרות!$A$8:$A$53,MATCH(B577,הגדרות!$B$8:$B$53,0)),"⚠ לא בהגדרות"))</f>
        <v/>
      </c>
      <c r="D577" s="56"/>
      <c r="E577" s="58"/>
      <c r="F577" s="57" t="str">
        <f aca="false">IF(A577="","",INDEX(הגדרות!$H$16:$H$27,MONTH(A577)))</f>
        <v/>
      </c>
    </row>
    <row r="578" customFormat="false" ht="15" hidden="false" customHeight="false" outlineLevel="0" collapsed="false">
      <c r="A578" s="50"/>
      <c r="B578" s="51"/>
      <c r="C578" s="52" t="str">
        <f aca="false">IF(B578="","",IFERROR(INDEX(הגדרות!$A$8:$A$53,MATCH(B578,הגדרות!$B$8:$B$53,0)),"⚠ לא בהגדרות"))</f>
        <v/>
      </c>
      <c r="D578" s="51"/>
      <c r="E578" s="53"/>
      <c r="F578" s="52" t="str">
        <f aca="false">IF(A578="","",INDEX(הגדרות!$H$16:$H$27,MONTH(A578)))</f>
        <v/>
      </c>
    </row>
    <row r="579" customFormat="false" ht="15" hidden="false" customHeight="false" outlineLevel="0" collapsed="false">
      <c r="A579" s="55"/>
      <c r="B579" s="56"/>
      <c r="C579" s="57" t="str">
        <f aca="false">IF(B579="","",IFERROR(INDEX(הגדרות!$A$8:$A$53,MATCH(B579,הגדרות!$B$8:$B$53,0)),"⚠ לא בהגדרות"))</f>
        <v/>
      </c>
      <c r="D579" s="56"/>
      <c r="E579" s="58"/>
      <c r="F579" s="57" t="str">
        <f aca="false">IF(A579="","",INDEX(הגדרות!$H$16:$H$27,MONTH(A579)))</f>
        <v/>
      </c>
    </row>
    <row r="580" customFormat="false" ht="15" hidden="false" customHeight="false" outlineLevel="0" collapsed="false">
      <c r="A580" s="50"/>
      <c r="B580" s="51"/>
      <c r="C580" s="52" t="str">
        <f aca="false">IF(B580="","",IFERROR(INDEX(הגדרות!$A$8:$A$53,MATCH(B580,הגדרות!$B$8:$B$53,0)),"⚠ לא בהגדרות"))</f>
        <v/>
      </c>
      <c r="D580" s="51"/>
      <c r="E580" s="53"/>
      <c r="F580" s="52" t="str">
        <f aca="false">IF(A580="","",INDEX(הגדרות!$H$16:$H$27,MONTH(A580)))</f>
        <v/>
      </c>
    </row>
    <row r="581" customFormat="false" ht="15" hidden="false" customHeight="false" outlineLevel="0" collapsed="false">
      <c r="A581" s="55"/>
      <c r="B581" s="56"/>
      <c r="C581" s="57" t="str">
        <f aca="false">IF(B581="","",IFERROR(INDEX(הגדרות!$A$8:$A$53,MATCH(B581,הגדרות!$B$8:$B$53,0)),"⚠ לא בהגדרות"))</f>
        <v/>
      </c>
      <c r="D581" s="56"/>
      <c r="E581" s="58"/>
      <c r="F581" s="57" t="str">
        <f aca="false">IF(A581="","",INDEX(הגדרות!$H$16:$H$27,MONTH(A581)))</f>
        <v/>
      </c>
    </row>
    <row r="582" customFormat="false" ht="15" hidden="false" customHeight="false" outlineLevel="0" collapsed="false">
      <c r="A582" s="50"/>
      <c r="B582" s="51"/>
      <c r="C582" s="52" t="str">
        <f aca="false">IF(B582="","",IFERROR(INDEX(הגדרות!$A$8:$A$53,MATCH(B582,הגדרות!$B$8:$B$53,0)),"⚠ לא בהגדרות"))</f>
        <v/>
      </c>
      <c r="D582" s="51"/>
      <c r="E582" s="53"/>
      <c r="F582" s="52" t="str">
        <f aca="false">IF(A582="","",INDEX(הגדרות!$H$16:$H$27,MONTH(A582)))</f>
        <v/>
      </c>
    </row>
    <row r="583" customFormat="false" ht="15" hidden="false" customHeight="false" outlineLevel="0" collapsed="false">
      <c r="A583" s="55"/>
      <c r="B583" s="56"/>
      <c r="C583" s="57" t="str">
        <f aca="false">IF(B583="","",IFERROR(INDEX(הגדרות!$A$8:$A$53,MATCH(B583,הגדרות!$B$8:$B$53,0)),"⚠ לא בהגדרות"))</f>
        <v/>
      </c>
      <c r="D583" s="56"/>
      <c r="E583" s="58"/>
      <c r="F583" s="57" t="str">
        <f aca="false">IF(A583="","",INDEX(הגדרות!$H$16:$H$27,MONTH(A583)))</f>
        <v/>
      </c>
    </row>
    <row r="584" customFormat="false" ht="15" hidden="false" customHeight="false" outlineLevel="0" collapsed="false">
      <c r="A584" s="50"/>
      <c r="B584" s="51"/>
      <c r="C584" s="52" t="str">
        <f aca="false">IF(B584="","",IFERROR(INDEX(הגדרות!$A$8:$A$53,MATCH(B584,הגדרות!$B$8:$B$53,0)),"⚠ לא בהגדרות"))</f>
        <v/>
      </c>
      <c r="D584" s="51"/>
      <c r="E584" s="53"/>
      <c r="F584" s="52" t="str">
        <f aca="false">IF(A584="","",INDEX(הגדרות!$H$16:$H$27,MONTH(A584)))</f>
        <v/>
      </c>
    </row>
    <row r="585" customFormat="false" ht="15" hidden="false" customHeight="false" outlineLevel="0" collapsed="false">
      <c r="A585" s="55"/>
      <c r="B585" s="56"/>
      <c r="C585" s="57" t="str">
        <f aca="false">IF(B585="","",IFERROR(INDEX(הגדרות!$A$8:$A$53,MATCH(B585,הגדרות!$B$8:$B$53,0)),"⚠ לא בהגדרות"))</f>
        <v/>
      </c>
      <c r="D585" s="56"/>
      <c r="E585" s="58"/>
      <c r="F585" s="57" t="str">
        <f aca="false">IF(A585="","",INDEX(הגדרות!$H$16:$H$27,MONTH(A585)))</f>
        <v/>
      </c>
    </row>
    <row r="586" customFormat="false" ht="15" hidden="false" customHeight="false" outlineLevel="0" collapsed="false">
      <c r="A586" s="50"/>
      <c r="B586" s="51"/>
      <c r="C586" s="52" t="str">
        <f aca="false">IF(B586="","",IFERROR(INDEX(הגדרות!$A$8:$A$53,MATCH(B586,הגדרות!$B$8:$B$53,0)),"⚠ לא בהגדרות"))</f>
        <v/>
      </c>
      <c r="D586" s="51"/>
      <c r="E586" s="53"/>
      <c r="F586" s="52" t="str">
        <f aca="false">IF(A586="","",INDEX(הגדרות!$H$16:$H$27,MONTH(A586)))</f>
        <v/>
      </c>
    </row>
    <row r="587" customFormat="false" ht="15" hidden="false" customHeight="false" outlineLevel="0" collapsed="false">
      <c r="A587" s="55"/>
      <c r="B587" s="56"/>
      <c r="C587" s="57" t="str">
        <f aca="false">IF(B587="","",IFERROR(INDEX(הגדרות!$A$8:$A$53,MATCH(B587,הגדרות!$B$8:$B$53,0)),"⚠ לא בהגדרות"))</f>
        <v/>
      </c>
      <c r="D587" s="56"/>
      <c r="E587" s="58"/>
      <c r="F587" s="57" t="str">
        <f aca="false">IF(A587="","",INDEX(הגדרות!$H$16:$H$27,MONTH(A587)))</f>
        <v/>
      </c>
    </row>
    <row r="588" customFormat="false" ht="15" hidden="false" customHeight="false" outlineLevel="0" collapsed="false">
      <c r="A588" s="50"/>
      <c r="B588" s="51"/>
      <c r="C588" s="52" t="str">
        <f aca="false">IF(B588="","",IFERROR(INDEX(הגדרות!$A$8:$A$53,MATCH(B588,הגדרות!$B$8:$B$53,0)),"⚠ לא בהגדרות"))</f>
        <v/>
      </c>
      <c r="D588" s="51"/>
      <c r="E588" s="53"/>
      <c r="F588" s="52" t="str">
        <f aca="false">IF(A588="","",INDEX(הגדרות!$H$16:$H$27,MONTH(A588)))</f>
        <v/>
      </c>
    </row>
    <row r="589" customFormat="false" ht="15" hidden="false" customHeight="false" outlineLevel="0" collapsed="false">
      <c r="A589" s="55"/>
      <c r="B589" s="56"/>
      <c r="C589" s="57" t="str">
        <f aca="false">IF(B589="","",IFERROR(INDEX(הגדרות!$A$8:$A$53,MATCH(B589,הגדרות!$B$8:$B$53,0)),"⚠ לא בהגדרות"))</f>
        <v/>
      </c>
      <c r="D589" s="56"/>
      <c r="E589" s="58"/>
      <c r="F589" s="57" t="str">
        <f aca="false">IF(A589="","",INDEX(הגדרות!$H$16:$H$27,MONTH(A589)))</f>
        <v/>
      </c>
    </row>
    <row r="590" customFormat="false" ht="15" hidden="false" customHeight="false" outlineLevel="0" collapsed="false">
      <c r="A590" s="50"/>
      <c r="B590" s="51"/>
      <c r="C590" s="52" t="str">
        <f aca="false">IF(B590="","",IFERROR(INDEX(הגדרות!$A$8:$A$53,MATCH(B590,הגדרות!$B$8:$B$53,0)),"⚠ לא בהגדרות"))</f>
        <v/>
      </c>
      <c r="D590" s="51"/>
      <c r="E590" s="53"/>
      <c r="F590" s="52" t="str">
        <f aca="false">IF(A590="","",INDEX(הגדרות!$H$16:$H$27,MONTH(A590)))</f>
        <v/>
      </c>
    </row>
    <row r="591" customFormat="false" ht="15" hidden="false" customHeight="false" outlineLevel="0" collapsed="false">
      <c r="A591" s="55"/>
      <c r="B591" s="56"/>
      <c r="C591" s="57" t="str">
        <f aca="false">IF(B591="","",IFERROR(INDEX(הגדרות!$A$8:$A$53,MATCH(B591,הגדרות!$B$8:$B$53,0)),"⚠ לא בהגדרות"))</f>
        <v/>
      </c>
      <c r="D591" s="56"/>
      <c r="E591" s="58"/>
      <c r="F591" s="57" t="str">
        <f aca="false">IF(A591="","",INDEX(הגדרות!$H$16:$H$27,MONTH(A591)))</f>
        <v/>
      </c>
    </row>
    <row r="592" customFormat="false" ht="15" hidden="false" customHeight="false" outlineLevel="0" collapsed="false">
      <c r="A592" s="50"/>
      <c r="B592" s="51"/>
      <c r="C592" s="52" t="str">
        <f aca="false">IF(B592="","",IFERROR(INDEX(הגדרות!$A$8:$A$53,MATCH(B592,הגדרות!$B$8:$B$53,0)),"⚠ לא בהגדרות"))</f>
        <v/>
      </c>
      <c r="D592" s="51"/>
      <c r="E592" s="53"/>
      <c r="F592" s="52" t="str">
        <f aca="false">IF(A592="","",INDEX(הגדרות!$H$16:$H$27,MONTH(A592)))</f>
        <v/>
      </c>
    </row>
    <row r="593" customFormat="false" ht="15" hidden="false" customHeight="false" outlineLevel="0" collapsed="false">
      <c r="A593" s="55"/>
      <c r="B593" s="56"/>
      <c r="C593" s="57" t="str">
        <f aca="false">IF(B593="","",IFERROR(INDEX(הגדרות!$A$8:$A$53,MATCH(B593,הגדרות!$B$8:$B$53,0)),"⚠ לא בהגדרות"))</f>
        <v/>
      </c>
      <c r="D593" s="56"/>
      <c r="E593" s="58"/>
      <c r="F593" s="57" t="str">
        <f aca="false">IF(A593="","",INDEX(הגדרות!$H$16:$H$27,MONTH(A593)))</f>
        <v/>
      </c>
    </row>
    <row r="594" customFormat="false" ht="15" hidden="false" customHeight="false" outlineLevel="0" collapsed="false">
      <c r="A594" s="50"/>
      <c r="B594" s="51"/>
      <c r="C594" s="52" t="str">
        <f aca="false">IF(B594="","",IFERROR(INDEX(הגדרות!$A$8:$A$53,MATCH(B594,הגדרות!$B$8:$B$53,0)),"⚠ לא בהגדרות"))</f>
        <v/>
      </c>
      <c r="D594" s="51"/>
      <c r="E594" s="53"/>
      <c r="F594" s="52" t="str">
        <f aca="false">IF(A594="","",INDEX(הגדרות!$H$16:$H$27,MONTH(A594)))</f>
        <v/>
      </c>
    </row>
    <row r="595" customFormat="false" ht="15" hidden="false" customHeight="false" outlineLevel="0" collapsed="false">
      <c r="A595" s="55"/>
      <c r="B595" s="56"/>
      <c r="C595" s="57" t="str">
        <f aca="false">IF(B595="","",IFERROR(INDEX(הגדרות!$A$8:$A$53,MATCH(B595,הגדרות!$B$8:$B$53,0)),"⚠ לא בהגדרות"))</f>
        <v/>
      </c>
      <c r="D595" s="56"/>
      <c r="E595" s="58"/>
      <c r="F595" s="57" t="str">
        <f aca="false">IF(A595="","",INDEX(הגדרות!$H$16:$H$27,MONTH(A595)))</f>
        <v/>
      </c>
    </row>
    <row r="596" customFormat="false" ht="15" hidden="false" customHeight="false" outlineLevel="0" collapsed="false">
      <c r="A596" s="50"/>
      <c r="B596" s="51"/>
      <c r="C596" s="52" t="str">
        <f aca="false">IF(B596="","",IFERROR(INDEX(הגדרות!$A$8:$A$53,MATCH(B596,הגדרות!$B$8:$B$53,0)),"⚠ לא בהגדרות"))</f>
        <v/>
      </c>
      <c r="D596" s="51"/>
      <c r="E596" s="53"/>
      <c r="F596" s="52" t="str">
        <f aca="false">IF(A596="","",INDEX(הגדרות!$H$16:$H$27,MONTH(A596)))</f>
        <v/>
      </c>
    </row>
    <row r="597" customFormat="false" ht="15" hidden="false" customHeight="false" outlineLevel="0" collapsed="false">
      <c r="A597" s="55"/>
      <c r="B597" s="56"/>
      <c r="C597" s="57" t="str">
        <f aca="false">IF(B597="","",IFERROR(INDEX(הגדרות!$A$8:$A$53,MATCH(B597,הגדרות!$B$8:$B$53,0)),"⚠ לא בהגדרות"))</f>
        <v/>
      </c>
      <c r="D597" s="56"/>
      <c r="E597" s="58"/>
      <c r="F597" s="57" t="str">
        <f aca="false">IF(A597="","",INDEX(הגדרות!$H$16:$H$27,MONTH(A597)))</f>
        <v/>
      </c>
    </row>
    <row r="598" customFormat="false" ht="15" hidden="false" customHeight="false" outlineLevel="0" collapsed="false">
      <c r="A598" s="50"/>
      <c r="B598" s="51"/>
      <c r="C598" s="52" t="str">
        <f aca="false">IF(B598="","",IFERROR(INDEX(הגדרות!$A$8:$A$53,MATCH(B598,הגדרות!$B$8:$B$53,0)),"⚠ לא בהגדרות"))</f>
        <v/>
      </c>
      <c r="D598" s="51"/>
      <c r="E598" s="53"/>
      <c r="F598" s="52" t="str">
        <f aca="false">IF(A598="","",INDEX(הגדרות!$H$16:$H$27,MONTH(A598)))</f>
        <v/>
      </c>
    </row>
    <row r="599" customFormat="false" ht="15" hidden="false" customHeight="false" outlineLevel="0" collapsed="false">
      <c r="A599" s="55"/>
      <c r="B599" s="56"/>
      <c r="C599" s="57" t="str">
        <f aca="false">IF(B599="","",IFERROR(INDEX(הגדרות!$A$8:$A$53,MATCH(B599,הגדרות!$B$8:$B$53,0)),"⚠ לא בהגדרות"))</f>
        <v/>
      </c>
      <c r="D599" s="56"/>
      <c r="E599" s="58"/>
      <c r="F599" s="57" t="str">
        <f aca="false">IF(A599="","",INDEX(הגדרות!$H$16:$H$27,MONTH(A599)))</f>
        <v/>
      </c>
    </row>
    <row r="600" customFormat="false" ht="15" hidden="false" customHeight="false" outlineLevel="0" collapsed="false">
      <c r="A600" s="50"/>
      <c r="B600" s="51"/>
      <c r="C600" s="52" t="str">
        <f aca="false">IF(B600="","",IFERROR(INDEX(הגדרות!$A$8:$A$53,MATCH(B600,הגדרות!$B$8:$B$53,0)),"⚠ לא בהגדרות"))</f>
        <v/>
      </c>
      <c r="D600" s="51"/>
      <c r="E600" s="53"/>
      <c r="F600" s="52" t="str">
        <f aca="false">IF(A600="","",INDEX(הגדרות!$H$16:$H$27,MONTH(A600)))</f>
        <v/>
      </c>
    </row>
    <row r="601" customFormat="false" ht="15" hidden="false" customHeight="false" outlineLevel="0" collapsed="false">
      <c r="A601" s="55"/>
      <c r="B601" s="56"/>
      <c r="C601" s="57" t="str">
        <f aca="false">IF(B601="","",IFERROR(INDEX(הגדרות!$A$8:$A$53,MATCH(B601,הגדרות!$B$8:$B$53,0)),"⚠ לא בהגדרות"))</f>
        <v/>
      </c>
      <c r="D601" s="56"/>
      <c r="E601" s="58"/>
      <c r="F601" s="57" t="str">
        <f aca="false">IF(A601="","",INDEX(הגדרות!$H$16:$H$27,MONTH(A601)))</f>
        <v/>
      </c>
    </row>
    <row r="602" customFormat="false" ht="15" hidden="false" customHeight="false" outlineLevel="0" collapsed="false">
      <c r="A602" s="50"/>
      <c r="B602" s="51"/>
      <c r="C602" s="52" t="str">
        <f aca="false">IF(B602="","",IFERROR(INDEX(הגדרות!$A$8:$A$53,MATCH(B602,הגדרות!$B$8:$B$53,0)),"⚠ לא בהגדרות"))</f>
        <v/>
      </c>
      <c r="D602" s="51"/>
      <c r="E602" s="53"/>
      <c r="F602" s="52" t="str">
        <f aca="false">IF(A602="","",INDEX(הגדרות!$H$16:$H$27,MONTH(A602)))</f>
        <v/>
      </c>
    </row>
    <row r="603" customFormat="false" ht="15" hidden="false" customHeight="false" outlineLevel="0" collapsed="false">
      <c r="A603" s="55"/>
      <c r="B603" s="56"/>
      <c r="C603" s="57" t="str">
        <f aca="false">IF(B603="","",IFERROR(INDEX(הגדרות!$A$8:$A$53,MATCH(B603,הגדרות!$B$8:$B$53,0)),"⚠ לא בהגדרות"))</f>
        <v/>
      </c>
      <c r="D603" s="56"/>
      <c r="E603" s="58"/>
      <c r="F603" s="57" t="str">
        <f aca="false">IF(A603="","",INDEX(הגדרות!$H$16:$H$27,MONTH(A603)))</f>
        <v/>
      </c>
    </row>
    <row r="604" customFormat="false" ht="15" hidden="false" customHeight="false" outlineLevel="0" collapsed="false">
      <c r="A604" s="50"/>
      <c r="B604" s="51"/>
      <c r="C604" s="52" t="str">
        <f aca="false">IF(B604="","",IFERROR(INDEX(הגדרות!$A$8:$A$53,MATCH(B604,הגדרות!$B$8:$B$53,0)),"⚠ לא בהגדרות"))</f>
        <v/>
      </c>
      <c r="D604" s="51"/>
      <c r="E604" s="53"/>
      <c r="F604" s="52" t="str">
        <f aca="false">IF(A604="","",INDEX(הגדרות!$H$16:$H$27,MONTH(A604)))</f>
        <v/>
      </c>
    </row>
    <row r="605" customFormat="false" ht="15" hidden="false" customHeight="false" outlineLevel="0" collapsed="false">
      <c r="A605" s="55"/>
      <c r="B605" s="56"/>
      <c r="C605" s="57" t="str">
        <f aca="false">IF(B605="","",IFERROR(INDEX(הגדרות!$A$8:$A$53,MATCH(B605,הגדרות!$B$8:$B$53,0)),"⚠ לא בהגדרות"))</f>
        <v/>
      </c>
      <c r="D605" s="56"/>
      <c r="E605" s="58"/>
      <c r="F605" s="57" t="str">
        <f aca="false">IF(A605="","",INDEX(הגדרות!$H$16:$H$27,MONTH(A605)))</f>
        <v/>
      </c>
    </row>
    <row r="606" customFormat="false" ht="15" hidden="false" customHeight="false" outlineLevel="0" collapsed="false">
      <c r="A606" s="50"/>
      <c r="B606" s="51"/>
      <c r="C606" s="52" t="str">
        <f aca="false">IF(B606="","",IFERROR(INDEX(הגדרות!$A$8:$A$53,MATCH(B606,הגדרות!$B$8:$B$53,0)),"⚠ לא בהגדרות"))</f>
        <v/>
      </c>
      <c r="D606" s="51"/>
      <c r="E606" s="53"/>
      <c r="F606" s="52" t="str">
        <f aca="false">IF(A606="","",INDEX(הגדרות!$H$16:$H$27,MONTH(A606)))</f>
        <v/>
      </c>
    </row>
    <row r="607" customFormat="false" ht="15" hidden="false" customHeight="false" outlineLevel="0" collapsed="false">
      <c r="A607" s="55"/>
      <c r="B607" s="56"/>
      <c r="C607" s="57" t="str">
        <f aca="false">IF(B607="","",IFERROR(INDEX(הגדרות!$A$8:$A$53,MATCH(B607,הגדרות!$B$8:$B$53,0)),"⚠ לא בהגדרות"))</f>
        <v/>
      </c>
      <c r="D607" s="56"/>
      <c r="E607" s="58"/>
      <c r="F607" s="57" t="str">
        <f aca="false">IF(A607="","",INDEX(הגדרות!$H$16:$H$27,MONTH(A607)))</f>
        <v/>
      </c>
    </row>
    <row r="608" customFormat="false" ht="15" hidden="false" customHeight="false" outlineLevel="0" collapsed="false">
      <c r="A608" s="50"/>
      <c r="B608" s="51"/>
      <c r="C608" s="52" t="str">
        <f aca="false">IF(B608="","",IFERROR(INDEX(הגדרות!$A$8:$A$53,MATCH(B608,הגדרות!$B$8:$B$53,0)),"⚠ לא בהגדרות"))</f>
        <v/>
      </c>
      <c r="D608" s="51"/>
      <c r="E608" s="53"/>
      <c r="F608" s="52" t="str">
        <f aca="false">IF(A608="","",INDEX(הגדרות!$H$16:$H$27,MONTH(A608)))</f>
        <v/>
      </c>
    </row>
    <row r="609" customFormat="false" ht="15" hidden="false" customHeight="false" outlineLevel="0" collapsed="false">
      <c r="A609" s="55"/>
      <c r="B609" s="56"/>
      <c r="C609" s="57" t="str">
        <f aca="false">IF(B609="","",IFERROR(INDEX(הגדרות!$A$8:$A$53,MATCH(B609,הגדרות!$B$8:$B$53,0)),"⚠ לא בהגדרות"))</f>
        <v/>
      </c>
      <c r="D609" s="56"/>
      <c r="E609" s="58"/>
      <c r="F609" s="57" t="str">
        <f aca="false">IF(A609="","",INDEX(הגדרות!$H$16:$H$27,MONTH(A609)))</f>
        <v/>
      </c>
    </row>
    <row r="610" customFormat="false" ht="15" hidden="false" customHeight="false" outlineLevel="0" collapsed="false">
      <c r="A610" s="50"/>
      <c r="B610" s="51"/>
      <c r="C610" s="52" t="str">
        <f aca="false">IF(B610="","",IFERROR(INDEX(הגדרות!$A$8:$A$53,MATCH(B610,הגדרות!$B$8:$B$53,0)),"⚠ לא בהגדרות"))</f>
        <v/>
      </c>
      <c r="D610" s="51"/>
      <c r="E610" s="53"/>
      <c r="F610" s="52" t="str">
        <f aca="false">IF(A610="","",INDEX(הגדרות!$H$16:$H$27,MONTH(A610)))</f>
        <v/>
      </c>
    </row>
    <row r="611" customFormat="false" ht="15" hidden="false" customHeight="false" outlineLevel="0" collapsed="false">
      <c r="A611" s="55"/>
      <c r="B611" s="56"/>
      <c r="C611" s="57" t="str">
        <f aca="false">IF(B611="","",IFERROR(INDEX(הגדרות!$A$8:$A$53,MATCH(B611,הגדרות!$B$8:$B$53,0)),"⚠ לא בהגדרות"))</f>
        <v/>
      </c>
      <c r="D611" s="56"/>
      <c r="E611" s="58"/>
      <c r="F611" s="57" t="str">
        <f aca="false">IF(A611="","",INDEX(הגדרות!$H$16:$H$27,MONTH(A611)))</f>
        <v/>
      </c>
    </row>
    <row r="612" customFormat="false" ht="15" hidden="false" customHeight="false" outlineLevel="0" collapsed="false">
      <c r="A612" s="50"/>
      <c r="B612" s="51"/>
      <c r="C612" s="52" t="str">
        <f aca="false">IF(B612="","",IFERROR(INDEX(הגדרות!$A$8:$A$53,MATCH(B612,הגדרות!$B$8:$B$53,0)),"⚠ לא בהגדרות"))</f>
        <v/>
      </c>
      <c r="D612" s="51"/>
      <c r="E612" s="53"/>
      <c r="F612" s="52" t="str">
        <f aca="false">IF(A612="","",INDEX(הגדרות!$H$16:$H$27,MONTH(A612)))</f>
        <v/>
      </c>
    </row>
    <row r="613" customFormat="false" ht="15" hidden="false" customHeight="false" outlineLevel="0" collapsed="false">
      <c r="A613" s="55"/>
      <c r="B613" s="56"/>
      <c r="C613" s="57" t="str">
        <f aca="false">IF(B613="","",IFERROR(INDEX(הגדרות!$A$8:$A$53,MATCH(B613,הגדרות!$B$8:$B$53,0)),"⚠ לא בהגדרות"))</f>
        <v/>
      </c>
      <c r="D613" s="56"/>
      <c r="E613" s="58"/>
      <c r="F613" s="57" t="str">
        <f aca="false">IF(A613="","",INDEX(הגדרות!$H$16:$H$27,MONTH(A613)))</f>
        <v/>
      </c>
    </row>
    <row r="614" customFormat="false" ht="15" hidden="false" customHeight="false" outlineLevel="0" collapsed="false">
      <c r="A614" s="50"/>
      <c r="B614" s="51"/>
      <c r="C614" s="52" t="str">
        <f aca="false">IF(B614="","",IFERROR(INDEX(הגדרות!$A$8:$A$53,MATCH(B614,הגדרות!$B$8:$B$53,0)),"⚠ לא בהגדרות"))</f>
        <v/>
      </c>
      <c r="D614" s="51"/>
      <c r="E614" s="53"/>
      <c r="F614" s="52" t="str">
        <f aca="false">IF(A614="","",INDEX(הגדרות!$H$16:$H$27,MONTH(A614)))</f>
        <v/>
      </c>
    </row>
    <row r="615" customFormat="false" ht="15" hidden="false" customHeight="false" outlineLevel="0" collapsed="false">
      <c r="A615" s="55"/>
      <c r="B615" s="56"/>
      <c r="C615" s="57" t="str">
        <f aca="false">IF(B615="","",IFERROR(INDEX(הגדרות!$A$8:$A$53,MATCH(B615,הגדרות!$B$8:$B$53,0)),"⚠ לא בהגדרות"))</f>
        <v/>
      </c>
      <c r="D615" s="56"/>
      <c r="E615" s="58"/>
      <c r="F615" s="57" t="str">
        <f aca="false">IF(A615="","",INDEX(הגדרות!$H$16:$H$27,MONTH(A615)))</f>
        <v/>
      </c>
    </row>
    <row r="616" customFormat="false" ht="15" hidden="false" customHeight="false" outlineLevel="0" collapsed="false">
      <c r="A616" s="50"/>
      <c r="B616" s="51"/>
      <c r="C616" s="52" t="str">
        <f aca="false">IF(B616="","",IFERROR(INDEX(הגדרות!$A$8:$A$53,MATCH(B616,הגדרות!$B$8:$B$53,0)),"⚠ לא בהגדרות"))</f>
        <v/>
      </c>
      <c r="D616" s="51"/>
      <c r="E616" s="53"/>
      <c r="F616" s="52" t="str">
        <f aca="false">IF(A616="","",INDEX(הגדרות!$H$16:$H$27,MONTH(A616)))</f>
        <v/>
      </c>
    </row>
    <row r="617" customFormat="false" ht="15" hidden="false" customHeight="false" outlineLevel="0" collapsed="false">
      <c r="A617" s="55"/>
      <c r="B617" s="56"/>
      <c r="C617" s="57" t="str">
        <f aca="false">IF(B617="","",IFERROR(INDEX(הגדרות!$A$8:$A$53,MATCH(B617,הגדרות!$B$8:$B$53,0)),"⚠ לא בהגדרות"))</f>
        <v/>
      </c>
      <c r="D617" s="56"/>
      <c r="E617" s="58"/>
      <c r="F617" s="57" t="str">
        <f aca="false">IF(A617="","",INDEX(הגדרות!$H$16:$H$27,MONTH(A617)))</f>
        <v/>
      </c>
    </row>
    <row r="618" customFormat="false" ht="15" hidden="false" customHeight="false" outlineLevel="0" collapsed="false">
      <c r="A618" s="50"/>
      <c r="B618" s="51"/>
      <c r="C618" s="52" t="str">
        <f aca="false">IF(B618="","",IFERROR(INDEX(הגדרות!$A$8:$A$53,MATCH(B618,הגדרות!$B$8:$B$53,0)),"⚠ לא בהגדרות"))</f>
        <v/>
      </c>
      <c r="D618" s="51"/>
      <c r="E618" s="53"/>
      <c r="F618" s="52" t="str">
        <f aca="false">IF(A618="","",INDEX(הגדרות!$H$16:$H$27,MONTH(A618)))</f>
        <v/>
      </c>
    </row>
    <row r="619" customFormat="false" ht="15" hidden="false" customHeight="false" outlineLevel="0" collapsed="false">
      <c r="A619" s="55"/>
      <c r="B619" s="56"/>
      <c r="C619" s="57" t="str">
        <f aca="false">IF(B619="","",IFERROR(INDEX(הגדרות!$A$8:$A$53,MATCH(B619,הגדרות!$B$8:$B$53,0)),"⚠ לא בהגדרות"))</f>
        <v/>
      </c>
      <c r="D619" s="56"/>
      <c r="E619" s="58"/>
      <c r="F619" s="57" t="str">
        <f aca="false">IF(A619="","",INDEX(הגדרות!$H$16:$H$27,MONTH(A619)))</f>
        <v/>
      </c>
    </row>
    <row r="620" customFormat="false" ht="15" hidden="false" customHeight="false" outlineLevel="0" collapsed="false">
      <c r="A620" s="50"/>
      <c r="B620" s="51"/>
      <c r="C620" s="52" t="str">
        <f aca="false">IF(B620="","",IFERROR(INDEX(הגדרות!$A$8:$A$53,MATCH(B620,הגדרות!$B$8:$B$53,0)),"⚠ לא בהגדרות"))</f>
        <v/>
      </c>
      <c r="D620" s="51"/>
      <c r="E620" s="53"/>
      <c r="F620" s="52" t="str">
        <f aca="false">IF(A620="","",INDEX(הגדרות!$H$16:$H$27,MONTH(A620)))</f>
        <v/>
      </c>
    </row>
    <row r="621" customFormat="false" ht="15" hidden="false" customHeight="false" outlineLevel="0" collapsed="false">
      <c r="A621" s="55"/>
      <c r="B621" s="56"/>
      <c r="C621" s="57" t="str">
        <f aca="false">IF(B621="","",IFERROR(INDEX(הגדרות!$A$8:$A$53,MATCH(B621,הגדרות!$B$8:$B$53,0)),"⚠ לא בהגדרות"))</f>
        <v/>
      </c>
      <c r="D621" s="56"/>
      <c r="E621" s="58"/>
      <c r="F621" s="57" t="str">
        <f aca="false">IF(A621="","",INDEX(הגדרות!$H$16:$H$27,MONTH(A621)))</f>
        <v/>
      </c>
    </row>
    <row r="622" customFormat="false" ht="15" hidden="false" customHeight="false" outlineLevel="0" collapsed="false">
      <c r="A622" s="50"/>
      <c r="B622" s="51"/>
      <c r="C622" s="52" t="str">
        <f aca="false">IF(B622="","",IFERROR(INDEX(הגדרות!$A$8:$A$53,MATCH(B622,הגדרות!$B$8:$B$53,0)),"⚠ לא בהגדרות"))</f>
        <v/>
      </c>
      <c r="D622" s="51"/>
      <c r="E622" s="53"/>
      <c r="F622" s="52" t="str">
        <f aca="false">IF(A622="","",INDEX(הגדרות!$H$16:$H$27,MONTH(A622)))</f>
        <v/>
      </c>
    </row>
    <row r="623" customFormat="false" ht="15" hidden="false" customHeight="false" outlineLevel="0" collapsed="false">
      <c r="A623" s="55"/>
      <c r="B623" s="56"/>
      <c r="C623" s="57" t="str">
        <f aca="false">IF(B623="","",IFERROR(INDEX(הגדרות!$A$8:$A$53,MATCH(B623,הגדרות!$B$8:$B$53,0)),"⚠ לא בהגדרות"))</f>
        <v/>
      </c>
      <c r="D623" s="56"/>
      <c r="E623" s="58"/>
      <c r="F623" s="57" t="str">
        <f aca="false">IF(A623="","",INDEX(הגדרות!$H$16:$H$27,MONTH(A623)))</f>
        <v/>
      </c>
    </row>
    <row r="624" customFormat="false" ht="15" hidden="false" customHeight="false" outlineLevel="0" collapsed="false">
      <c r="A624" s="50"/>
      <c r="B624" s="51"/>
      <c r="C624" s="52" t="str">
        <f aca="false">IF(B624="","",IFERROR(INDEX(הגדרות!$A$8:$A$53,MATCH(B624,הגדרות!$B$8:$B$53,0)),"⚠ לא בהגדרות"))</f>
        <v/>
      </c>
      <c r="D624" s="51"/>
      <c r="E624" s="53"/>
      <c r="F624" s="52" t="str">
        <f aca="false">IF(A624="","",INDEX(הגדרות!$H$16:$H$27,MONTH(A624)))</f>
        <v/>
      </c>
    </row>
    <row r="625" customFormat="false" ht="15" hidden="false" customHeight="false" outlineLevel="0" collapsed="false">
      <c r="A625" s="55"/>
      <c r="B625" s="56"/>
      <c r="C625" s="57" t="str">
        <f aca="false">IF(B625="","",IFERROR(INDEX(הגדרות!$A$8:$A$53,MATCH(B625,הגדרות!$B$8:$B$53,0)),"⚠ לא בהגדרות"))</f>
        <v/>
      </c>
      <c r="D625" s="56"/>
      <c r="E625" s="58"/>
      <c r="F625" s="57" t="str">
        <f aca="false">IF(A625="","",INDEX(הגדרות!$H$16:$H$27,MONTH(A625)))</f>
        <v/>
      </c>
    </row>
    <row r="626" customFormat="false" ht="15" hidden="false" customHeight="false" outlineLevel="0" collapsed="false">
      <c r="A626" s="50"/>
      <c r="B626" s="51"/>
      <c r="C626" s="52" t="str">
        <f aca="false">IF(B626="","",IFERROR(INDEX(הגדרות!$A$8:$A$53,MATCH(B626,הגדרות!$B$8:$B$53,0)),"⚠ לא בהגדרות"))</f>
        <v/>
      </c>
      <c r="D626" s="51"/>
      <c r="E626" s="53"/>
      <c r="F626" s="52" t="str">
        <f aca="false">IF(A626="","",INDEX(הגדרות!$H$16:$H$27,MONTH(A626)))</f>
        <v/>
      </c>
    </row>
    <row r="627" customFormat="false" ht="15" hidden="false" customHeight="false" outlineLevel="0" collapsed="false">
      <c r="A627" s="55"/>
      <c r="B627" s="56"/>
      <c r="C627" s="57" t="str">
        <f aca="false">IF(B627="","",IFERROR(INDEX(הגדרות!$A$8:$A$53,MATCH(B627,הגדרות!$B$8:$B$53,0)),"⚠ לא בהגדרות"))</f>
        <v/>
      </c>
      <c r="D627" s="56"/>
      <c r="E627" s="58"/>
      <c r="F627" s="57" t="str">
        <f aca="false">IF(A627="","",INDEX(הגדרות!$H$16:$H$27,MONTH(A627)))</f>
        <v/>
      </c>
    </row>
    <row r="628" customFormat="false" ht="15" hidden="false" customHeight="false" outlineLevel="0" collapsed="false">
      <c r="A628" s="50"/>
      <c r="B628" s="51"/>
      <c r="C628" s="52" t="str">
        <f aca="false">IF(B628="","",IFERROR(INDEX(הגדרות!$A$8:$A$53,MATCH(B628,הגדרות!$B$8:$B$53,0)),"⚠ לא בהגדרות"))</f>
        <v/>
      </c>
      <c r="D628" s="51"/>
      <c r="E628" s="53"/>
      <c r="F628" s="52" t="str">
        <f aca="false">IF(A628="","",INDEX(הגדרות!$H$16:$H$27,MONTH(A628)))</f>
        <v/>
      </c>
    </row>
    <row r="629" customFormat="false" ht="15" hidden="false" customHeight="false" outlineLevel="0" collapsed="false">
      <c r="A629" s="55"/>
      <c r="B629" s="56"/>
      <c r="C629" s="57" t="str">
        <f aca="false">IF(B629="","",IFERROR(INDEX(הגדרות!$A$8:$A$53,MATCH(B629,הגדרות!$B$8:$B$53,0)),"⚠ לא בהגדרות"))</f>
        <v/>
      </c>
      <c r="D629" s="56"/>
      <c r="E629" s="58"/>
      <c r="F629" s="57" t="str">
        <f aca="false">IF(A629="","",INDEX(הגדרות!$H$16:$H$27,MONTH(A629)))</f>
        <v/>
      </c>
    </row>
    <row r="630" customFormat="false" ht="15" hidden="false" customHeight="false" outlineLevel="0" collapsed="false">
      <c r="A630" s="50"/>
      <c r="B630" s="51"/>
      <c r="C630" s="52" t="str">
        <f aca="false">IF(B630="","",IFERROR(INDEX(הגדרות!$A$8:$A$53,MATCH(B630,הגדרות!$B$8:$B$53,0)),"⚠ לא בהגדרות"))</f>
        <v/>
      </c>
      <c r="D630" s="51"/>
      <c r="E630" s="53"/>
      <c r="F630" s="52" t="str">
        <f aca="false">IF(A630="","",INDEX(הגדרות!$H$16:$H$27,MONTH(A630)))</f>
        <v/>
      </c>
    </row>
    <row r="631" customFormat="false" ht="15" hidden="false" customHeight="false" outlineLevel="0" collapsed="false">
      <c r="A631" s="55"/>
      <c r="B631" s="56"/>
      <c r="C631" s="57" t="str">
        <f aca="false">IF(B631="","",IFERROR(INDEX(הגדרות!$A$8:$A$53,MATCH(B631,הגדרות!$B$8:$B$53,0)),"⚠ לא בהגדרות"))</f>
        <v/>
      </c>
      <c r="D631" s="56"/>
      <c r="E631" s="58"/>
      <c r="F631" s="57" t="str">
        <f aca="false">IF(A631="","",INDEX(הגדרות!$H$16:$H$27,MONTH(A631)))</f>
        <v/>
      </c>
    </row>
    <row r="632" customFormat="false" ht="15" hidden="false" customHeight="false" outlineLevel="0" collapsed="false">
      <c r="A632" s="50"/>
      <c r="B632" s="51"/>
      <c r="C632" s="52" t="str">
        <f aca="false">IF(B632="","",IFERROR(INDEX(הגדרות!$A$8:$A$53,MATCH(B632,הגדרות!$B$8:$B$53,0)),"⚠ לא בהגדרות"))</f>
        <v/>
      </c>
      <c r="D632" s="51"/>
      <c r="E632" s="53"/>
      <c r="F632" s="52" t="str">
        <f aca="false">IF(A632="","",INDEX(הגדרות!$H$16:$H$27,MONTH(A632)))</f>
        <v/>
      </c>
    </row>
    <row r="633" customFormat="false" ht="15" hidden="false" customHeight="false" outlineLevel="0" collapsed="false">
      <c r="A633" s="55"/>
      <c r="B633" s="56"/>
      <c r="C633" s="57" t="str">
        <f aca="false">IF(B633="","",IFERROR(INDEX(הגדרות!$A$8:$A$53,MATCH(B633,הגדרות!$B$8:$B$53,0)),"⚠ לא בהגדרות"))</f>
        <v/>
      </c>
      <c r="D633" s="56"/>
      <c r="E633" s="58"/>
      <c r="F633" s="57" t="str">
        <f aca="false">IF(A633="","",INDEX(הגדרות!$H$16:$H$27,MONTH(A633)))</f>
        <v/>
      </c>
    </row>
    <row r="634" customFormat="false" ht="15" hidden="false" customHeight="false" outlineLevel="0" collapsed="false">
      <c r="A634" s="50"/>
      <c r="B634" s="51"/>
      <c r="C634" s="52" t="str">
        <f aca="false">IF(B634="","",IFERROR(INDEX(הגדרות!$A$8:$A$53,MATCH(B634,הגדרות!$B$8:$B$53,0)),"⚠ לא בהגדרות"))</f>
        <v/>
      </c>
      <c r="D634" s="51"/>
      <c r="E634" s="53"/>
      <c r="F634" s="52" t="str">
        <f aca="false">IF(A634="","",INDEX(הגדרות!$H$16:$H$27,MONTH(A634)))</f>
        <v/>
      </c>
    </row>
    <row r="635" customFormat="false" ht="15" hidden="false" customHeight="false" outlineLevel="0" collapsed="false">
      <c r="A635" s="55"/>
      <c r="B635" s="56"/>
      <c r="C635" s="57" t="str">
        <f aca="false">IF(B635="","",IFERROR(INDEX(הגדרות!$A$8:$A$53,MATCH(B635,הגדרות!$B$8:$B$53,0)),"⚠ לא בהגדרות"))</f>
        <v/>
      </c>
      <c r="D635" s="56"/>
      <c r="E635" s="58"/>
      <c r="F635" s="57" t="str">
        <f aca="false">IF(A635="","",INDEX(הגדרות!$H$16:$H$27,MONTH(A635)))</f>
        <v/>
      </c>
    </row>
    <row r="636" customFormat="false" ht="15" hidden="false" customHeight="false" outlineLevel="0" collapsed="false">
      <c r="A636" s="50"/>
      <c r="B636" s="51"/>
      <c r="C636" s="52" t="str">
        <f aca="false">IF(B636="","",IFERROR(INDEX(הגדרות!$A$8:$A$53,MATCH(B636,הגדרות!$B$8:$B$53,0)),"⚠ לא בהגדרות"))</f>
        <v/>
      </c>
      <c r="D636" s="51"/>
      <c r="E636" s="53"/>
      <c r="F636" s="52" t="str">
        <f aca="false">IF(A636="","",INDEX(הגדרות!$H$16:$H$27,MONTH(A636)))</f>
        <v/>
      </c>
    </row>
    <row r="637" customFormat="false" ht="15" hidden="false" customHeight="false" outlineLevel="0" collapsed="false">
      <c r="A637" s="55"/>
      <c r="B637" s="56"/>
      <c r="C637" s="57" t="str">
        <f aca="false">IF(B637="","",IFERROR(INDEX(הגדרות!$A$8:$A$53,MATCH(B637,הגדרות!$B$8:$B$53,0)),"⚠ לא בהגדרות"))</f>
        <v/>
      </c>
      <c r="D637" s="56"/>
      <c r="E637" s="58"/>
      <c r="F637" s="57" t="str">
        <f aca="false">IF(A637="","",INDEX(הגדרות!$H$16:$H$27,MONTH(A637)))</f>
        <v/>
      </c>
    </row>
    <row r="638" customFormat="false" ht="15" hidden="false" customHeight="false" outlineLevel="0" collapsed="false">
      <c r="A638" s="50"/>
      <c r="B638" s="51"/>
      <c r="C638" s="52" t="str">
        <f aca="false">IF(B638="","",IFERROR(INDEX(הגדרות!$A$8:$A$53,MATCH(B638,הגדרות!$B$8:$B$53,0)),"⚠ לא בהגדרות"))</f>
        <v/>
      </c>
      <c r="D638" s="51"/>
      <c r="E638" s="53"/>
      <c r="F638" s="52" t="str">
        <f aca="false">IF(A638="","",INDEX(הגדרות!$H$16:$H$27,MONTH(A638)))</f>
        <v/>
      </c>
    </row>
    <row r="639" customFormat="false" ht="15" hidden="false" customHeight="false" outlineLevel="0" collapsed="false">
      <c r="A639" s="55"/>
      <c r="B639" s="56"/>
      <c r="C639" s="57" t="str">
        <f aca="false">IF(B639="","",IFERROR(INDEX(הגדרות!$A$8:$A$53,MATCH(B639,הגדרות!$B$8:$B$53,0)),"⚠ לא בהגדרות"))</f>
        <v/>
      </c>
      <c r="D639" s="56"/>
      <c r="E639" s="58"/>
      <c r="F639" s="57" t="str">
        <f aca="false">IF(A639="","",INDEX(הגדרות!$H$16:$H$27,MONTH(A639)))</f>
        <v/>
      </c>
    </row>
    <row r="640" customFormat="false" ht="15" hidden="false" customHeight="false" outlineLevel="0" collapsed="false">
      <c r="A640" s="50"/>
      <c r="B640" s="51"/>
      <c r="C640" s="52" t="str">
        <f aca="false">IF(B640="","",IFERROR(INDEX(הגדרות!$A$8:$A$53,MATCH(B640,הגדרות!$B$8:$B$53,0)),"⚠ לא בהגדרות"))</f>
        <v/>
      </c>
      <c r="D640" s="51"/>
      <c r="E640" s="53"/>
      <c r="F640" s="52" t="str">
        <f aca="false">IF(A640="","",INDEX(הגדרות!$H$16:$H$27,MONTH(A640)))</f>
        <v/>
      </c>
    </row>
    <row r="641" customFormat="false" ht="15" hidden="false" customHeight="false" outlineLevel="0" collapsed="false">
      <c r="A641" s="55"/>
      <c r="B641" s="56"/>
      <c r="C641" s="57" t="str">
        <f aca="false">IF(B641="","",IFERROR(INDEX(הגדרות!$A$8:$A$53,MATCH(B641,הגדרות!$B$8:$B$53,0)),"⚠ לא בהגדרות"))</f>
        <v/>
      </c>
      <c r="D641" s="56"/>
      <c r="E641" s="58"/>
      <c r="F641" s="57" t="str">
        <f aca="false">IF(A641="","",INDEX(הגדרות!$H$16:$H$27,MONTH(A641)))</f>
        <v/>
      </c>
    </row>
    <row r="642" customFormat="false" ht="15" hidden="false" customHeight="false" outlineLevel="0" collapsed="false">
      <c r="A642" s="50"/>
      <c r="B642" s="51"/>
      <c r="C642" s="52" t="str">
        <f aca="false">IF(B642="","",IFERROR(INDEX(הגדרות!$A$8:$A$53,MATCH(B642,הגדרות!$B$8:$B$53,0)),"⚠ לא בהגדרות"))</f>
        <v/>
      </c>
      <c r="D642" s="51"/>
      <c r="E642" s="53"/>
      <c r="F642" s="52" t="str">
        <f aca="false">IF(A642="","",INDEX(הגדרות!$H$16:$H$27,MONTH(A642)))</f>
        <v/>
      </c>
    </row>
    <row r="643" customFormat="false" ht="15" hidden="false" customHeight="false" outlineLevel="0" collapsed="false">
      <c r="A643" s="55"/>
      <c r="B643" s="56"/>
      <c r="C643" s="57" t="str">
        <f aca="false">IF(B643="","",IFERROR(INDEX(הגדרות!$A$8:$A$53,MATCH(B643,הגדרות!$B$8:$B$53,0)),"⚠ לא בהגדרות"))</f>
        <v/>
      </c>
      <c r="D643" s="56"/>
      <c r="E643" s="58"/>
      <c r="F643" s="57" t="str">
        <f aca="false">IF(A643="","",INDEX(הגדרות!$H$16:$H$27,MONTH(A643)))</f>
        <v/>
      </c>
    </row>
    <row r="644" customFormat="false" ht="15" hidden="false" customHeight="false" outlineLevel="0" collapsed="false">
      <c r="A644" s="50"/>
      <c r="B644" s="51"/>
      <c r="C644" s="52" t="str">
        <f aca="false">IF(B644="","",IFERROR(INDEX(הגדרות!$A$8:$A$53,MATCH(B644,הגדרות!$B$8:$B$53,0)),"⚠ לא בהגדרות"))</f>
        <v/>
      </c>
      <c r="D644" s="51"/>
      <c r="E644" s="53"/>
      <c r="F644" s="52" t="str">
        <f aca="false">IF(A644="","",INDEX(הגדרות!$H$16:$H$27,MONTH(A644)))</f>
        <v/>
      </c>
    </row>
    <row r="645" customFormat="false" ht="15" hidden="false" customHeight="false" outlineLevel="0" collapsed="false">
      <c r="A645" s="55"/>
      <c r="B645" s="56"/>
      <c r="C645" s="57" t="str">
        <f aca="false">IF(B645="","",IFERROR(INDEX(הגדרות!$A$8:$A$53,MATCH(B645,הגדרות!$B$8:$B$53,0)),"⚠ לא בהגדרות"))</f>
        <v/>
      </c>
      <c r="D645" s="56"/>
      <c r="E645" s="58"/>
      <c r="F645" s="57" t="str">
        <f aca="false">IF(A645="","",INDEX(הגדרות!$H$16:$H$27,MONTH(A645)))</f>
        <v/>
      </c>
    </row>
    <row r="646" customFormat="false" ht="15" hidden="false" customHeight="false" outlineLevel="0" collapsed="false">
      <c r="A646" s="50"/>
      <c r="B646" s="51"/>
      <c r="C646" s="52" t="str">
        <f aca="false">IF(B646="","",IFERROR(INDEX(הגדרות!$A$8:$A$53,MATCH(B646,הגדרות!$B$8:$B$53,0)),"⚠ לא בהגדרות"))</f>
        <v/>
      </c>
      <c r="D646" s="51"/>
      <c r="E646" s="53"/>
      <c r="F646" s="52" t="str">
        <f aca="false">IF(A646="","",INDEX(הגדרות!$H$16:$H$27,MONTH(A646)))</f>
        <v/>
      </c>
    </row>
    <row r="647" customFormat="false" ht="15" hidden="false" customHeight="false" outlineLevel="0" collapsed="false">
      <c r="A647" s="55"/>
      <c r="B647" s="56"/>
      <c r="C647" s="57" t="str">
        <f aca="false">IF(B647="","",IFERROR(INDEX(הגדרות!$A$8:$A$53,MATCH(B647,הגדרות!$B$8:$B$53,0)),"⚠ לא בהגדרות"))</f>
        <v/>
      </c>
      <c r="D647" s="56"/>
      <c r="E647" s="58"/>
      <c r="F647" s="57" t="str">
        <f aca="false">IF(A647="","",INDEX(הגדרות!$H$16:$H$27,MONTH(A647)))</f>
        <v/>
      </c>
    </row>
    <row r="648" customFormat="false" ht="15" hidden="false" customHeight="false" outlineLevel="0" collapsed="false">
      <c r="A648" s="50"/>
      <c r="B648" s="51"/>
      <c r="C648" s="52" t="str">
        <f aca="false">IF(B648="","",IFERROR(INDEX(הגדרות!$A$8:$A$53,MATCH(B648,הגדרות!$B$8:$B$53,0)),"⚠ לא בהגדרות"))</f>
        <v/>
      </c>
      <c r="D648" s="51"/>
      <c r="E648" s="53"/>
      <c r="F648" s="52" t="str">
        <f aca="false">IF(A648="","",INDEX(הגדרות!$H$16:$H$27,MONTH(A648)))</f>
        <v/>
      </c>
    </row>
    <row r="649" customFormat="false" ht="15" hidden="false" customHeight="false" outlineLevel="0" collapsed="false">
      <c r="A649" s="55"/>
      <c r="B649" s="56"/>
      <c r="C649" s="57" t="str">
        <f aca="false">IF(B649="","",IFERROR(INDEX(הגדרות!$A$8:$A$53,MATCH(B649,הגדרות!$B$8:$B$53,0)),"⚠ לא בהגדרות"))</f>
        <v/>
      </c>
      <c r="D649" s="56"/>
      <c r="E649" s="58"/>
      <c r="F649" s="57" t="str">
        <f aca="false">IF(A649="","",INDEX(הגדרות!$H$16:$H$27,MONTH(A649)))</f>
        <v/>
      </c>
    </row>
    <row r="650" customFormat="false" ht="15" hidden="false" customHeight="false" outlineLevel="0" collapsed="false">
      <c r="A650" s="50"/>
      <c r="B650" s="51"/>
      <c r="C650" s="52" t="str">
        <f aca="false">IF(B650="","",IFERROR(INDEX(הגדרות!$A$8:$A$53,MATCH(B650,הגדרות!$B$8:$B$53,0)),"⚠ לא בהגדרות"))</f>
        <v/>
      </c>
      <c r="D650" s="51"/>
      <c r="E650" s="53"/>
      <c r="F650" s="52" t="str">
        <f aca="false">IF(A650="","",INDEX(הגדרות!$H$16:$H$27,MONTH(A650)))</f>
        <v/>
      </c>
    </row>
    <row r="651" customFormat="false" ht="15" hidden="false" customHeight="false" outlineLevel="0" collapsed="false">
      <c r="A651" s="55"/>
      <c r="B651" s="56"/>
      <c r="C651" s="57" t="str">
        <f aca="false">IF(B651="","",IFERROR(INDEX(הגדרות!$A$8:$A$53,MATCH(B651,הגדרות!$B$8:$B$53,0)),"⚠ לא בהגדרות"))</f>
        <v/>
      </c>
      <c r="D651" s="56"/>
      <c r="E651" s="58"/>
      <c r="F651" s="57" t="str">
        <f aca="false">IF(A651="","",INDEX(הגדרות!$H$16:$H$27,MONTH(A651)))</f>
        <v/>
      </c>
    </row>
    <row r="652" customFormat="false" ht="15" hidden="false" customHeight="false" outlineLevel="0" collapsed="false">
      <c r="A652" s="50"/>
      <c r="B652" s="51"/>
      <c r="C652" s="52" t="str">
        <f aca="false">IF(B652="","",IFERROR(INDEX(הגדרות!$A$8:$A$53,MATCH(B652,הגדרות!$B$8:$B$53,0)),"⚠ לא בהגדרות"))</f>
        <v/>
      </c>
      <c r="D652" s="51"/>
      <c r="E652" s="53"/>
      <c r="F652" s="52" t="str">
        <f aca="false">IF(A652="","",INDEX(הגדרות!$H$16:$H$27,MONTH(A652)))</f>
        <v/>
      </c>
    </row>
    <row r="653" customFormat="false" ht="15" hidden="false" customHeight="false" outlineLevel="0" collapsed="false">
      <c r="A653" s="55"/>
      <c r="B653" s="56"/>
      <c r="C653" s="57" t="str">
        <f aca="false">IF(B653="","",IFERROR(INDEX(הגדרות!$A$8:$A$53,MATCH(B653,הגדרות!$B$8:$B$53,0)),"⚠ לא בהגדרות"))</f>
        <v/>
      </c>
      <c r="D653" s="56"/>
      <c r="E653" s="58"/>
      <c r="F653" s="57" t="str">
        <f aca="false">IF(A653="","",INDEX(הגדרות!$H$16:$H$27,MONTH(A653)))</f>
        <v/>
      </c>
    </row>
    <row r="654" customFormat="false" ht="15" hidden="false" customHeight="false" outlineLevel="0" collapsed="false">
      <c r="A654" s="50"/>
      <c r="B654" s="51"/>
      <c r="C654" s="52" t="str">
        <f aca="false">IF(B654="","",IFERROR(INDEX(הגדרות!$A$8:$A$53,MATCH(B654,הגדרות!$B$8:$B$53,0)),"⚠ לא בהגדרות"))</f>
        <v/>
      </c>
      <c r="D654" s="51"/>
      <c r="E654" s="53"/>
      <c r="F654" s="52" t="str">
        <f aca="false">IF(A654="","",INDEX(הגדרות!$H$16:$H$27,MONTH(A654)))</f>
        <v/>
      </c>
    </row>
    <row r="655" customFormat="false" ht="15" hidden="false" customHeight="false" outlineLevel="0" collapsed="false">
      <c r="A655" s="55"/>
      <c r="B655" s="56"/>
      <c r="C655" s="57" t="str">
        <f aca="false">IF(B655="","",IFERROR(INDEX(הגדרות!$A$8:$A$53,MATCH(B655,הגדרות!$B$8:$B$53,0)),"⚠ לא בהגדרות"))</f>
        <v/>
      </c>
      <c r="D655" s="56"/>
      <c r="E655" s="58"/>
      <c r="F655" s="57" t="str">
        <f aca="false">IF(A655="","",INDEX(הגדרות!$H$16:$H$27,MONTH(A655)))</f>
        <v/>
      </c>
    </row>
    <row r="656" customFormat="false" ht="15" hidden="false" customHeight="false" outlineLevel="0" collapsed="false">
      <c r="A656" s="50"/>
      <c r="B656" s="51"/>
      <c r="C656" s="52" t="str">
        <f aca="false">IF(B656="","",IFERROR(INDEX(הגדרות!$A$8:$A$53,MATCH(B656,הגדרות!$B$8:$B$53,0)),"⚠ לא בהגדרות"))</f>
        <v/>
      </c>
      <c r="D656" s="51"/>
      <c r="E656" s="53"/>
      <c r="F656" s="52" t="str">
        <f aca="false">IF(A656="","",INDEX(הגדרות!$H$16:$H$27,MONTH(A656)))</f>
        <v/>
      </c>
    </row>
    <row r="657" customFormat="false" ht="15" hidden="false" customHeight="false" outlineLevel="0" collapsed="false">
      <c r="A657" s="55"/>
      <c r="B657" s="56"/>
      <c r="C657" s="57" t="str">
        <f aca="false">IF(B657="","",IFERROR(INDEX(הגדרות!$A$8:$A$53,MATCH(B657,הגדרות!$B$8:$B$53,0)),"⚠ לא בהגדרות"))</f>
        <v/>
      </c>
      <c r="D657" s="56"/>
      <c r="E657" s="58"/>
      <c r="F657" s="57" t="str">
        <f aca="false">IF(A657="","",INDEX(הגדרות!$H$16:$H$27,MONTH(A657)))</f>
        <v/>
      </c>
    </row>
    <row r="658" customFormat="false" ht="15" hidden="false" customHeight="false" outlineLevel="0" collapsed="false">
      <c r="A658" s="50"/>
      <c r="B658" s="51"/>
      <c r="C658" s="52" t="str">
        <f aca="false">IF(B658="","",IFERROR(INDEX(הגדרות!$A$8:$A$53,MATCH(B658,הגדרות!$B$8:$B$53,0)),"⚠ לא בהגדרות"))</f>
        <v/>
      </c>
      <c r="D658" s="51"/>
      <c r="E658" s="53"/>
      <c r="F658" s="52" t="str">
        <f aca="false">IF(A658="","",INDEX(הגדרות!$H$16:$H$27,MONTH(A658)))</f>
        <v/>
      </c>
    </row>
    <row r="659" customFormat="false" ht="15" hidden="false" customHeight="false" outlineLevel="0" collapsed="false">
      <c r="A659" s="55"/>
      <c r="B659" s="56"/>
      <c r="C659" s="57" t="str">
        <f aca="false">IF(B659="","",IFERROR(INDEX(הגדרות!$A$8:$A$53,MATCH(B659,הגדרות!$B$8:$B$53,0)),"⚠ לא בהגדרות"))</f>
        <v/>
      </c>
      <c r="D659" s="56"/>
      <c r="E659" s="58"/>
      <c r="F659" s="57" t="str">
        <f aca="false">IF(A659="","",INDEX(הגדרות!$H$16:$H$27,MONTH(A659)))</f>
        <v/>
      </c>
    </row>
    <row r="660" customFormat="false" ht="15" hidden="false" customHeight="false" outlineLevel="0" collapsed="false">
      <c r="A660" s="50"/>
      <c r="B660" s="51"/>
      <c r="C660" s="52" t="str">
        <f aca="false">IF(B660="","",IFERROR(INDEX(הגדרות!$A$8:$A$53,MATCH(B660,הגדרות!$B$8:$B$53,0)),"⚠ לא בהגדרות"))</f>
        <v/>
      </c>
      <c r="D660" s="51"/>
      <c r="E660" s="53"/>
      <c r="F660" s="52" t="str">
        <f aca="false">IF(A660="","",INDEX(הגדרות!$H$16:$H$27,MONTH(A660)))</f>
        <v/>
      </c>
    </row>
    <row r="661" customFormat="false" ht="15" hidden="false" customHeight="false" outlineLevel="0" collapsed="false">
      <c r="A661" s="55"/>
      <c r="B661" s="56"/>
      <c r="C661" s="57" t="str">
        <f aca="false">IF(B661="","",IFERROR(INDEX(הגדרות!$A$8:$A$53,MATCH(B661,הגדרות!$B$8:$B$53,0)),"⚠ לא בהגדרות"))</f>
        <v/>
      </c>
      <c r="D661" s="56"/>
      <c r="E661" s="58"/>
      <c r="F661" s="57" t="str">
        <f aca="false">IF(A661="","",INDEX(הגדרות!$H$16:$H$27,MONTH(A661)))</f>
        <v/>
      </c>
    </row>
    <row r="662" customFormat="false" ht="15" hidden="false" customHeight="false" outlineLevel="0" collapsed="false">
      <c r="A662" s="50"/>
      <c r="B662" s="51"/>
      <c r="C662" s="52" t="str">
        <f aca="false">IF(B662="","",IFERROR(INDEX(הגדרות!$A$8:$A$53,MATCH(B662,הגדרות!$B$8:$B$53,0)),"⚠ לא בהגדרות"))</f>
        <v/>
      </c>
      <c r="D662" s="51"/>
      <c r="E662" s="53"/>
      <c r="F662" s="52" t="str">
        <f aca="false">IF(A662="","",INDEX(הגדרות!$H$16:$H$27,MONTH(A662)))</f>
        <v/>
      </c>
    </row>
    <row r="663" customFormat="false" ht="15" hidden="false" customHeight="false" outlineLevel="0" collapsed="false">
      <c r="A663" s="55"/>
      <c r="B663" s="56"/>
      <c r="C663" s="57" t="str">
        <f aca="false">IF(B663="","",IFERROR(INDEX(הגדרות!$A$8:$A$53,MATCH(B663,הגדרות!$B$8:$B$53,0)),"⚠ לא בהגדרות"))</f>
        <v/>
      </c>
      <c r="D663" s="56"/>
      <c r="E663" s="58"/>
      <c r="F663" s="57" t="str">
        <f aca="false">IF(A663="","",INDEX(הגדרות!$H$16:$H$27,MONTH(A663)))</f>
        <v/>
      </c>
    </row>
    <row r="664" customFormat="false" ht="15" hidden="false" customHeight="false" outlineLevel="0" collapsed="false">
      <c r="A664" s="50"/>
      <c r="B664" s="51"/>
      <c r="C664" s="52" t="str">
        <f aca="false">IF(B664="","",IFERROR(INDEX(הגדרות!$A$8:$A$53,MATCH(B664,הגדרות!$B$8:$B$53,0)),"⚠ לא בהגדרות"))</f>
        <v/>
      </c>
      <c r="D664" s="51"/>
      <c r="E664" s="53"/>
      <c r="F664" s="52" t="str">
        <f aca="false">IF(A664="","",INDEX(הגדרות!$H$16:$H$27,MONTH(A664)))</f>
        <v/>
      </c>
    </row>
    <row r="665" customFormat="false" ht="15" hidden="false" customHeight="false" outlineLevel="0" collapsed="false">
      <c r="A665" s="55"/>
      <c r="B665" s="56"/>
      <c r="C665" s="57" t="str">
        <f aca="false">IF(B665="","",IFERROR(INDEX(הגדרות!$A$8:$A$53,MATCH(B665,הגדרות!$B$8:$B$53,0)),"⚠ לא בהגדרות"))</f>
        <v/>
      </c>
      <c r="D665" s="56"/>
      <c r="E665" s="58"/>
      <c r="F665" s="57" t="str">
        <f aca="false">IF(A665="","",INDEX(הגדרות!$H$16:$H$27,MONTH(A665)))</f>
        <v/>
      </c>
    </row>
    <row r="666" customFormat="false" ht="15" hidden="false" customHeight="false" outlineLevel="0" collapsed="false">
      <c r="A666" s="50"/>
      <c r="B666" s="51"/>
      <c r="C666" s="52" t="str">
        <f aca="false">IF(B666="","",IFERROR(INDEX(הגדרות!$A$8:$A$53,MATCH(B666,הגדרות!$B$8:$B$53,0)),"⚠ לא בהגדרות"))</f>
        <v/>
      </c>
      <c r="D666" s="51"/>
      <c r="E666" s="53"/>
      <c r="F666" s="52" t="str">
        <f aca="false">IF(A666="","",INDEX(הגדרות!$H$16:$H$27,MONTH(A666)))</f>
        <v/>
      </c>
    </row>
    <row r="667" customFormat="false" ht="15" hidden="false" customHeight="false" outlineLevel="0" collapsed="false">
      <c r="A667" s="55"/>
      <c r="B667" s="56"/>
      <c r="C667" s="57" t="str">
        <f aca="false">IF(B667="","",IFERROR(INDEX(הגדרות!$A$8:$A$53,MATCH(B667,הגדרות!$B$8:$B$53,0)),"⚠ לא בהגדרות"))</f>
        <v/>
      </c>
      <c r="D667" s="56"/>
      <c r="E667" s="58"/>
      <c r="F667" s="57" t="str">
        <f aca="false">IF(A667="","",INDEX(הגדרות!$H$16:$H$27,MONTH(A667)))</f>
        <v/>
      </c>
    </row>
    <row r="668" customFormat="false" ht="15" hidden="false" customHeight="false" outlineLevel="0" collapsed="false">
      <c r="A668" s="50"/>
      <c r="B668" s="51"/>
      <c r="C668" s="52" t="str">
        <f aca="false">IF(B668="","",IFERROR(INDEX(הגדרות!$A$8:$A$53,MATCH(B668,הגדרות!$B$8:$B$53,0)),"⚠ לא בהגדרות"))</f>
        <v/>
      </c>
      <c r="D668" s="51"/>
      <c r="E668" s="53"/>
      <c r="F668" s="52" t="str">
        <f aca="false">IF(A668="","",INDEX(הגדרות!$H$16:$H$27,MONTH(A668)))</f>
        <v/>
      </c>
    </row>
    <row r="669" customFormat="false" ht="15" hidden="false" customHeight="false" outlineLevel="0" collapsed="false">
      <c r="A669" s="55"/>
      <c r="B669" s="56"/>
      <c r="C669" s="57" t="str">
        <f aca="false">IF(B669="","",IFERROR(INDEX(הגדרות!$A$8:$A$53,MATCH(B669,הגדרות!$B$8:$B$53,0)),"⚠ לא בהגדרות"))</f>
        <v/>
      </c>
      <c r="D669" s="56"/>
      <c r="E669" s="58"/>
      <c r="F669" s="57" t="str">
        <f aca="false">IF(A669="","",INDEX(הגדרות!$H$16:$H$27,MONTH(A669)))</f>
        <v/>
      </c>
    </row>
    <row r="670" customFormat="false" ht="15" hidden="false" customHeight="false" outlineLevel="0" collapsed="false">
      <c r="A670" s="50"/>
      <c r="B670" s="51"/>
      <c r="C670" s="52" t="str">
        <f aca="false">IF(B670="","",IFERROR(INDEX(הגדרות!$A$8:$A$53,MATCH(B670,הגדרות!$B$8:$B$53,0)),"⚠ לא בהגדרות"))</f>
        <v/>
      </c>
      <c r="D670" s="51"/>
      <c r="E670" s="53"/>
      <c r="F670" s="52" t="str">
        <f aca="false">IF(A670="","",INDEX(הגדרות!$H$16:$H$27,MONTH(A670)))</f>
        <v/>
      </c>
    </row>
    <row r="671" customFormat="false" ht="15" hidden="false" customHeight="false" outlineLevel="0" collapsed="false">
      <c r="A671" s="55"/>
      <c r="B671" s="56"/>
      <c r="C671" s="57" t="str">
        <f aca="false">IF(B671="","",IFERROR(INDEX(הגדרות!$A$8:$A$53,MATCH(B671,הגדרות!$B$8:$B$53,0)),"⚠ לא בהגדרות"))</f>
        <v/>
      </c>
      <c r="D671" s="56"/>
      <c r="E671" s="58"/>
      <c r="F671" s="57" t="str">
        <f aca="false">IF(A671="","",INDEX(הגדרות!$H$16:$H$27,MONTH(A671)))</f>
        <v/>
      </c>
    </row>
    <row r="672" customFormat="false" ht="15" hidden="false" customHeight="false" outlineLevel="0" collapsed="false">
      <c r="A672" s="50"/>
      <c r="B672" s="51"/>
      <c r="C672" s="52" t="str">
        <f aca="false">IF(B672="","",IFERROR(INDEX(הגדרות!$A$8:$A$53,MATCH(B672,הגדרות!$B$8:$B$53,0)),"⚠ לא בהגדרות"))</f>
        <v/>
      </c>
      <c r="D672" s="51"/>
      <c r="E672" s="53"/>
      <c r="F672" s="52" t="str">
        <f aca="false">IF(A672="","",INDEX(הגדרות!$H$16:$H$27,MONTH(A672)))</f>
        <v/>
      </c>
    </row>
    <row r="673" customFormat="false" ht="15" hidden="false" customHeight="false" outlineLevel="0" collapsed="false">
      <c r="A673" s="55"/>
      <c r="B673" s="56"/>
      <c r="C673" s="57" t="str">
        <f aca="false">IF(B673="","",IFERROR(INDEX(הגדרות!$A$8:$A$53,MATCH(B673,הגדרות!$B$8:$B$53,0)),"⚠ לא בהגדרות"))</f>
        <v/>
      </c>
      <c r="D673" s="56"/>
      <c r="E673" s="58"/>
      <c r="F673" s="57" t="str">
        <f aca="false">IF(A673="","",INDEX(הגדרות!$H$16:$H$27,MONTH(A673)))</f>
        <v/>
      </c>
    </row>
    <row r="674" customFormat="false" ht="15" hidden="false" customHeight="false" outlineLevel="0" collapsed="false">
      <c r="A674" s="50"/>
      <c r="B674" s="51"/>
      <c r="C674" s="52" t="str">
        <f aca="false">IF(B674="","",IFERROR(INDEX(הגדרות!$A$8:$A$53,MATCH(B674,הגדרות!$B$8:$B$53,0)),"⚠ לא בהגדרות"))</f>
        <v/>
      </c>
      <c r="D674" s="51"/>
      <c r="E674" s="53"/>
      <c r="F674" s="52" t="str">
        <f aca="false">IF(A674="","",INDEX(הגדרות!$H$16:$H$27,MONTH(A674)))</f>
        <v/>
      </c>
    </row>
    <row r="675" customFormat="false" ht="15" hidden="false" customHeight="false" outlineLevel="0" collapsed="false">
      <c r="A675" s="55"/>
      <c r="B675" s="56"/>
      <c r="C675" s="57" t="str">
        <f aca="false">IF(B675="","",IFERROR(INDEX(הגדרות!$A$8:$A$53,MATCH(B675,הגדרות!$B$8:$B$53,0)),"⚠ לא בהגדרות"))</f>
        <v/>
      </c>
      <c r="D675" s="56"/>
      <c r="E675" s="58"/>
      <c r="F675" s="57" t="str">
        <f aca="false">IF(A675="","",INDEX(הגדרות!$H$16:$H$27,MONTH(A675)))</f>
        <v/>
      </c>
    </row>
    <row r="676" customFormat="false" ht="15" hidden="false" customHeight="false" outlineLevel="0" collapsed="false">
      <c r="A676" s="50"/>
      <c r="B676" s="51"/>
      <c r="C676" s="52" t="str">
        <f aca="false">IF(B676="","",IFERROR(INDEX(הגדרות!$A$8:$A$53,MATCH(B676,הגדרות!$B$8:$B$53,0)),"⚠ לא בהגדרות"))</f>
        <v/>
      </c>
      <c r="D676" s="51"/>
      <c r="E676" s="53"/>
      <c r="F676" s="52" t="str">
        <f aca="false">IF(A676="","",INDEX(הגדרות!$H$16:$H$27,MONTH(A676)))</f>
        <v/>
      </c>
    </row>
    <row r="677" customFormat="false" ht="15" hidden="false" customHeight="false" outlineLevel="0" collapsed="false">
      <c r="A677" s="55"/>
      <c r="B677" s="56"/>
      <c r="C677" s="57" t="str">
        <f aca="false">IF(B677="","",IFERROR(INDEX(הגדרות!$A$8:$A$53,MATCH(B677,הגדרות!$B$8:$B$53,0)),"⚠ לא בהגדרות"))</f>
        <v/>
      </c>
      <c r="D677" s="56"/>
      <c r="E677" s="58"/>
      <c r="F677" s="57" t="str">
        <f aca="false">IF(A677="","",INDEX(הגדרות!$H$16:$H$27,MONTH(A677)))</f>
        <v/>
      </c>
    </row>
    <row r="678" customFormat="false" ht="15" hidden="false" customHeight="false" outlineLevel="0" collapsed="false">
      <c r="A678" s="50"/>
      <c r="B678" s="51"/>
      <c r="C678" s="52" t="str">
        <f aca="false">IF(B678="","",IFERROR(INDEX(הגדרות!$A$8:$A$53,MATCH(B678,הגדרות!$B$8:$B$53,0)),"⚠ לא בהגדרות"))</f>
        <v/>
      </c>
      <c r="D678" s="51"/>
      <c r="E678" s="53"/>
      <c r="F678" s="52" t="str">
        <f aca="false">IF(A678="","",INDEX(הגדרות!$H$16:$H$27,MONTH(A678)))</f>
        <v/>
      </c>
    </row>
    <row r="679" customFormat="false" ht="15" hidden="false" customHeight="false" outlineLevel="0" collapsed="false">
      <c r="A679" s="55"/>
      <c r="B679" s="56"/>
      <c r="C679" s="57" t="str">
        <f aca="false">IF(B679="","",IFERROR(INDEX(הגדרות!$A$8:$A$53,MATCH(B679,הגדרות!$B$8:$B$53,0)),"⚠ לא בהגדרות"))</f>
        <v/>
      </c>
      <c r="D679" s="56"/>
      <c r="E679" s="58"/>
      <c r="F679" s="57" t="str">
        <f aca="false">IF(A679="","",INDEX(הגדרות!$H$16:$H$27,MONTH(A679)))</f>
        <v/>
      </c>
    </row>
    <row r="680" customFormat="false" ht="15" hidden="false" customHeight="false" outlineLevel="0" collapsed="false">
      <c r="A680" s="50"/>
      <c r="B680" s="51"/>
      <c r="C680" s="52" t="str">
        <f aca="false">IF(B680="","",IFERROR(INDEX(הגדרות!$A$8:$A$53,MATCH(B680,הגדרות!$B$8:$B$53,0)),"⚠ לא בהגדרות"))</f>
        <v/>
      </c>
      <c r="D680" s="51"/>
      <c r="E680" s="53"/>
      <c r="F680" s="52" t="str">
        <f aca="false">IF(A680="","",INDEX(הגדרות!$H$16:$H$27,MONTH(A680)))</f>
        <v/>
      </c>
    </row>
    <row r="681" customFormat="false" ht="15" hidden="false" customHeight="false" outlineLevel="0" collapsed="false">
      <c r="A681" s="55"/>
      <c r="B681" s="56"/>
      <c r="C681" s="57" t="str">
        <f aca="false">IF(B681="","",IFERROR(INDEX(הגדרות!$A$8:$A$53,MATCH(B681,הגדרות!$B$8:$B$53,0)),"⚠ לא בהגדרות"))</f>
        <v/>
      </c>
      <c r="D681" s="56"/>
      <c r="E681" s="58"/>
      <c r="F681" s="57" t="str">
        <f aca="false">IF(A681="","",INDEX(הגדרות!$H$16:$H$27,MONTH(A681)))</f>
        <v/>
      </c>
    </row>
    <row r="682" customFormat="false" ht="15" hidden="false" customHeight="false" outlineLevel="0" collapsed="false">
      <c r="A682" s="50"/>
      <c r="B682" s="51"/>
      <c r="C682" s="52" t="str">
        <f aca="false">IF(B682="","",IFERROR(INDEX(הגדרות!$A$8:$A$53,MATCH(B682,הגדרות!$B$8:$B$53,0)),"⚠ לא בהגדרות"))</f>
        <v/>
      </c>
      <c r="D682" s="51"/>
      <c r="E682" s="53"/>
      <c r="F682" s="52" t="str">
        <f aca="false">IF(A682="","",INDEX(הגדרות!$H$16:$H$27,MONTH(A682)))</f>
        <v/>
      </c>
    </row>
    <row r="683" customFormat="false" ht="15" hidden="false" customHeight="false" outlineLevel="0" collapsed="false">
      <c r="A683" s="55"/>
      <c r="B683" s="56"/>
      <c r="C683" s="57" t="str">
        <f aca="false">IF(B683="","",IFERROR(INDEX(הגדרות!$A$8:$A$53,MATCH(B683,הגדרות!$B$8:$B$53,0)),"⚠ לא בהגדרות"))</f>
        <v/>
      </c>
      <c r="D683" s="56"/>
      <c r="E683" s="58"/>
      <c r="F683" s="57" t="str">
        <f aca="false">IF(A683="","",INDEX(הגדרות!$H$16:$H$27,MONTH(A683)))</f>
        <v/>
      </c>
    </row>
    <row r="684" customFormat="false" ht="15" hidden="false" customHeight="false" outlineLevel="0" collapsed="false">
      <c r="A684" s="50"/>
      <c r="B684" s="51"/>
      <c r="C684" s="52" t="str">
        <f aca="false">IF(B684="","",IFERROR(INDEX(הגדרות!$A$8:$A$53,MATCH(B684,הגדרות!$B$8:$B$53,0)),"⚠ לא בהגדרות"))</f>
        <v/>
      </c>
      <c r="D684" s="51"/>
      <c r="E684" s="53"/>
      <c r="F684" s="52" t="str">
        <f aca="false">IF(A684="","",INDEX(הגדרות!$H$16:$H$27,MONTH(A684)))</f>
        <v/>
      </c>
    </row>
    <row r="685" customFormat="false" ht="15" hidden="false" customHeight="false" outlineLevel="0" collapsed="false">
      <c r="A685" s="55"/>
      <c r="B685" s="56"/>
      <c r="C685" s="57" t="str">
        <f aca="false">IF(B685="","",IFERROR(INDEX(הגדרות!$A$8:$A$53,MATCH(B685,הגדרות!$B$8:$B$53,0)),"⚠ לא בהגדרות"))</f>
        <v/>
      </c>
      <c r="D685" s="56"/>
      <c r="E685" s="58"/>
      <c r="F685" s="57" t="str">
        <f aca="false">IF(A685="","",INDEX(הגדרות!$H$16:$H$27,MONTH(A685)))</f>
        <v/>
      </c>
    </row>
    <row r="686" customFormat="false" ht="15" hidden="false" customHeight="false" outlineLevel="0" collapsed="false">
      <c r="A686" s="50"/>
      <c r="B686" s="51"/>
      <c r="C686" s="52" t="str">
        <f aca="false">IF(B686="","",IFERROR(INDEX(הגדרות!$A$8:$A$53,MATCH(B686,הגדרות!$B$8:$B$53,0)),"⚠ לא בהגדרות"))</f>
        <v/>
      </c>
      <c r="D686" s="51"/>
      <c r="E686" s="53"/>
      <c r="F686" s="52" t="str">
        <f aca="false">IF(A686="","",INDEX(הגדרות!$H$16:$H$27,MONTH(A686)))</f>
        <v/>
      </c>
    </row>
    <row r="687" customFormat="false" ht="15" hidden="false" customHeight="false" outlineLevel="0" collapsed="false">
      <c r="A687" s="55"/>
      <c r="B687" s="56"/>
      <c r="C687" s="57" t="str">
        <f aca="false">IF(B687="","",IFERROR(INDEX(הגדרות!$A$8:$A$53,MATCH(B687,הגדרות!$B$8:$B$53,0)),"⚠ לא בהגדרות"))</f>
        <v/>
      </c>
      <c r="D687" s="56"/>
      <c r="E687" s="58"/>
      <c r="F687" s="57" t="str">
        <f aca="false">IF(A687="","",INDEX(הגדרות!$H$16:$H$27,MONTH(A687)))</f>
        <v/>
      </c>
    </row>
    <row r="688" customFormat="false" ht="15" hidden="false" customHeight="false" outlineLevel="0" collapsed="false">
      <c r="A688" s="50"/>
      <c r="B688" s="51"/>
      <c r="C688" s="52" t="str">
        <f aca="false">IF(B688="","",IFERROR(INDEX(הגדרות!$A$8:$A$53,MATCH(B688,הגדרות!$B$8:$B$53,0)),"⚠ לא בהגדרות"))</f>
        <v/>
      </c>
      <c r="D688" s="51"/>
      <c r="E688" s="53"/>
      <c r="F688" s="52" t="str">
        <f aca="false">IF(A688="","",INDEX(הגדרות!$H$16:$H$27,MONTH(A688)))</f>
        <v/>
      </c>
    </row>
    <row r="689" customFormat="false" ht="15" hidden="false" customHeight="false" outlineLevel="0" collapsed="false">
      <c r="A689" s="55"/>
      <c r="B689" s="56"/>
      <c r="C689" s="57" t="str">
        <f aca="false">IF(B689="","",IFERROR(INDEX(הגדרות!$A$8:$A$53,MATCH(B689,הגדרות!$B$8:$B$53,0)),"⚠ לא בהגדרות"))</f>
        <v/>
      </c>
      <c r="D689" s="56"/>
      <c r="E689" s="58"/>
      <c r="F689" s="57" t="str">
        <f aca="false">IF(A689="","",INDEX(הגדרות!$H$16:$H$27,MONTH(A689)))</f>
        <v/>
      </c>
    </row>
    <row r="690" customFormat="false" ht="15" hidden="false" customHeight="false" outlineLevel="0" collapsed="false">
      <c r="A690" s="50"/>
      <c r="B690" s="51"/>
      <c r="C690" s="52" t="str">
        <f aca="false">IF(B690="","",IFERROR(INDEX(הגדרות!$A$8:$A$53,MATCH(B690,הגדרות!$B$8:$B$53,0)),"⚠ לא בהגדרות"))</f>
        <v/>
      </c>
      <c r="D690" s="51"/>
      <c r="E690" s="53"/>
      <c r="F690" s="52" t="str">
        <f aca="false">IF(A690="","",INDEX(הגדרות!$H$16:$H$27,MONTH(A690)))</f>
        <v/>
      </c>
    </row>
    <row r="691" customFormat="false" ht="15" hidden="false" customHeight="false" outlineLevel="0" collapsed="false">
      <c r="A691" s="55"/>
      <c r="B691" s="56"/>
      <c r="C691" s="57" t="str">
        <f aca="false">IF(B691="","",IFERROR(INDEX(הגדרות!$A$8:$A$53,MATCH(B691,הגדרות!$B$8:$B$53,0)),"⚠ לא בהגדרות"))</f>
        <v/>
      </c>
      <c r="D691" s="56"/>
      <c r="E691" s="58"/>
      <c r="F691" s="57" t="str">
        <f aca="false">IF(A691="","",INDEX(הגדרות!$H$16:$H$27,MONTH(A691)))</f>
        <v/>
      </c>
    </row>
    <row r="692" customFormat="false" ht="15" hidden="false" customHeight="false" outlineLevel="0" collapsed="false">
      <c r="A692" s="50"/>
      <c r="B692" s="51"/>
      <c r="C692" s="52" t="str">
        <f aca="false">IF(B692="","",IFERROR(INDEX(הגדרות!$A$8:$A$53,MATCH(B692,הגדרות!$B$8:$B$53,0)),"⚠ לא בהגדרות"))</f>
        <v/>
      </c>
      <c r="D692" s="51"/>
      <c r="E692" s="53"/>
      <c r="F692" s="52" t="str">
        <f aca="false">IF(A692="","",INDEX(הגדרות!$H$16:$H$27,MONTH(A692)))</f>
        <v/>
      </c>
    </row>
    <row r="693" customFormat="false" ht="15" hidden="false" customHeight="false" outlineLevel="0" collapsed="false">
      <c r="A693" s="55"/>
      <c r="B693" s="56"/>
      <c r="C693" s="57" t="str">
        <f aca="false">IF(B693="","",IFERROR(INDEX(הגדרות!$A$8:$A$53,MATCH(B693,הגדרות!$B$8:$B$53,0)),"⚠ לא בהגדרות"))</f>
        <v/>
      </c>
      <c r="D693" s="56"/>
      <c r="E693" s="58"/>
      <c r="F693" s="57" t="str">
        <f aca="false">IF(A693="","",INDEX(הגדרות!$H$16:$H$27,MONTH(A693)))</f>
        <v/>
      </c>
    </row>
    <row r="694" customFormat="false" ht="15" hidden="false" customHeight="false" outlineLevel="0" collapsed="false">
      <c r="A694" s="50"/>
      <c r="B694" s="51"/>
      <c r="C694" s="52" t="str">
        <f aca="false">IF(B694="","",IFERROR(INDEX(הגדרות!$A$8:$A$53,MATCH(B694,הגדרות!$B$8:$B$53,0)),"⚠ לא בהגדרות"))</f>
        <v/>
      </c>
      <c r="D694" s="51"/>
      <c r="E694" s="53"/>
      <c r="F694" s="52" t="str">
        <f aca="false">IF(A694="","",INDEX(הגדרות!$H$16:$H$27,MONTH(A694)))</f>
        <v/>
      </c>
    </row>
    <row r="695" customFormat="false" ht="15" hidden="false" customHeight="false" outlineLevel="0" collapsed="false">
      <c r="A695" s="55"/>
      <c r="B695" s="56"/>
      <c r="C695" s="57" t="str">
        <f aca="false">IF(B695="","",IFERROR(INDEX(הגדרות!$A$8:$A$53,MATCH(B695,הגדרות!$B$8:$B$53,0)),"⚠ לא בהגדרות"))</f>
        <v/>
      </c>
      <c r="D695" s="56"/>
      <c r="E695" s="58"/>
      <c r="F695" s="57" t="str">
        <f aca="false">IF(A695="","",INDEX(הגדרות!$H$16:$H$27,MONTH(A695)))</f>
        <v/>
      </c>
    </row>
    <row r="696" customFormat="false" ht="15" hidden="false" customHeight="false" outlineLevel="0" collapsed="false">
      <c r="A696" s="50"/>
      <c r="B696" s="51"/>
      <c r="C696" s="52" t="str">
        <f aca="false">IF(B696="","",IFERROR(INDEX(הגדרות!$A$8:$A$53,MATCH(B696,הגדרות!$B$8:$B$53,0)),"⚠ לא בהגדרות"))</f>
        <v/>
      </c>
      <c r="D696" s="51"/>
      <c r="E696" s="53"/>
      <c r="F696" s="52" t="str">
        <f aca="false">IF(A696="","",INDEX(הגדרות!$H$16:$H$27,MONTH(A696)))</f>
        <v/>
      </c>
    </row>
    <row r="697" customFormat="false" ht="15" hidden="false" customHeight="false" outlineLevel="0" collapsed="false">
      <c r="A697" s="55"/>
      <c r="B697" s="56"/>
      <c r="C697" s="57" t="str">
        <f aca="false">IF(B697="","",IFERROR(INDEX(הגדרות!$A$8:$A$53,MATCH(B697,הגדרות!$B$8:$B$53,0)),"⚠ לא בהגדרות"))</f>
        <v/>
      </c>
      <c r="D697" s="56"/>
      <c r="E697" s="58"/>
      <c r="F697" s="57" t="str">
        <f aca="false">IF(A697="","",INDEX(הגדרות!$H$16:$H$27,MONTH(A697)))</f>
        <v/>
      </c>
    </row>
    <row r="698" customFormat="false" ht="15" hidden="false" customHeight="false" outlineLevel="0" collapsed="false">
      <c r="A698" s="50"/>
      <c r="B698" s="51"/>
      <c r="C698" s="52" t="str">
        <f aca="false">IF(B698="","",IFERROR(INDEX(הגדרות!$A$8:$A$53,MATCH(B698,הגדרות!$B$8:$B$53,0)),"⚠ לא בהגדרות"))</f>
        <v/>
      </c>
      <c r="D698" s="51"/>
      <c r="E698" s="53"/>
      <c r="F698" s="52" t="str">
        <f aca="false">IF(A698="","",INDEX(הגדרות!$H$16:$H$27,MONTH(A698)))</f>
        <v/>
      </c>
    </row>
    <row r="699" customFormat="false" ht="15" hidden="false" customHeight="false" outlineLevel="0" collapsed="false">
      <c r="A699" s="55"/>
      <c r="B699" s="56"/>
      <c r="C699" s="57" t="str">
        <f aca="false">IF(B699="","",IFERROR(INDEX(הגדרות!$A$8:$A$53,MATCH(B699,הגדרות!$B$8:$B$53,0)),"⚠ לא בהגדרות"))</f>
        <v/>
      </c>
      <c r="D699" s="56"/>
      <c r="E699" s="58"/>
      <c r="F699" s="57" t="str">
        <f aca="false">IF(A699="","",INDEX(הגדרות!$H$16:$H$27,MONTH(A699)))</f>
        <v/>
      </c>
    </row>
    <row r="700" customFormat="false" ht="15" hidden="false" customHeight="false" outlineLevel="0" collapsed="false">
      <c r="A700" s="50"/>
      <c r="B700" s="51"/>
      <c r="C700" s="52" t="str">
        <f aca="false">IF(B700="","",IFERROR(INDEX(הגדרות!$A$8:$A$53,MATCH(B700,הגדרות!$B$8:$B$53,0)),"⚠ לא בהגדרות"))</f>
        <v/>
      </c>
      <c r="D700" s="51"/>
      <c r="E700" s="53"/>
      <c r="F700" s="52" t="str">
        <f aca="false">IF(A700="","",INDEX(הגדרות!$H$16:$H$27,MONTH(A700)))</f>
        <v/>
      </c>
    </row>
    <row r="701" customFormat="false" ht="15" hidden="false" customHeight="false" outlineLevel="0" collapsed="false">
      <c r="A701" s="55"/>
      <c r="B701" s="56"/>
      <c r="C701" s="57" t="str">
        <f aca="false">IF(B701="","",IFERROR(INDEX(הגדרות!$A$8:$A$53,MATCH(B701,הגדרות!$B$8:$B$53,0)),"⚠ לא בהגדרות"))</f>
        <v/>
      </c>
      <c r="D701" s="56"/>
      <c r="E701" s="58"/>
      <c r="F701" s="57" t="str">
        <f aca="false">IF(A701="","",INDEX(הגדרות!$H$16:$H$27,MONTH(A701)))</f>
        <v/>
      </c>
    </row>
    <row r="702" customFormat="false" ht="15" hidden="false" customHeight="false" outlineLevel="0" collapsed="false">
      <c r="A702" s="50"/>
      <c r="B702" s="51"/>
      <c r="C702" s="52" t="str">
        <f aca="false">IF(B702="","",IFERROR(INDEX(הגדרות!$A$8:$A$53,MATCH(B702,הגדרות!$B$8:$B$53,0)),"⚠ לא בהגדרות"))</f>
        <v/>
      </c>
      <c r="D702" s="51"/>
      <c r="E702" s="53"/>
      <c r="F702" s="52" t="str">
        <f aca="false">IF(A702="","",INDEX(הגדרות!$H$16:$H$27,MONTH(A702)))</f>
        <v/>
      </c>
    </row>
    <row r="703" customFormat="false" ht="15" hidden="false" customHeight="false" outlineLevel="0" collapsed="false">
      <c r="A703" s="55"/>
      <c r="B703" s="56"/>
      <c r="C703" s="57" t="str">
        <f aca="false">IF(B703="","",IFERROR(INDEX(הגדרות!$A$8:$A$53,MATCH(B703,הגדרות!$B$8:$B$53,0)),"⚠ לא בהגדרות"))</f>
        <v/>
      </c>
      <c r="D703" s="56"/>
      <c r="E703" s="58"/>
      <c r="F703" s="57" t="str">
        <f aca="false">IF(A703="","",INDEX(הגדרות!$H$16:$H$27,MONTH(A703)))</f>
        <v/>
      </c>
    </row>
    <row r="704" customFormat="false" ht="15" hidden="false" customHeight="false" outlineLevel="0" collapsed="false">
      <c r="A704" s="50"/>
      <c r="B704" s="51"/>
      <c r="C704" s="52" t="str">
        <f aca="false">IF(B704="","",IFERROR(INDEX(הגדרות!$A$8:$A$53,MATCH(B704,הגדרות!$B$8:$B$53,0)),"⚠ לא בהגדרות"))</f>
        <v/>
      </c>
      <c r="D704" s="51"/>
      <c r="E704" s="53"/>
      <c r="F704" s="52" t="str">
        <f aca="false">IF(A704="","",INDEX(הגדרות!$H$16:$H$27,MONTH(A704)))</f>
        <v/>
      </c>
    </row>
    <row r="705" customFormat="false" ht="15" hidden="false" customHeight="false" outlineLevel="0" collapsed="false">
      <c r="A705" s="55"/>
      <c r="B705" s="56"/>
      <c r="C705" s="57" t="str">
        <f aca="false">IF(B705="","",IFERROR(INDEX(הגדרות!$A$8:$A$53,MATCH(B705,הגדרות!$B$8:$B$53,0)),"⚠ לא בהגדרות"))</f>
        <v/>
      </c>
      <c r="D705" s="56"/>
      <c r="E705" s="58"/>
      <c r="F705" s="57" t="str">
        <f aca="false">IF(A705="","",INDEX(הגדרות!$H$16:$H$27,MONTH(A705)))</f>
        <v/>
      </c>
    </row>
    <row r="706" customFormat="false" ht="15" hidden="false" customHeight="false" outlineLevel="0" collapsed="false">
      <c r="A706" s="50"/>
      <c r="B706" s="51"/>
      <c r="C706" s="52" t="str">
        <f aca="false">IF(B706="","",IFERROR(INDEX(הגדרות!$A$8:$A$53,MATCH(B706,הגדרות!$B$8:$B$53,0)),"⚠ לא בהגדרות"))</f>
        <v/>
      </c>
      <c r="D706" s="51"/>
      <c r="E706" s="53"/>
      <c r="F706" s="52" t="str">
        <f aca="false">IF(A706="","",INDEX(הגדרות!$H$16:$H$27,MONTH(A706)))</f>
        <v/>
      </c>
    </row>
    <row r="707" customFormat="false" ht="15" hidden="false" customHeight="false" outlineLevel="0" collapsed="false">
      <c r="A707" s="55"/>
      <c r="B707" s="56"/>
      <c r="C707" s="57" t="str">
        <f aca="false">IF(B707="","",IFERROR(INDEX(הגדרות!$A$8:$A$53,MATCH(B707,הגדרות!$B$8:$B$53,0)),"⚠ לא בהגדרות"))</f>
        <v/>
      </c>
      <c r="D707" s="56"/>
      <c r="E707" s="58"/>
      <c r="F707" s="57" t="str">
        <f aca="false">IF(A707="","",INDEX(הגדרות!$H$16:$H$27,MONTH(A707)))</f>
        <v/>
      </c>
    </row>
    <row r="708" customFormat="false" ht="15" hidden="false" customHeight="false" outlineLevel="0" collapsed="false">
      <c r="A708" s="50"/>
      <c r="B708" s="51"/>
      <c r="C708" s="52" t="str">
        <f aca="false">IF(B708="","",IFERROR(INDEX(הגדרות!$A$8:$A$53,MATCH(B708,הגדרות!$B$8:$B$53,0)),"⚠ לא בהגדרות"))</f>
        <v/>
      </c>
      <c r="D708" s="51"/>
      <c r="E708" s="53"/>
      <c r="F708" s="52" t="str">
        <f aca="false">IF(A708="","",INDEX(הגדרות!$H$16:$H$27,MONTH(A708)))</f>
        <v/>
      </c>
    </row>
    <row r="709" customFormat="false" ht="15" hidden="false" customHeight="false" outlineLevel="0" collapsed="false">
      <c r="A709" s="55"/>
      <c r="B709" s="56"/>
      <c r="C709" s="57" t="str">
        <f aca="false">IF(B709="","",IFERROR(INDEX(הגדרות!$A$8:$A$53,MATCH(B709,הגדרות!$B$8:$B$53,0)),"⚠ לא בהגדרות"))</f>
        <v/>
      </c>
      <c r="D709" s="56"/>
      <c r="E709" s="58"/>
      <c r="F709" s="57" t="str">
        <f aca="false">IF(A709="","",INDEX(הגדרות!$H$16:$H$27,MONTH(A709)))</f>
        <v/>
      </c>
    </row>
    <row r="710" customFormat="false" ht="15" hidden="false" customHeight="false" outlineLevel="0" collapsed="false">
      <c r="A710" s="50"/>
      <c r="B710" s="51"/>
      <c r="C710" s="52" t="str">
        <f aca="false">IF(B710="","",IFERROR(INDEX(הגדרות!$A$8:$A$53,MATCH(B710,הגדרות!$B$8:$B$53,0)),"⚠ לא בהגדרות"))</f>
        <v/>
      </c>
      <c r="D710" s="51"/>
      <c r="E710" s="53"/>
      <c r="F710" s="52" t="str">
        <f aca="false">IF(A710="","",INDEX(הגדרות!$H$16:$H$27,MONTH(A710)))</f>
        <v/>
      </c>
    </row>
    <row r="711" customFormat="false" ht="15" hidden="false" customHeight="false" outlineLevel="0" collapsed="false">
      <c r="A711" s="55"/>
      <c r="B711" s="56"/>
      <c r="C711" s="57" t="str">
        <f aca="false">IF(B711="","",IFERROR(INDEX(הגדרות!$A$8:$A$53,MATCH(B711,הגדרות!$B$8:$B$53,0)),"⚠ לא בהגדרות"))</f>
        <v/>
      </c>
      <c r="D711" s="56"/>
      <c r="E711" s="58"/>
      <c r="F711" s="57" t="str">
        <f aca="false">IF(A711="","",INDEX(הגדרות!$H$16:$H$27,MONTH(A711)))</f>
        <v/>
      </c>
    </row>
    <row r="712" customFormat="false" ht="15" hidden="false" customHeight="false" outlineLevel="0" collapsed="false">
      <c r="A712" s="50"/>
      <c r="B712" s="51"/>
      <c r="C712" s="52" t="str">
        <f aca="false">IF(B712="","",IFERROR(INDEX(הגדרות!$A$8:$A$53,MATCH(B712,הגדרות!$B$8:$B$53,0)),"⚠ לא בהגדרות"))</f>
        <v/>
      </c>
      <c r="D712" s="51"/>
      <c r="E712" s="53"/>
      <c r="F712" s="52" t="str">
        <f aca="false">IF(A712="","",INDEX(הגדרות!$H$16:$H$27,MONTH(A712)))</f>
        <v/>
      </c>
    </row>
    <row r="713" customFormat="false" ht="15" hidden="false" customHeight="false" outlineLevel="0" collapsed="false">
      <c r="A713" s="55"/>
      <c r="B713" s="56"/>
      <c r="C713" s="57" t="str">
        <f aca="false">IF(B713="","",IFERROR(INDEX(הגדרות!$A$8:$A$53,MATCH(B713,הגדרות!$B$8:$B$53,0)),"⚠ לא בהגדרות"))</f>
        <v/>
      </c>
      <c r="D713" s="56"/>
      <c r="E713" s="58"/>
      <c r="F713" s="57" t="str">
        <f aca="false">IF(A713="","",INDEX(הגדרות!$H$16:$H$27,MONTH(A713)))</f>
        <v/>
      </c>
    </row>
    <row r="714" customFormat="false" ht="15" hidden="false" customHeight="false" outlineLevel="0" collapsed="false">
      <c r="A714" s="50"/>
      <c r="B714" s="51"/>
      <c r="C714" s="52" t="str">
        <f aca="false">IF(B714="","",IFERROR(INDEX(הגדרות!$A$8:$A$53,MATCH(B714,הגדרות!$B$8:$B$53,0)),"⚠ לא בהגדרות"))</f>
        <v/>
      </c>
      <c r="D714" s="51"/>
      <c r="E714" s="53"/>
      <c r="F714" s="52" t="str">
        <f aca="false">IF(A714="","",INDEX(הגדרות!$H$16:$H$27,MONTH(A714)))</f>
        <v/>
      </c>
    </row>
    <row r="715" customFormat="false" ht="15" hidden="false" customHeight="false" outlineLevel="0" collapsed="false">
      <c r="A715" s="55"/>
      <c r="B715" s="56"/>
      <c r="C715" s="57" t="str">
        <f aca="false">IF(B715="","",IFERROR(INDEX(הגדרות!$A$8:$A$53,MATCH(B715,הגדרות!$B$8:$B$53,0)),"⚠ לא בהגדרות"))</f>
        <v/>
      </c>
      <c r="D715" s="56"/>
      <c r="E715" s="58"/>
      <c r="F715" s="57" t="str">
        <f aca="false">IF(A715="","",INDEX(הגדרות!$H$16:$H$27,MONTH(A715)))</f>
        <v/>
      </c>
    </row>
    <row r="716" customFormat="false" ht="15" hidden="false" customHeight="false" outlineLevel="0" collapsed="false">
      <c r="A716" s="50"/>
      <c r="B716" s="51"/>
      <c r="C716" s="52" t="str">
        <f aca="false">IF(B716="","",IFERROR(INDEX(הגדרות!$A$8:$A$53,MATCH(B716,הגדרות!$B$8:$B$53,0)),"⚠ לא בהגדרות"))</f>
        <v/>
      </c>
      <c r="D716" s="51"/>
      <c r="E716" s="53"/>
      <c r="F716" s="52" t="str">
        <f aca="false">IF(A716="","",INDEX(הגדרות!$H$16:$H$27,MONTH(A716)))</f>
        <v/>
      </c>
    </row>
    <row r="717" customFormat="false" ht="15" hidden="false" customHeight="false" outlineLevel="0" collapsed="false">
      <c r="A717" s="55"/>
      <c r="B717" s="56"/>
      <c r="C717" s="57" t="str">
        <f aca="false">IF(B717="","",IFERROR(INDEX(הגדרות!$A$8:$A$53,MATCH(B717,הגדרות!$B$8:$B$53,0)),"⚠ לא בהגדרות"))</f>
        <v/>
      </c>
      <c r="D717" s="56"/>
      <c r="E717" s="58"/>
      <c r="F717" s="57" t="str">
        <f aca="false">IF(A717="","",INDEX(הגדרות!$H$16:$H$27,MONTH(A717)))</f>
        <v/>
      </c>
    </row>
    <row r="718" customFormat="false" ht="15" hidden="false" customHeight="false" outlineLevel="0" collapsed="false">
      <c r="A718" s="50"/>
      <c r="B718" s="51"/>
      <c r="C718" s="52" t="str">
        <f aca="false">IF(B718="","",IFERROR(INDEX(הגדרות!$A$8:$A$53,MATCH(B718,הגדרות!$B$8:$B$53,0)),"⚠ לא בהגדרות"))</f>
        <v/>
      </c>
      <c r="D718" s="51"/>
      <c r="E718" s="53"/>
      <c r="F718" s="52" t="str">
        <f aca="false">IF(A718="","",INDEX(הגדרות!$H$16:$H$27,MONTH(A718)))</f>
        <v/>
      </c>
    </row>
    <row r="719" customFormat="false" ht="15" hidden="false" customHeight="false" outlineLevel="0" collapsed="false">
      <c r="A719" s="55"/>
      <c r="B719" s="56"/>
      <c r="C719" s="57" t="str">
        <f aca="false">IF(B719="","",IFERROR(INDEX(הגדרות!$A$8:$A$53,MATCH(B719,הגדרות!$B$8:$B$53,0)),"⚠ לא בהגדרות"))</f>
        <v/>
      </c>
      <c r="D719" s="56"/>
      <c r="E719" s="58"/>
      <c r="F719" s="57" t="str">
        <f aca="false">IF(A719="","",INDEX(הגדרות!$H$16:$H$27,MONTH(A719)))</f>
        <v/>
      </c>
    </row>
    <row r="720" customFormat="false" ht="15" hidden="false" customHeight="false" outlineLevel="0" collapsed="false">
      <c r="A720" s="50"/>
      <c r="B720" s="51"/>
      <c r="C720" s="52" t="str">
        <f aca="false">IF(B720="","",IFERROR(INDEX(הגדרות!$A$8:$A$53,MATCH(B720,הגדרות!$B$8:$B$53,0)),"⚠ לא בהגדרות"))</f>
        <v/>
      </c>
      <c r="D720" s="51"/>
      <c r="E720" s="53"/>
      <c r="F720" s="52" t="str">
        <f aca="false">IF(A720="","",INDEX(הגדרות!$H$16:$H$27,MONTH(A720)))</f>
        <v/>
      </c>
    </row>
    <row r="721" customFormat="false" ht="15" hidden="false" customHeight="false" outlineLevel="0" collapsed="false">
      <c r="A721" s="55"/>
      <c r="B721" s="56"/>
      <c r="C721" s="57" t="str">
        <f aca="false">IF(B721="","",IFERROR(INDEX(הגדרות!$A$8:$A$53,MATCH(B721,הגדרות!$B$8:$B$53,0)),"⚠ לא בהגדרות"))</f>
        <v/>
      </c>
      <c r="D721" s="56"/>
      <c r="E721" s="58"/>
      <c r="F721" s="57" t="str">
        <f aca="false">IF(A721="","",INDEX(הגדרות!$H$16:$H$27,MONTH(A721)))</f>
        <v/>
      </c>
    </row>
    <row r="722" customFormat="false" ht="15" hidden="false" customHeight="false" outlineLevel="0" collapsed="false">
      <c r="A722" s="50"/>
      <c r="B722" s="51"/>
      <c r="C722" s="52" t="str">
        <f aca="false">IF(B722="","",IFERROR(INDEX(הגדרות!$A$8:$A$53,MATCH(B722,הגדרות!$B$8:$B$53,0)),"⚠ לא בהגדרות"))</f>
        <v/>
      </c>
      <c r="D722" s="51"/>
      <c r="E722" s="53"/>
      <c r="F722" s="52" t="str">
        <f aca="false">IF(A722="","",INDEX(הגדרות!$H$16:$H$27,MONTH(A722)))</f>
        <v/>
      </c>
    </row>
    <row r="723" customFormat="false" ht="15" hidden="false" customHeight="false" outlineLevel="0" collapsed="false">
      <c r="A723" s="55"/>
      <c r="B723" s="56"/>
      <c r="C723" s="57" t="str">
        <f aca="false">IF(B723="","",IFERROR(INDEX(הגדרות!$A$8:$A$53,MATCH(B723,הגדרות!$B$8:$B$53,0)),"⚠ לא בהגדרות"))</f>
        <v/>
      </c>
      <c r="D723" s="56"/>
      <c r="E723" s="58"/>
      <c r="F723" s="57" t="str">
        <f aca="false">IF(A723="","",INDEX(הגדרות!$H$16:$H$27,MONTH(A723)))</f>
        <v/>
      </c>
    </row>
    <row r="724" customFormat="false" ht="15" hidden="false" customHeight="false" outlineLevel="0" collapsed="false">
      <c r="A724" s="50"/>
      <c r="B724" s="51"/>
      <c r="C724" s="52" t="str">
        <f aca="false">IF(B724="","",IFERROR(INDEX(הגדרות!$A$8:$A$53,MATCH(B724,הגדרות!$B$8:$B$53,0)),"⚠ לא בהגדרות"))</f>
        <v/>
      </c>
      <c r="D724" s="51"/>
      <c r="E724" s="53"/>
      <c r="F724" s="52" t="str">
        <f aca="false">IF(A724="","",INDEX(הגדרות!$H$16:$H$27,MONTH(A724)))</f>
        <v/>
      </c>
    </row>
    <row r="725" customFormat="false" ht="15" hidden="false" customHeight="false" outlineLevel="0" collapsed="false">
      <c r="A725" s="55"/>
      <c r="B725" s="56"/>
      <c r="C725" s="57" t="str">
        <f aca="false">IF(B725="","",IFERROR(INDEX(הגדרות!$A$8:$A$53,MATCH(B725,הגדרות!$B$8:$B$53,0)),"⚠ לא בהגדרות"))</f>
        <v/>
      </c>
      <c r="D725" s="56"/>
      <c r="E725" s="58"/>
      <c r="F725" s="57" t="str">
        <f aca="false">IF(A725="","",INDEX(הגדרות!$H$16:$H$27,MONTH(A725)))</f>
        <v/>
      </c>
    </row>
    <row r="726" customFormat="false" ht="15" hidden="false" customHeight="false" outlineLevel="0" collapsed="false">
      <c r="A726" s="50"/>
      <c r="B726" s="51"/>
      <c r="C726" s="52" t="str">
        <f aca="false">IF(B726="","",IFERROR(INDEX(הגדרות!$A$8:$A$53,MATCH(B726,הגדרות!$B$8:$B$53,0)),"⚠ לא בהגדרות"))</f>
        <v/>
      </c>
      <c r="D726" s="51"/>
      <c r="E726" s="53"/>
      <c r="F726" s="52" t="str">
        <f aca="false">IF(A726="","",INDEX(הגדרות!$H$16:$H$27,MONTH(A726)))</f>
        <v/>
      </c>
    </row>
    <row r="727" customFormat="false" ht="15" hidden="false" customHeight="false" outlineLevel="0" collapsed="false">
      <c r="A727" s="55"/>
      <c r="B727" s="56"/>
      <c r="C727" s="57" t="str">
        <f aca="false">IF(B727="","",IFERROR(INDEX(הגדרות!$A$8:$A$53,MATCH(B727,הגדרות!$B$8:$B$53,0)),"⚠ לא בהגדרות"))</f>
        <v/>
      </c>
      <c r="D727" s="56"/>
      <c r="E727" s="58"/>
      <c r="F727" s="57" t="str">
        <f aca="false">IF(A727="","",INDEX(הגדרות!$H$16:$H$27,MONTH(A727)))</f>
        <v/>
      </c>
    </row>
    <row r="728" customFormat="false" ht="15" hidden="false" customHeight="false" outlineLevel="0" collapsed="false">
      <c r="A728" s="50"/>
      <c r="B728" s="51"/>
      <c r="C728" s="52" t="str">
        <f aca="false">IF(B728="","",IFERROR(INDEX(הגדרות!$A$8:$A$53,MATCH(B728,הגדרות!$B$8:$B$53,0)),"⚠ לא בהגדרות"))</f>
        <v/>
      </c>
      <c r="D728" s="51"/>
      <c r="E728" s="53"/>
      <c r="F728" s="52" t="str">
        <f aca="false">IF(A728="","",INDEX(הגדרות!$H$16:$H$27,MONTH(A728)))</f>
        <v/>
      </c>
    </row>
    <row r="729" customFormat="false" ht="15" hidden="false" customHeight="false" outlineLevel="0" collapsed="false">
      <c r="A729" s="55"/>
      <c r="B729" s="56"/>
      <c r="C729" s="57" t="str">
        <f aca="false">IF(B729="","",IFERROR(INDEX(הגדרות!$A$8:$A$53,MATCH(B729,הגדרות!$B$8:$B$53,0)),"⚠ לא בהגדרות"))</f>
        <v/>
      </c>
      <c r="D729" s="56"/>
      <c r="E729" s="58"/>
      <c r="F729" s="57" t="str">
        <f aca="false">IF(A729="","",INDEX(הגדרות!$H$16:$H$27,MONTH(A729)))</f>
        <v/>
      </c>
    </row>
    <row r="730" customFormat="false" ht="15" hidden="false" customHeight="false" outlineLevel="0" collapsed="false">
      <c r="A730" s="50"/>
      <c r="B730" s="51"/>
      <c r="C730" s="52" t="str">
        <f aca="false">IF(B730="","",IFERROR(INDEX(הגדרות!$A$8:$A$53,MATCH(B730,הגדרות!$B$8:$B$53,0)),"⚠ לא בהגדרות"))</f>
        <v/>
      </c>
      <c r="D730" s="51"/>
      <c r="E730" s="53"/>
      <c r="F730" s="52" t="str">
        <f aca="false">IF(A730="","",INDEX(הגדרות!$H$16:$H$27,MONTH(A730)))</f>
        <v/>
      </c>
    </row>
    <row r="731" customFormat="false" ht="15" hidden="false" customHeight="false" outlineLevel="0" collapsed="false">
      <c r="A731" s="55"/>
      <c r="B731" s="56"/>
      <c r="C731" s="57" t="str">
        <f aca="false">IF(B731="","",IFERROR(INDEX(הגדרות!$A$8:$A$53,MATCH(B731,הגדרות!$B$8:$B$53,0)),"⚠ לא בהגדרות"))</f>
        <v/>
      </c>
      <c r="D731" s="56"/>
      <c r="E731" s="58"/>
      <c r="F731" s="57" t="str">
        <f aca="false">IF(A731="","",INDEX(הגדרות!$H$16:$H$27,MONTH(A731)))</f>
        <v/>
      </c>
    </row>
    <row r="732" customFormat="false" ht="15" hidden="false" customHeight="false" outlineLevel="0" collapsed="false">
      <c r="A732" s="50"/>
      <c r="B732" s="51"/>
      <c r="C732" s="52" t="str">
        <f aca="false">IF(B732="","",IFERROR(INDEX(הגדרות!$A$8:$A$53,MATCH(B732,הגדרות!$B$8:$B$53,0)),"⚠ לא בהגדרות"))</f>
        <v/>
      </c>
      <c r="D732" s="51"/>
      <c r="E732" s="53"/>
      <c r="F732" s="52" t="str">
        <f aca="false">IF(A732="","",INDEX(הגדרות!$H$16:$H$27,MONTH(A732)))</f>
        <v/>
      </c>
    </row>
    <row r="733" customFormat="false" ht="15" hidden="false" customHeight="false" outlineLevel="0" collapsed="false">
      <c r="A733" s="55"/>
      <c r="B733" s="56"/>
      <c r="C733" s="57" t="str">
        <f aca="false">IF(B733="","",IFERROR(INDEX(הגדרות!$A$8:$A$53,MATCH(B733,הגדרות!$B$8:$B$53,0)),"⚠ לא בהגדרות"))</f>
        <v/>
      </c>
      <c r="D733" s="56"/>
      <c r="E733" s="58"/>
      <c r="F733" s="57" t="str">
        <f aca="false">IF(A733="","",INDEX(הגדרות!$H$16:$H$27,MONTH(A733)))</f>
        <v/>
      </c>
    </row>
    <row r="734" customFormat="false" ht="15" hidden="false" customHeight="false" outlineLevel="0" collapsed="false">
      <c r="A734" s="50"/>
      <c r="B734" s="51"/>
      <c r="C734" s="52" t="str">
        <f aca="false">IF(B734="","",IFERROR(INDEX(הגדרות!$A$8:$A$53,MATCH(B734,הגדרות!$B$8:$B$53,0)),"⚠ לא בהגדרות"))</f>
        <v/>
      </c>
      <c r="D734" s="51"/>
      <c r="E734" s="53"/>
      <c r="F734" s="52" t="str">
        <f aca="false">IF(A734="","",INDEX(הגדרות!$H$16:$H$27,MONTH(A734)))</f>
        <v/>
      </c>
    </row>
    <row r="735" customFormat="false" ht="15" hidden="false" customHeight="false" outlineLevel="0" collapsed="false">
      <c r="A735" s="55"/>
      <c r="B735" s="56"/>
      <c r="C735" s="57" t="str">
        <f aca="false">IF(B735="","",IFERROR(INDEX(הגדרות!$A$8:$A$53,MATCH(B735,הגדרות!$B$8:$B$53,0)),"⚠ לא בהגדרות"))</f>
        <v/>
      </c>
      <c r="D735" s="56"/>
      <c r="E735" s="58"/>
      <c r="F735" s="57" t="str">
        <f aca="false">IF(A735="","",INDEX(הגדרות!$H$16:$H$27,MONTH(A735)))</f>
        <v/>
      </c>
    </row>
    <row r="736" customFormat="false" ht="15" hidden="false" customHeight="false" outlineLevel="0" collapsed="false">
      <c r="A736" s="50"/>
      <c r="B736" s="51"/>
      <c r="C736" s="52" t="str">
        <f aca="false">IF(B736="","",IFERROR(INDEX(הגדרות!$A$8:$A$53,MATCH(B736,הגדרות!$B$8:$B$53,0)),"⚠ לא בהגדרות"))</f>
        <v/>
      </c>
      <c r="D736" s="51"/>
      <c r="E736" s="53"/>
      <c r="F736" s="52" t="str">
        <f aca="false">IF(A736="","",INDEX(הגדרות!$H$16:$H$27,MONTH(A736)))</f>
        <v/>
      </c>
    </row>
    <row r="737" customFormat="false" ht="15" hidden="false" customHeight="false" outlineLevel="0" collapsed="false">
      <c r="A737" s="55"/>
      <c r="B737" s="56"/>
      <c r="C737" s="57" t="str">
        <f aca="false">IF(B737="","",IFERROR(INDEX(הגדרות!$A$8:$A$53,MATCH(B737,הגדרות!$B$8:$B$53,0)),"⚠ לא בהגדרות"))</f>
        <v/>
      </c>
      <c r="D737" s="56"/>
      <c r="E737" s="58"/>
      <c r="F737" s="57" t="str">
        <f aca="false">IF(A737="","",INDEX(הגדרות!$H$16:$H$27,MONTH(A737)))</f>
        <v/>
      </c>
    </row>
    <row r="738" customFormat="false" ht="15" hidden="false" customHeight="false" outlineLevel="0" collapsed="false">
      <c r="A738" s="50"/>
      <c r="B738" s="51"/>
      <c r="C738" s="52" t="str">
        <f aca="false">IF(B738="","",IFERROR(INDEX(הגדרות!$A$8:$A$53,MATCH(B738,הגדרות!$B$8:$B$53,0)),"⚠ לא בהגדרות"))</f>
        <v/>
      </c>
      <c r="D738" s="51"/>
      <c r="E738" s="53"/>
      <c r="F738" s="52" t="str">
        <f aca="false">IF(A738="","",INDEX(הגדרות!$H$16:$H$27,MONTH(A738)))</f>
        <v/>
      </c>
    </row>
    <row r="739" customFormat="false" ht="15" hidden="false" customHeight="false" outlineLevel="0" collapsed="false">
      <c r="A739" s="55"/>
      <c r="B739" s="56"/>
      <c r="C739" s="57" t="str">
        <f aca="false">IF(B739="","",IFERROR(INDEX(הגדרות!$A$8:$A$53,MATCH(B739,הגדרות!$B$8:$B$53,0)),"⚠ לא בהגדרות"))</f>
        <v/>
      </c>
      <c r="D739" s="56"/>
      <c r="E739" s="58"/>
      <c r="F739" s="57" t="str">
        <f aca="false">IF(A739="","",INDEX(הגדרות!$H$16:$H$27,MONTH(A739)))</f>
        <v/>
      </c>
    </row>
    <row r="740" customFormat="false" ht="15" hidden="false" customHeight="false" outlineLevel="0" collapsed="false">
      <c r="A740" s="50"/>
      <c r="B740" s="51"/>
      <c r="C740" s="52" t="str">
        <f aca="false">IF(B740="","",IFERROR(INDEX(הגדרות!$A$8:$A$53,MATCH(B740,הגדרות!$B$8:$B$53,0)),"⚠ לא בהגדרות"))</f>
        <v/>
      </c>
      <c r="D740" s="51"/>
      <c r="E740" s="53"/>
      <c r="F740" s="52" t="str">
        <f aca="false">IF(A740="","",INDEX(הגדרות!$H$16:$H$27,MONTH(A740)))</f>
        <v/>
      </c>
    </row>
    <row r="741" customFormat="false" ht="15" hidden="false" customHeight="false" outlineLevel="0" collapsed="false">
      <c r="A741" s="55"/>
      <c r="B741" s="56"/>
      <c r="C741" s="57" t="str">
        <f aca="false">IF(B741="","",IFERROR(INDEX(הגדרות!$A$8:$A$53,MATCH(B741,הגדרות!$B$8:$B$53,0)),"⚠ לא בהגדרות"))</f>
        <v/>
      </c>
      <c r="D741" s="56"/>
      <c r="E741" s="58"/>
      <c r="F741" s="57" t="str">
        <f aca="false">IF(A741="","",INDEX(הגדרות!$H$16:$H$27,MONTH(A741)))</f>
        <v/>
      </c>
    </row>
    <row r="742" customFormat="false" ht="15" hidden="false" customHeight="false" outlineLevel="0" collapsed="false">
      <c r="A742" s="50"/>
      <c r="B742" s="51"/>
      <c r="C742" s="52" t="str">
        <f aca="false">IF(B742="","",IFERROR(INDEX(הגדרות!$A$8:$A$53,MATCH(B742,הגדרות!$B$8:$B$53,0)),"⚠ לא בהגדרות"))</f>
        <v/>
      </c>
      <c r="D742" s="51"/>
      <c r="E742" s="53"/>
      <c r="F742" s="52" t="str">
        <f aca="false">IF(A742="","",INDEX(הגדרות!$H$16:$H$27,MONTH(A742)))</f>
        <v/>
      </c>
    </row>
    <row r="743" customFormat="false" ht="15" hidden="false" customHeight="false" outlineLevel="0" collapsed="false">
      <c r="A743" s="55"/>
      <c r="B743" s="56"/>
      <c r="C743" s="57" t="str">
        <f aca="false">IF(B743="","",IFERROR(INDEX(הגדרות!$A$8:$A$53,MATCH(B743,הגדרות!$B$8:$B$53,0)),"⚠ לא בהגדרות"))</f>
        <v/>
      </c>
      <c r="D743" s="56"/>
      <c r="E743" s="58"/>
      <c r="F743" s="57" t="str">
        <f aca="false">IF(A743="","",INDEX(הגדרות!$H$16:$H$27,MONTH(A743)))</f>
        <v/>
      </c>
    </row>
    <row r="744" customFormat="false" ht="15" hidden="false" customHeight="false" outlineLevel="0" collapsed="false">
      <c r="A744" s="50"/>
      <c r="B744" s="51"/>
      <c r="C744" s="52" t="str">
        <f aca="false">IF(B744="","",IFERROR(INDEX(הגדרות!$A$8:$A$53,MATCH(B744,הגדרות!$B$8:$B$53,0)),"⚠ לא בהגדרות"))</f>
        <v/>
      </c>
      <c r="D744" s="51"/>
      <c r="E744" s="53"/>
      <c r="F744" s="52" t="str">
        <f aca="false">IF(A744="","",INDEX(הגדרות!$H$16:$H$27,MONTH(A744)))</f>
        <v/>
      </c>
    </row>
    <row r="745" customFormat="false" ht="15" hidden="false" customHeight="false" outlineLevel="0" collapsed="false">
      <c r="A745" s="55"/>
      <c r="B745" s="56"/>
      <c r="C745" s="57" t="str">
        <f aca="false">IF(B745="","",IFERROR(INDEX(הגדרות!$A$8:$A$53,MATCH(B745,הגדרות!$B$8:$B$53,0)),"⚠ לא בהגדרות"))</f>
        <v/>
      </c>
      <c r="D745" s="56"/>
      <c r="E745" s="58"/>
      <c r="F745" s="57" t="str">
        <f aca="false">IF(A745="","",INDEX(הגדרות!$H$16:$H$27,MONTH(A745)))</f>
        <v/>
      </c>
    </row>
    <row r="746" customFormat="false" ht="15" hidden="false" customHeight="false" outlineLevel="0" collapsed="false">
      <c r="A746" s="50"/>
      <c r="B746" s="51"/>
      <c r="C746" s="52" t="str">
        <f aca="false">IF(B746="","",IFERROR(INDEX(הגדרות!$A$8:$A$53,MATCH(B746,הגדרות!$B$8:$B$53,0)),"⚠ לא בהגדרות"))</f>
        <v/>
      </c>
      <c r="D746" s="51"/>
      <c r="E746" s="53"/>
      <c r="F746" s="52" t="str">
        <f aca="false">IF(A746="","",INDEX(הגדרות!$H$16:$H$27,MONTH(A746)))</f>
        <v/>
      </c>
    </row>
    <row r="747" customFormat="false" ht="15" hidden="false" customHeight="false" outlineLevel="0" collapsed="false">
      <c r="A747" s="55"/>
      <c r="B747" s="56"/>
      <c r="C747" s="57" t="str">
        <f aca="false">IF(B747="","",IFERROR(INDEX(הגדרות!$A$8:$A$53,MATCH(B747,הגדרות!$B$8:$B$53,0)),"⚠ לא בהגדרות"))</f>
        <v/>
      </c>
      <c r="D747" s="56"/>
      <c r="E747" s="58"/>
      <c r="F747" s="57" t="str">
        <f aca="false">IF(A747="","",INDEX(הגדרות!$H$16:$H$27,MONTH(A747)))</f>
        <v/>
      </c>
    </row>
    <row r="748" customFormat="false" ht="15" hidden="false" customHeight="false" outlineLevel="0" collapsed="false">
      <c r="A748" s="50"/>
      <c r="B748" s="51"/>
      <c r="C748" s="52" t="str">
        <f aca="false">IF(B748="","",IFERROR(INDEX(הגדרות!$A$8:$A$53,MATCH(B748,הגדרות!$B$8:$B$53,0)),"⚠ לא בהגדרות"))</f>
        <v/>
      </c>
      <c r="D748" s="51"/>
      <c r="E748" s="53"/>
      <c r="F748" s="52" t="str">
        <f aca="false">IF(A748="","",INDEX(הגדרות!$H$16:$H$27,MONTH(A748)))</f>
        <v/>
      </c>
    </row>
    <row r="749" customFormat="false" ht="15" hidden="false" customHeight="false" outlineLevel="0" collapsed="false">
      <c r="A749" s="55"/>
      <c r="B749" s="56"/>
      <c r="C749" s="57" t="str">
        <f aca="false">IF(B749="","",IFERROR(INDEX(הגדרות!$A$8:$A$53,MATCH(B749,הגדרות!$B$8:$B$53,0)),"⚠ לא בהגדרות"))</f>
        <v/>
      </c>
      <c r="D749" s="56"/>
      <c r="E749" s="58"/>
      <c r="F749" s="57" t="str">
        <f aca="false">IF(A749="","",INDEX(הגדרות!$H$16:$H$27,MONTH(A749)))</f>
        <v/>
      </c>
    </row>
    <row r="750" customFormat="false" ht="15" hidden="false" customHeight="false" outlineLevel="0" collapsed="false">
      <c r="A750" s="50"/>
      <c r="B750" s="51"/>
      <c r="C750" s="52" t="str">
        <f aca="false">IF(B750="","",IFERROR(INDEX(הגדרות!$A$8:$A$53,MATCH(B750,הגדרות!$B$8:$B$53,0)),"⚠ לא בהגדרות"))</f>
        <v/>
      </c>
      <c r="D750" s="51"/>
      <c r="E750" s="53"/>
      <c r="F750" s="52" t="str">
        <f aca="false">IF(A750="","",INDEX(הגדרות!$H$16:$H$27,MONTH(A750)))</f>
        <v/>
      </c>
    </row>
    <row r="751" customFormat="false" ht="15" hidden="false" customHeight="false" outlineLevel="0" collapsed="false">
      <c r="A751" s="55"/>
      <c r="B751" s="56"/>
      <c r="C751" s="57" t="str">
        <f aca="false">IF(B751="","",IFERROR(INDEX(הגדרות!$A$8:$A$53,MATCH(B751,הגדרות!$B$8:$B$53,0)),"⚠ לא בהגדרות"))</f>
        <v/>
      </c>
      <c r="D751" s="56"/>
      <c r="E751" s="58"/>
      <c r="F751" s="57" t="str">
        <f aca="false">IF(A751="","",INDEX(הגדרות!$H$16:$H$27,MONTH(A751)))</f>
        <v/>
      </c>
    </row>
    <row r="752" customFormat="false" ht="15" hidden="false" customHeight="false" outlineLevel="0" collapsed="false">
      <c r="A752" s="50"/>
      <c r="B752" s="51"/>
      <c r="C752" s="52" t="str">
        <f aca="false">IF(B752="","",IFERROR(INDEX(הגדרות!$A$8:$A$53,MATCH(B752,הגדרות!$B$8:$B$53,0)),"⚠ לא בהגדרות"))</f>
        <v/>
      </c>
      <c r="D752" s="51"/>
      <c r="E752" s="53"/>
      <c r="F752" s="52" t="str">
        <f aca="false">IF(A752="","",INDEX(הגדרות!$H$16:$H$27,MONTH(A752)))</f>
        <v/>
      </c>
    </row>
    <row r="753" customFormat="false" ht="15" hidden="false" customHeight="false" outlineLevel="0" collapsed="false">
      <c r="A753" s="55"/>
      <c r="B753" s="56"/>
      <c r="C753" s="57" t="str">
        <f aca="false">IF(B753="","",IFERROR(INDEX(הגדרות!$A$8:$A$53,MATCH(B753,הגדרות!$B$8:$B$53,0)),"⚠ לא בהגדרות"))</f>
        <v/>
      </c>
      <c r="D753" s="56"/>
      <c r="E753" s="58"/>
      <c r="F753" s="57" t="str">
        <f aca="false">IF(A753="","",INDEX(הגדרות!$H$16:$H$27,MONTH(A753)))</f>
        <v/>
      </c>
    </row>
    <row r="754" customFormat="false" ht="15" hidden="false" customHeight="false" outlineLevel="0" collapsed="false">
      <c r="A754" s="50"/>
      <c r="B754" s="51"/>
      <c r="C754" s="52" t="str">
        <f aca="false">IF(B754="","",IFERROR(INDEX(הגדרות!$A$8:$A$53,MATCH(B754,הגדרות!$B$8:$B$53,0)),"⚠ לא בהגדרות"))</f>
        <v/>
      </c>
      <c r="D754" s="51"/>
      <c r="E754" s="53"/>
      <c r="F754" s="52" t="str">
        <f aca="false">IF(A754="","",INDEX(הגדרות!$H$16:$H$27,MONTH(A754)))</f>
        <v/>
      </c>
    </row>
    <row r="755" customFormat="false" ht="15" hidden="false" customHeight="false" outlineLevel="0" collapsed="false">
      <c r="A755" s="55"/>
      <c r="B755" s="56"/>
      <c r="C755" s="57" t="str">
        <f aca="false">IF(B755="","",IFERROR(INDEX(הגדרות!$A$8:$A$53,MATCH(B755,הגדרות!$B$8:$B$53,0)),"⚠ לא בהגדרות"))</f>
        <v/>
      </c>
      <c r="D755" s="56"/>
      <c r="E755" s="58"/>
      <c r="F755" s="57" t="str">
        <f aca="false">IF(A755="","",INDEX(הגדרות!$H$16:$H$27,MONTH(A755)))</f>
        <v/>
      </c>
    </row>
    <row r="756" customFormat="false" ht="15" hidden="false" customHeight="false" outlineLevel="0" collapsed="false">
      <c r="A756" s="50"/>
      <c r="B756" s="51"/>
      <c r="C756" s="52" t="str">
        <f aca="false">IF(B756="","",IFERROR(INDEX(הגדרות!$A$8:$A$53,MATCH(B756,הגדרות!$B$8:$B$53,0)),"⚠ לא בהגדרות"))</f>
        <v/>
      </c>
      <c r="D756" s="51"/>
      <c r="E756" s="53"/>
      <c r="F756" s="52" t="str">
        <f aca="false">IF(A756="","",INDEX(הגדרות!$H$16:$H$27,MONTH(A756)))</f>
        <v/>
      </c>
    </row>
    <row r="757" customFormat="false" ht="15" hidden="false" customHeight="false" outlineLevel="0" collapsed="false">
      <c r="A757" s="55"/>
      <c r="B757" s="56"/>
      <c r="C757" s="57" t="str">
        <f aca="false">IF(B757="","",IFERROR(INDEX(הגדרות!$A$8:$A$53,MATCH(B757,הגדרות!$B$8:$B$53,0)),"⚠ לא בהגדרות"))</f>
        <v/>
      </c>
      <c r="D757" s="56"/>
      <c r="E757" s="58"/>
      <c r="F757" s="57" t="str">
        <f aca="false">IF(A757="","",INDEX(הגדרות!$H$16:$H$27,MONTH(A757)))</f>
        <v/>
      </c>
    </row>
    <row r="758" customFormat="false" ht="15" hidden="false" customHeight="false" outlineLevel="0" collapsed="false">
      <c r="A758" s="50"/>
      <c r="B758" s="51"/>
      <c r="C758" s="52" t="str">
        <f aca="false">IF(B758="","",IFERROR(INDEX(הגדרות!$A$8:$A$53,MATCH(B758,הגדרות!$B$8:$B$53,0)),"⚠ לא בהגדרות"))</f>
        <v/>
      </c>
      <c r="D758" s="51"/>
      <c r="E758" s="53"/>
      <c r="F758" s="52" t="str">
        <f aca="false">IF(A758="","",INDEX(הגדרות!$H$16:$H$27,MONTH(A758)))</f>
        <v/>
      </c>
    </row>
    <row r="759" customFormat="false" ht="15" hidden="false" customHeight="false" outlineLevel="0" collapsed="false">
      <c r="A759" s="55"/>
      <c r="B759" s="56"/>
      <c r="C759" s="57" t="str">
        <f aca="false">IF(B759="","",IFERROR(INDEX(הגדרות!$A$8:$A$53,MATCH(B759,הגדרות!$B$8:$B$53,0)),"⚠ לא בהגדרות"))</f>
        <v/>
      </c>
      <c r="D759" s="56"/>
      <c r="E759" s="58"/>
      <c r="F759" s="57" t="str">
        <f aca="false">IF(A759="","",INDEX(הגדרות!$H$16:$H$27,MONTH(A759)))</f>
        <v/>
      </c>
    </row>
    <row r="760" customFormat="false" ht="15" hidden="false" customHeight="false" outlineLevel="0" collapsed="false">
      <c r="A760" s="50"/>
      <c r="B760" s="51"/>
      <c r="C760" s="52" t="str">
        <f aca="false">IF(B760="","",IFERROR(INDEX(הגדרות!$A$8:$A$53,MATCH(B760,הגדרות!$B$8:$B$53,0)),"⚠ לא בהגדרות"))</f>
        <v/>
      </c>
      <c r="D760" s="51"/>
      <c r="E760" s="53"/>
      <c r="F760" s="52" t="str">
        <f aca="false">IF(A760="","",INDEX(הגדרות!$H$16:$H$27,MONTH(A760)))</f>
        <v/>
      </c>
    </row>
    <row r="761" customFormat="false" ht="15" hidden="false" customHeight="false" outlineLevel="0" collapsed="false">
      <c r="A761" s="55"/>
      <c r="B761" s="56"/>
      <c r="C761" s="57" t="str">
        <f aca="false">IF(B761="","",IFERROR(INDEX(הגדרות!$A$8:$A$53,MATCH(B761,הגדרות!$B$8:$B$53,0)),"⚠ לא בהגדרות"))</f>
        <v/>
      </c>
      <c r="D761" s="56"/>
      <c r="E761" s="58"/>
      <c r="F761" s="57" t="str">
        <f aca="false">IF(A761="","",INDEX(הגדרות!$H$16:$H$27,MONTH(A761)))</f>
        <v/>
      </c>
    </row>
    <row r="762" customFormat="false" ht="15" hidden="false" customHeight="false" outlineLevel="0" collapsed="false">
      <c r="A762" s="50"/>
      <c r="B762" s="51"/>
      <c r="C762" s="52" t="str">
        <f aca="false">IF(B762="","",IFERROR(INDEX(הגדרות!$A$8:$A$53,MATCH(B762,הגדרות!$B$8:$B$53,0)),"⚠ לא בהגדרות"))</f>
        <v/>
      </c>
      <c r="D762" s="51"/>
      <c r="E762" s="53"/>
      <c r="F762" s="52" t="str">
        <f aca="false">IF(A762="","",INDEX(הגדרות!$H$16:$H$27,MONTH(A762)))</f>
        <v/>
      </c>
    </row>
    <row r="763" customFormat="false" ht="15" hidden="false" customHeight="false" outlineLevel="0" collapsed="false">
      <c r="A763" s="55"/>
      <c r="B763" s="56"/>
      <c r="C763" s="57" t="str">
        <f aca="false">IF(B763="","",IFERROR(INDEX(הגדרות!$A$8:$A$53,MATCH(B763,הגדרות!$B$8:$B$53,0)),"⚠ לא בהגדרות"))</f>
        <v/>
      </c>
      <c r="D763" s="56"/>
      <c r="E763" s="58"/>
      <c r="F763" s="57" t="str">
        <f aca="false">IF(A763="","",INDEX(הגדרות!$H$16:$H$27,MONTH(A763)))</f>
        <v/>
      </c>
    </row>
    <row r="764" customFormat="false" ht="15" hidden="false" customHeight="false" outlineLevel="0" collapsed="false">
      <c r="A764" s="50"/>
      <c r="B764" s="51"/>
      <c r="C764" s="52" t="str">
        <f aca="false">IF(B764="","",IFERROR(INDEX(הגדרות!$A$8:$A$53,MATCH(B764,הגדרות!$B$8:$B$53,0)),"⚠ לא בהגדרות"))</f>
        <v/>
      </c>
      <c r="D764" s="51"/>
      <c r="E764" s="53"/>
      <c r="F764" s="52" t="str">
        <f aca="false">IF(A764="","",INDEX(הגדרות!$H$16:$H$27,MONTH(A764)))</f>
        <v/>
      </c>
    </row>
    <row r="765" customFormat="false" ht="15" hidden="false" customHeight="false" outlineLevel="0" collapsed="false">
      <c r="A765" s="55"/>
      <c r="B765" s="56"/>
      <c r="C765" s="57" t="str">
        <f aca="false">IF(B765="","",IFERROR(INDEX(הגדרות!$A$8:$A$53,MATCH(B765,הגדרות!$B$8:$B$53,0)),"⚠ לא בהגדרות"))</f>
        <v/>
      </c>
      <c r="D765" s="56"/>
      <c r="E765" s="58"/>
      <c r="F765" s="57" t="str">
        <f aca="false">IF(A765="","",INDEX(הגדרות!$H$16:$H$27,MONTH(A765)))</f>
        <v/>
      </c>
    </row>
    <row r="766" customFormat="false" ht="15" hidden="false" customHeight="false" outlineLevel="0" collapsed="false">
      <c r="A766" s="50"/>
      <c r="B766" s="51"/>
      <c r="C766" s="52" t="str">
        <f aca="false">IF(B766="","",IFERROR(INDEX(הגדרות!$A$8:$A$53,MATCH(B766,הגדרות!$B$8:$B$53,0)),"⚠ לא בהגדרות"))</f>
        <v/>
      </c>
      <c r="D766" s="51"/>
      <c r="E766" s="53"/>
      <c r="F766" s="52" t="str">
        <f aca="false">IF(A766="","",INDEX(הגדרות!$H$16:$H$27,MONTH(A766)))</f>
        <v/>
      </c>
    </row>
    <row r="767" customFormat="false" ht="15" hidden="false" customHeight="false" outlineLevel="0" collapsed="false">
      <c r="A767" s="55"/>
      <c r="B767" s="56"/>
      <c r="C767" s="57" t="str">
        <f aca="false">IF(B767="","",IFERROR(INDEX(הגדרות!$A$8:$A$53,MATCH(B767,הגדרות!$B$8:$B$53,0)),"⚠ לא בהגדרות"))</f>
        <v/>
      </c>
      <c r="D767" s="56"/>
      <c r="E767" s="58"/>
      <c r="F767" s="57" t="str">
        <f aca="false">IF(A767="","",INDEX(הגדרות!$H$16:$H$27,MONTH(A767)))</f>
        <v/>
      </c>
    </row>
    <row r="768" customFormat="false" ht="15" hidden="false" customHeight="false" outlineLevel="0" collapsed="false">
      <c r="A768" s="50"/>
      <c r="B768" s="51"/>
      <c r="C768" s="52" t="str">
        <f aca="false">IF(B768="","",IFERROR(INDEX(הגדרות!$A$8:$A$53,MATCH(B768,הגדרות!$B$8:$B$53,0)),"⚠ לא בהגדרות"))</f>
        <v/>
      </c>
      <c r="D768" s="51"/>
      <c r="E768" s="53"/>
      <c r="F768" s="52" t="str">
        <f aca="false">IF(A768="","",INDEX(הגדרות!$H$16:$H$27,MONTH(A768)))</f>
        <v/>
      </c>
    </row>
    <row r="769" customFormat="false" ht="15" hidden="false" customHeight="false" outlineLevel="0" collapsed="false">
      <c r="A769" s="55"/>
      <c r="B769" s="56"/>
      <c r="C769" s="57" t="str">
        <f aca="false">IF(B769="","",IFERROR(INDEX(הגדרות!$A$8:$A$53,MATCH(B769,הגדרות!$B$8:$B$53,0)),"⚠ לא בהגדרות"))</f>
        <v/>
      </c>
      <c r="D769" s="56"/>
      <c r="E769" s="58"/>
      <c r="F769" s="57" t="str">
        <f aca="false">IF(A769="","",INDEX(הגדרות!$H$16:$H$27,MONTH(A769)))</f>
        <v/>
      </c>
    </row>
    <row r="770" customFormat="false" ht="15" hidden="false" customHeight="false" outlineLevel="0" collapsed="false">
      <c r="A770" s="50"/>
      <c r="B770" s="51"/>
      <c r="C770" s="52" t="str">
        <f aca="false">IF(B770="","",IFERROR(INDEX(הגדרות!$A$8:$A$53,MATCH(B770,הגדרות!$B$8:$B$53,0)),"⚠ לא בהגדרות"))</f>
        <v/>
      </c>
      <c r="D770" s="51"/>
      <c r="E770" s="53"/>
      <c r="F770" s="52" t="str">
        <f aca="false">IF(A770="","",INDEX(הגדרות!$H$16:$H$27,MONTH(A770)))</f>
        <v/>
      </c>
    </row>
    <row r="771" customFormat="false" ht="15" hidden="false" customHeight="false" outlineLevel="0" collapsed="false">
      <c r="A771" s="55"/>
      <c r="B771" s="56"/>
      <c r="C771" s="57" t="str">
        <f aca="false">IF(B771="","",IFERROR(INDEX(הגדרות!$A$8:$A$53,MATCH(B771,הגדרות!$B$8:$B$53,0)),"⚠ לא בהגדרות"))</f>
        <v/>
      </c>
      <c r="D771" s="56"/>
      <c r="E771" s="58"/>
      <c r="F771" s="57" t="str">
        <f aca="false">IF(A771="","",INDEX(הגדרות!$H$16:$H$27,MONTH(A771)))</f>
        <v/>
      </c>
    </row>
    <row r="772" customFormat="false" ht="15" hidden="false" customHeight="false" outlineLevel="0" collapsed="false">
      <c r="A772" s="50"/>
      <c r="B772" s="51"/>
      <c r="C772" s="52" t="str">
        <f aca="false">IF(B772="","",IFERROR(INDEX(הגדרות!$A$8:$A$53,MATCH(B772,הגדרות!$B$8:$B$53,0)),"⚠ לא בהגדרות"))</f>
        <v/>
      </c>
      <c r="D772" s="51"/>
      <c r="E772" s="53"/>
      <c r="F772" s="52" t="str">
        <f aca="false">IF(A772="","",INDEX(הגדרות!$H$16:$H$27,MONTH(A772)))</f>
        <v/>
      </c>
    </row>
    <row r="773" customFormat="false" ht="15" hidden="false" customHeight="false" outlineLevel="0" collapsed="false">
      <c r="A773" s="55"/>
      <c r="B773" s="56"/>
      <c r="C773" s="57" t="str">
        <f aca="false">IF(B773="","",IFERROR(INDEX(הגדרות!$A$8:$A$53,MATCH(B773,הגדרות!$B$8:$B$53,0)),"⚠ לא בהגדרות"))</f>
        <v/>
      </c>
      <c r="D773" s="56"/>
      <c r="E773" s="58"/>
      <c r="F773" s="57" t="str">
        <f aca="false">IF(A773="","",INDEX(הגדרות!$H$16:$H$27,MONTH(A773)))</f>
        <v/>
      </c>
    </row>
    <row r="774" customFormat="false" ht="15" hidden="false" customHeight="false" outlineLevel="0" collapsed="false">
      <c r="A774" s="50"/>
      <c r="B774" s="51"/>
      <c r="C774" s="52" t="str">
        <f aca="false">IF(B774="","",IFERROR(INDEX(הגדרות!$A$8:$A$53,MATCH(B774,הגדרות!$B$8:$B$53,0)),"⚠ לא בהגדרות"))</f>
        <v/>
      </c>
      <c r="D774" s="51"/>
      <c r="E774" s="53"/>
      <c r="F774" s="52" t="str">
        <f aca="false">IF(A774="","",INDEX(הגדרות!$H$16:$H$27,MONTH(A774)))</f>
        <v/>
      </c>
    </row>
    <row r="775" customFormat="false" ht="15" hidden="false" customHeight="false" outlineLevel="0" collapsed="false">
      <c r="A775" s="55"/>
      <c r="B775" s="56"/>
      <c r="C775" s="57" t="str">
        <f aca="false">IF(B775="","",IFERROR(INDEX(הגדרות!$A$8:$A$53,MATCH(B775,הגדרות!$B$8:$B$53,0)),"⚠ לא בהגדרות"))</f>
        <v/>
      </c>
      <c r="D775" s="56"/>
      <c r="E775" s="58"/>
      <c r="F775" s="57" t="str">
        <f aca="false">IF(A775="","",INDEX(הגדרות!$H$16:$H$27,MONTH(A775)))</f>
        <v/>
      </c>
    </row>
    <row r="776" customFormat="false" ht="15" hidden="false" customHeight="false" outlineLevel="0" collapsed="false">
      <c r="A776" s="50"/>
      <c r="B776" s="51"/>
      <c r="C776" s="52" t="str">
        <f aca="false">IF(B776="","",IFERROR(INDEX(הגדרות!$A$8:$A$53,MATCH(B776,הגדרות!$B$8:$B$53,0)),"⚠ לא בהגדרות"))</f>
        <v/>
      </c>
      <c r="D776" s="51"/>
      <c r="E776" s="53"/>
      <c r="F776" s="52" t="str">
        <f aca="false">IF(A776="","",INDEX(הגדרות!$H$16:$H$27,MONTH(A776)))</f>
        <v/>
      </c>
    </row>
    <row r="777" customFormat="false" ht="15" hidden="false" customHeight="false" outlineLevel="0" collapsed="false">
      <c r="A777" s="55"/>
      <c r="B777" s="56"/>
      <c r="C777" s="57" t="str">
        <f aca="false">IF(B777="","",IFERROR(INDEX(הגדרות!$A$8:$A$53,MATCH(B777,הגדרות!$B$8:$B$53,0)),"⚠ לא בהגדרות"))</f>
        <v/>
      </c>
      <c r="D777" s="56"/>
      <c r="E777" s="58"/>
      <c r="F777" s="57" t="str">
        <f aca="false">IF(A777="","",INDEX(הגדרות!$H$16:$H$27,MONTH(A777)))</f>
        <v/>
      </c>
    </row>
    <row r="778" customFormat="false" ht="15" hidden="false" customHeight="false" outlineLevel="0" collapsed="false">
      <c r="A778" s="50"/>
      <c r="B778" s="51"/>
      <c r="C778" s="52" t="str">
        <f aca="false">IF(B778="","",IFERROR(INDEX(הגדרות!$A$8:$A$53,MATCH(B778,הגדרות!$B$8:$B$53,0)),"⚠ לא בהגדרות"))</f>
        <v/>
      </c>
      <c r="D778" s="51"/>
      <c r="E778" s="53"/>
      <c r="F778" s="52" t="str">
        <f aca="false">IF(A778="","",INDEX(הגדרות!$H$16:$H$27,MONTH(A778)))</f>
        <v/>
      </c>
    </row>
    <row r="779" customFormat="false" ht="15" hidden="false" customHeight="false" outlineLevel="0" collapsed="false">
      <c r="A779" s="55"/>
      <c r="B779" s="56"/>
      <c r="C779" s="57" t="str">
        <f aca="false">IF(B779="","",IFERROR(INDEX(הגדרות!$A$8:$A$53,MATCH(B779,הגדרות!$B$8:$B$53,0)),"⚠ לא בהגדרות"))</f>
        <v/>
      </c>
      <c r="D779" s="56"/>
      <c r="E779" s="58"/>
      <c r="F779" s="57" t="str">
        <f aca="false">IF(A779="","",INDEX(הגדרות!$H$16:$H$27,MONTH(A779)))</f>
        <v/>
      </c>
    </row>
    <row r="780" customFormat="false" ht="15" hidden="false" customHeight="false" outlineLevel="0" collapsed="false">
      <c r="A780" s="50"/>
      <c r="B780" s="51"/>
      <c r="C780" s="52" t="str">
        <f aca="false">IF(B780="","",IFERROR(INDEX(הגדרות!$A$8:$A$53,MATCH(B780,הגדרות!$B$8:$B$53,0)),"⚠ לא בהגדרות"))</f>
        <v/>
      </c>
      <c r="D780" s="51"/>
      <c r="E780" s="53"/>
      <c r="F780" s="52" t="str">
        <f aca="false">IF(A780="","",INDEX(הגדרות!$H$16:$H$27,MONTH(A780)))</f>
        <v/>
      </c>
    </row>
    <row r="781" customFormat="false" ht="15" hidden="false" customHeight="false" outlineLevel="0" collapsed="false">
      <c r="A781" s="55"/>
      <c r="B781" s="56"/>
      <c r="C781" s="57" t="str">
        <f aca="false">IF(B781="","",IFERROR(INDEX(הגדרות!$A$8:$A$53,MATCH(B781,הגדרות!$B$8:$B$53,0)),"⚠ לא בהגדרות"))</f>
        <v/>
      </c>
      <c r="D781" s="56"/>
      <c r="E781" s="58"/>
      <c r="F781" s="57" t="str">
        <f aca="false">IF(A781="","",INDEX(הגדרות!$H$16:$H$27,MONTH(A781)))</f>
        <v/>
      </c>
    </row>
    <row r="782" customFormat="false" ht="15" hidden="false" customHeight="false" outlineLevel="0" collapsed="false">
      <c r="A782" s="50"/>
      <c r="B782" s="51"/>
      <c r="C782" s="52" t="str">
        <f aca="false">IF(B782="","",IFERROR(INDEX(הגדרות!$A$8:$A$53,MATCH(B782,הגדרות!$B$8:$B$53,0)),"⚠ לא בהגדרות"))</f>
        <v/>
      </c>
      <c r="D782" s="51"/>
      <c r="E782" s="53"/>
      <c r="F782" s="52" t="str">
        <f aca="false">IF(A782="","",INDEX(הגדרות!$H$16:$H$27,MONTH(A782)))</f>
        <v/>
      </c>
    </row>
    <row r="783" customFormat="false" ht="15" hidden="false" customHeight="false" outlineLevel="0" collapsed="false">
      <c r="A783" s="55"/>
      <c r="B783" s="56"/>
      <c r="C783" s="57" t="str">
        <f aca="false">IF(B783="","",IFERROR(INDEX(הגדרות!$A$8:$A$53,MATCH(B783,הגדרות!$B$8:$B$53,0)),"⚠ לא בהגדרות"))</f>
        <v/>
      </c>
      <c r="D783" s="56"/>
      <c r="E783" s="58"/>
      <c r="F783" s="57" t="str">
        <f aca="false">IF(A783="","",INDEX(הגדרות!$H$16:$H$27,MONTH(A783)))</f>
        <v/>
      </c>
    </row>
    <row r="784" customFormat="false" ht="15" hidden="false" customHeight="false" outlineLevel="0" collapsed="false">
      <c r="A784" s="50"/>
      <c r="B784" s="51"/>
      <c r="C784" s="52" t="str">
        <f aca="false">IF(B784="","",IFERROR(INDEX(הגדרות!$A$8:$A$53,MATCH(B784,הגדרות!$B$8:$B$53,0)),"⚠ לא בהגדרות"))</f>
        <v/>
      </c>
      <c r="D784" s="51"/>
      <c r="E784" s="53"/>
      <c r="F784" s="52" t="str">
        <f aca="false">IF(A784="","",INDEX(הגדרות!$H$16:$H$27,MONTH(A784)))</f>
        <v/>
      </c>
    </row>
    <row r="785" customFormat="false" ht="15" hidden="false" customHeight="false" outlineLevel="0" collapsed="false">
      <c r="A785" s="55"/>
      <c r="B785" s="56"/>
      <c r="C785" s="57" t="str">
        <f aca="false">IF(B785="","",IFERROR(INDEX(הגדרות!$A$8:$A$53,MATCH(B785,הגדרות!$B$8:$B$53,0)),"⚠ לא בהגדרות"))</f>
        <v/>
      </c>
      <c r="D785" s="56"/>
      <c r="E785" s="58"/>
      <c r="F785" s="57" t="str">
        <f aca="false">IF(A785="","",INDEX(הגדרות!$H$16:$H$27,MONTH(A785)))</f>
        <v/>
      </c>
    </row>
    <row r="786" customFormat="false" ht="15" hidden="false" customHeight="false" outlineLevel="0" collapsed="false">
      <c r="A786" s="50"/>
      <c r="B786" s="51"/>
      <c r="C786" s="52" t="str">
        <f aca="false">IF(B786="","",IFERROR(INDEX(הגדרות!$A$8:$A$53,MATCH(B786,הגדרות!$B$8:$B$53,0)),"⚠ לא בהגדרות"))</f>
        <v/>
      </c>
      <c r="D786" s="51"/>
      <c r="E786" s="53"/>
      <c r="F786" s="52" t="str">
        <f aca="false">IF(A786="","",INDEX(הגדרות!$H$16:$H$27,MONTH(A786)))</f>
        <v/>
      </c>
    </row>
    <row r="787" customFormat="false" ht="15" hidden="false" customHeight="false" outlineLevel="0" collapsed="false">
      <c r="A787" s="55"/>
      <c r="B787" s="56"/>
      <c r="C787" s="57" t="str">
        <f aca="false">IF(B787="","",IFERROR(INDEX(הגדרות!$A$8:$A$53,MATCH(B787,הגדרות!$B$8:$B$53,0)),"⚠ לא בהגדרות"))</f>
        <v/>
      </c>
      <c r="D787" s="56"/>
      <c r="E787" s="58"/>
      <c r="F787" s="57" t="str">
        <f aca="false">IF(A787="","",INDEX(הגדרות!$H$16:$H$27,MONTH(A787)))</f>
        <v/>
      </c>
    </row>
    <row r="788" customFormat="false" ht="15" hidden="false" customHeight="false" outlineLevel="0" collapsed="false">
      <c r="A788" s="50"/>
      <c r="B788" s="51"/>
      <c r="C788" s="52" t="str">
        <f aca="false">IF(B788="","",IFERROR(INDEX(הגדרות!$A$8:$A$53,MATCH(B788,הגדרות!$B$8:$B$53,0)),"⚠ לא בהגדרות"))</f>
        <v/>
      </c>
      <c r="D788" s="51"/>
      <c r="E788" s="53"/>
      <c r="F788" s="52" t="str">
        <f aca="false">IF(A788="","",INDEX(הגדרות!$H$16:$H$27,MONTH(A788)))</f>
        <v/>
      </c>
    </row>
    <row r="789" customFormat="false" ht="15" hidden="false" customHeight="false" outlineLevel="0" collapsed="false">
      <c r="A789" s="55"/>
      <c r="B789" s="56"/>
      <c r="C789" s="57" t="str">
        <f aca="false">IF(B789="","",IFERROR(INDEX(הגדרות!$A$8:$A$53,MATCH(B789,הגדרות!$B$8:$B$53,0)),"⚠ לא בהגדרות"))</f>
        <v/>
      </c>
      <c r="D789" s="56"/>
      <c r="E789" s="58"/>
      <c r="F789" s="57" t="str">
        <f aca="false">IF(A789="","",INDEX(הגדרות!$H$16:$H$27,MONTH(A789)))</f>
        <v/>
      </c>
    </row>
    <row r="790" customFormat="false" ht="15" hidden="false" customHeight="false" outlineLevel="0" collapsed="false">
      <c r="A790" s="50"/>
      <c r="B790" s="51"/>
      <c r="C790" s="52" t="str">
        <f aca="false">IF(B790="","",IFERROR(INDEX(הגדרות!$A$8:$A$53,MATCH(B790,הגדרות!$B$8:$B$53,0)),"⚠ לא בהגדרות"))</f>
        <v/>
      </c>
      <c r="D790" s="51"/>
      <c r="E790" s="53"/>
      <c r="F790" s="52" t="str">
        <f aca="false">IF(A790="","",INDEX(הגדרות!$H$16:$H$27,MONTH(A790)))</f>
        <v/>
      </c>
    </row>
    <row r="791" customFormat="false" ht="15" hidden="false" customHeight="false" outlineLevel="0" collapsed="false">
      <c r="A791" s="55"/>
      <c r="B791" s="56"/>
      <c r="C791" s="57" t="str">
        <f aca="false">IF(B791="","",IFERROR(INDEX(הגדרות!$A$8:$A$53,MATCH(B791,הגדרות!$B$8:$B$53,0)),"⚠ לא בהגדרות"))</f>
        <v/>
      </c>
      <c r="D791" s="56"/>
      <c r="E791" s="58"/>
      <c r="F791" s="57" t="str">
        <f aca="false">IF(A791="","",INDEX(הגדרות!$H$16:$H$27,MONTH(A791)))</f>
        <v/>
      </c>
    </row>
    <row r="792" customFormat="false" ht="15" hidden="false" customHeight="false" outlineLevel="0" collapsed="false">
      <c r="A792" s="50"/>
      <c r="B792" s="51"/>
      <c r="C792" s="52" t="str">
        <f aca="false">IF(B792="","",IFERROR(INDEX(הגדרות!$A$8:$A$53,MATCH(B792,הגדרות!$B$8:$B$53,0)),"⚠ לא בהגדרות"))</f>
        <v/>
      </c>
      <c r="D792" s="51"/>
      <c r="E792" s="53"/>
      <c r="F792" s="52" t="str">
        <f aca="false">IF(A792="","",INDEX(הגדרות!$H$16:$H$27,MONTH(A792)))</f>
        <v/>
      </c>
    </row>
    <row r="793" customFormat="false" ht="15" hidden="false" customHeight="false" outlineLevel="0" collapsed="false">
      <c r="A793" s="55"/>
      <c r="B793" s="56"/>
      <c r="C793" s="57" t="str">
        <f aca="false">IF(B793="","",IFERROR(INDEX(הגדרות!$A$8:$A$53,MATCH(B793,הגדרות!$B$8:$B$53,0)),"⚠ לא בהגדרות"))</f>
        <v/>
      </c>
      <c r="D793" s="56"/>
      <c r="E793" s="58"/>
      <c r="F793" s="57" t="str">
        <f aca="false">IF(A793="","",INDEX(הגדרות!$H$16:$H$27,MONTH(A793)))</f>
        <v/>
      </c>
    </row>
    <row r="794" customFormat="false" ht="15" hidden="false" customHeight="false" outlineLevel="0" collapsed="false">
      <c r="A794" s="50"/>
      <c r="B794" s="51"/>
      <c r="C794" s="52" t="str">
        <f aca="false">IF(B794="","",IFERROR(INDEX(הגדרות!$A$8:$A$53,MATCH(B794,הגדרות!$B$8:$B$53,0)),"⚠ לא בהגדרות"))</f>
        <v/>
      </c>
      <c r="D794" s="51"/>
      <c r="E794" s="53"/>
      <c r="F794" s="52" t="str">
        <f aca="false">IF(A794="","",INDEX(הגדרות!$H$16:$H$27,MONTH(A794)))</f>
        <v/>
      </c>
    </row>
    <row r="795" customFormat="false" ht="15" hidden="false" customHeight="false" outlineLevel="0" collapsed="false">
      <c r="A795" s="55"/>
      <c r="B795" s="56"/>
      <c r="C795" s="57" t="str">
        <f aca="false">IF(B795="","",IFERROR(INDEX(הגדרות!$A$8:$A$53,MATCH(B795,הגדרות!$B$8:$B$53,0)),"⚠ לא בהגדרות"))</f>
        <v/>
      </c>
      <c r="D795" s="56"/>
      <c r="E795" s="58"/>
      <c r="F795" s="57" t="str">
        <f aca="false">IF(A795="","",INDEX(הגדרות!$H$16:$H$27,MONTH(A795)))</f>
        <v/>
      </c>
    </row>
    <row r="796" customFormat="false" ht="15" hidden="false" customHeight="false" outlineLevel="0" collapsed="false">
      <c r="A796" s="50"/>
      <c r="B796" s="51"/>
      <c r="C796" s="52" t="str">
        <f aca="false">IF(B796="","",IFERROR(INDEX(הגדרות!$A$8:$A$53,MATCH(B796,הגדרות!$B$8:$B$53,0)),"⚠ לא בהגדרות"))</f>
        <v/>
      </c>
      <c r="D796" s="51"/>
      <c r="E796" s="53"/>
      <c r="F796" s="52" t="str">
        <f aca="false">IF(A796="","",INDEX(הגדרות!$H$16:$H$27,MONTH(A796)))</f>
        <v/>
      </c>
    </row>
    <row r="797" customFormat="false" ht="15" hidden="false" customHeight="false" outlineLevel="0" collapsed="false">
      <c r="A797" s="55"/>
      <c r="B797" s="56"/>
      <c r="C797" s="57" t="str">
        <f aca="false">IF(B797="","",IFERROR(INDEX(הגדרות!$A$8:$A$53,MATCH(B797,הגדרות!$B$8:$B$53,0)),"⚠ לא בהגדרות"))</f>
        <v/>
      </c>
      <c r="D797" s="56"/>
      <c r="E797" s="58"/>
      <c r="F797" s="57" t="str">
        <f aca="false">IF(A797="","",INDEX(הגדרות!$H$16:$H$27,MONTH(A797)))</f>
        <v/>
      </c>
    </row>
    <row r="798" customFormat="false" ht="15" hidden="false" customHeight="false" outlineLevel="0" collapsed="false">
      <c r="A798" s="50"/>
      <c r="B798" s="51"/>
      <c r="C798" s="52" t="str">
        <f aca="false">IF(B798="","",IFERROR(INDEX(הגדרות!$A$8:$A$53,MATCH(B798,הגדרות!$B$8:$B$53,0)),"⚠ לא בהגדרות"))</f>
        <v/>
      </c>
      <c r="D798" s="51"/>
      <c r="E798" s="53"/>
      <c r="F798" s="52" t="str">
        <f aca="false">IF(A798="","",INDEX(הגדרות!$H$16:$H$27,MONTH(A798)))</f>
        <v/>
      </c>
    </row>
    <row r="799" customFormat="false" ht="15" hidden="false" customHeight="false" outlineLevel="0" collapsed="false">
      <c r="A799" s="55"/>
      <c r="B799" s="56"/>
      <c r="C799" s="57" t="str">
        <f aca="false">IF(B799="","",IFERROR(INDEX(הגדרות!$A$8:$A$53,MATCH(B799,הגדרות!$B$8:$B$53,0)),"⚠ לא בהגדרות"))</f>
        <v/>
      </c>
      <c r="D799" s="56"/>
      <c r="E799" s="58"/>
      <c r="F799" s="57" t="str">
        <f aca="false">IF(A799="","",INDEX(הגדרות!$H$16:$H$27,MONTH(A799)))</f>
        <v/>
      </c>
    </row>
    <row r="800" customFormat="false" ht="15" hidden="false" customHeight="false" outlineLevel="0" collapsed="false">
      <c r="A800" s="50"/>
      <c r="B800" s="51"/>
      <c r="C800" s="52" t="str">
        <f aca="false">IF(B800="","",IFERROR(INDEX(הגדרות!$A$8:$A$53,MATCH(B800,הגדרות!$B$8:$B$53,0)),"⚠ לא בהגדרות"))</f>
        <v/>
      </c>
      <c r="D800" s="51"/>
      <c r="E800" s="53"/>
      <c r="F800" s="52" t="str">
        <f aca="false">IF(A800="","",INDEX(הגדרות!$H$16:$H$27,MONTH(A800)))</f>
        <v/>
      </c>
    </row>
    <row r="801" customFormat="false" ht="15" hidden="false" customHeight="false" outlineLevel="0" collapsed="false">
      <c r="A801" s="55"/>
      <c r="B801" s="56"/>
      <c r="C801" s="57" t="str">
        <f aca="false">IF(B801="","",IFERROR(INDEX(הגדרות!$A$8:$A$53,MATCH(B801,הגדרות!$B$8:$B$53,0)),"⚠ לא בהגדרות"))</f>
        <v/>
      </c>
      <c r="D801" s="56"/>
      <c r="E801" s="58"/>
      <c r="F801" s="57" t="str">
        <f aca="false">IF(A801="","",INDEX(הגדרות!$H$16:$H$27,MONTH(A801)))</f>
        <v/>
      </c>
    </row>
    <row r="802" customFormat="false" ht="15" hidden="false" customHeight="false" outlineLevel="0" collapsed="false">
      <c r="A802" s="50"/>
      <c r="B802" s="51"/>
      <c r="C802" s="52" t="str">
        <f aca="false">IF(B802="","",IFERROR(INDEX(הגדרות!$A$8:$A$53,MATCH(B802,הגדרות!$B$8:$B$53,0)),"⚠ לא בהגדרות"))</f>
        <v/>
      </c>
      <c r="D802" s="51"/>
      <c r="E802" s="53"/>
      <c r="F802" s="52" t="str">
        <f aca="false">IF(A802="","",INDEX(הגדרות!$H$16:$H$27,MONTH(A802)))</f>
        <v/>
      </c>
    </row>
    <row r="803" customFormat="false" ht="15" hidden="false" customHeight="false" outlineLevel="0" collapsed="false">
      <c r="A803" s="55"/>
      <c r="B803" s="56"/>
      <c r="C803" s="57" t="str">
        <f aca="false">IF(B803="","",IFERROR(INDEX(הגדרות!$A$8:$A$53,MATCH(B803,הגדרות!$B$8:$B$53,0)),"⚠ לא בהגדרות"))</f>
        <v/>
      </c>
      <c r="D803" s="56"/>
      <c r="E803" s="58"/>
      <c r="F803" s="57" t="str">
        <f aca="false">IF(A803="","",INDEX(הגדרות!$H$16:$H$27,MONTH(A803)))</f>
        <v/>
      </c>
    </row>
    <row r="804" customFormat="false" ht="15" hidden="false" customHeight="false" outlineLevel="0" collapsed="false">
      <c r="A804" s="50"/>
      <c r="B804" s="51"/>
      <c r="C804" s="52" t="str">
        <f aca="false">IF(B804="","",IFERROR(INDEX(הגדרות!$A$8:$A$53,MATCH(B804,הגדרות!$B$8:$B$53,0)),"⚠ לא בהגדרות"))</f>
        <v/>
      </c>
      <c r="D804" s="51"/>
      <c r="E804" s="53"/>
      <c r="F804" s="52" t="str">
        <f aca="false">IF(A804="","",INDEX(הגדרות!$H$16:$H$27,MONTH(A804)))</f>
        <v/>
      </c>
    </row>
    <row r="805" customFormat="false" ht="15" hidden="false" customHeight="false" outlineLevel="0" collapsed="false">
      <c r="A805" s="55"/>
      <c r="B805" s="56"/>
      <c r="C805" s="57" t="str">
        <f aca="false">IF(B805="","",IFERROR(INDEX(הגדרות!$A$8:$A$53,MATCH(B805,הגדרות!$B$8:$B$53,0)),"⚠ לא בהגדרות"))</f>
        <v/>
      </c>
      <c r="D805" s="56"/>
      <c r="E805" s="58"/>
      <c r="F805" s="57" t="str">
        <f aca="false">IF(A805="","",INDEX(הגדרות!$H$16:$H$27,MONTH(A805)))</f>
        <v/>
      </c>
    </row>
    <row r="806" customFormat="false" ht="15" hidden="false" customHeight="false" outlineLevel="0" collapsed="false">
      <c r="A806" s="50"/>
      <c r="B806" s="51"/>
      <c r="C806" s="52" t="str">
        <f aca="false">IF(B806="","",IFERROR(INDEX(הגדרות!$A$8:$A$53,MATCH(B806,הגדרות!$B$8:$B$53,0)),"⚠ לא בהגדרות"))</f>
        <v/>
      </c>
      <c r="D806" s="51"/>
      <c r="E806" s="53"/>
      <c r="F806" s="52" t="str">
        <f aca="false">IF(A806="","",INDEX(הגדרות!$H$16:$H$27,MONTH(A806)))</f>
        <v/>
      </c>
    </row>
    <row r="807" customFormat="false" ht="15" hidden="false" customHeight="false" outlineLevel="0" collapsed="false">
      <c r="A807" s="55"/>
      <c r="B807" s="56"/>
      <c r="C807" s="57" t="str">
        <f aca="false">IF(B807="","",IFERROR(INDEX(הגדרות!$A$8:$A$53,MATCH(B807,הגדרות!$B$8:$B$53,0)),"⚠ לא בהגדרות"))</f>
        <v/>
      </c>
      <c r="D807" s="56"/>
      <c r="E807" s="58"/>
      <c r="F807" s="57" t="str">
        <f aca="false">IF(A807="","",INDEX(הגדרות!$H$16:$H$27,MONTH(A807)))</f>
        <v/>
      </c>
    </row>
    <row r="808" customFormat="false" ht="15" hidden="false" customHeight="false" outlineLevel="0" collapsed="false">
      <c r="A808" s="50"/>
      <c r="B808" s="51"/>
      <c r="C808" s="52" t="str">
        <f aca="false">IF(B808="","",IFERROR(INDEX(הגדרות!$A$8:$A$53,MATCH(B808,הגדרות!$B$8:$B$53,0)),"⚠ לא בהגדרות"))</f>
        <v/>
      </c>
      <c r="D808" s="51"/>
      <c r="E808" s="53"/>
      <c r="F808" s="52" t="str">
        <f aca="false">IF(A808="","",INDEX(הגדרות!$H$16:$H$27,MONTH(A808)))</f>
        <v/>
      </c>
    </row>
    <row r="809" customFormat="false" ht="15" hidden="false" customHeight="false" outlineLevel="0" collapsed="false">
      <c r="A809" s="55"/>
      <c r="B809" s="56"/>
      <c r="C809" s="57" t="str">
        <f aca="false">IF(B809="","",IFERROR(INDEX(הגדרות!$A$8:$A$53,MATCH(B809,הגדרות!$B$8:$B$53,0)),"⚠ לא בהגדרות"))</f>
        <v/>
      </c>
      <c r="D809" s="56"/>
      <c r="E809" s="58"/>
      <c r="F809" s="57" t="str">
        <f aca="false">IF(A809="","",INDEX(הגדרות!$H$16:$H$27,MONTH(A809)))</f>
        <v/>
      </c>
    </row>
    <row r="810" customFormat="false" ht="15" hidden="false" customHeight="false" outlineLevel="0" collapsed="false">
      <c r="A810" s="50"/>
      <c r="B810" s="51"/>
      <c r="C810" s="52" t="str">
        <f aca="false">IF(B810="","",IFERROR(INDEX(הגדרות!$A$8:$A$53,MATCH(B810,הגדרות!$B$8:$B$53,0)),"⚠ לא בהגדרות"))</f>
        <v/>
      </c>
      <c r="D810" s="51"/>
      <c r="E810" s="53"/>
      <c r="F810" s="52" t="str">
        <f aca="false">IF(A810="","",INDEX(הגדרות!$H$16:$H$27,MONTH(A810)))</f>
        <v/>
      </c>
    </row>
    <row r="811" customFormat="false" ht="15" hidden="false" customHeight="false" outlineLevel="0" collapsed="false">
      <c r="A811" s="55"/>
      <c r="B811" s="56"/>
      <c r="C811" s="57" t="str">
        <f aca="false">IF(B811="","",IFERROR(INDEX(הגדרות!$A$8:$A$53,MATCH(B811,הגדרות!$B$8:$B$53,0)),"⚠ לא בהגדרות"))</f>
        <v/>
      </c>
      <c r="D811" s="56"/>
      <c r="E811" s="58"/>
      <c r="F811" s="57" t="str">
        <f aca="false">IF(A811="","",INDEX(הגדרות!$H$16:$H$27,MONTH(A811)))</f>
        <v/>
      </c>
    </row>
    <row r="812" customFormat="false" ht="15" hidden="false" customHeight="false" outlineLevel="0" collapsed="false">
      <c r="A812" s="50"/>
      <c r="B812" s="51"/>
      <c r="C812" s="52" t="str">
        <f aca="false">IF(B812="","",IFERROR(INDEX(הגדרות!$A$8:$A$53,MATCH(B812,הגדרות!$B$8:$B$53,0)),"⚠ לא בהגדרות"))</f>
        <v/>
      </c>
      <c r="D812" s="51"/>
      <c r="E812" s="53"/>
      <c r="F812" s="52" t="str">
        <f aca="false">IF(A812="","",INDEX(הגדרות!$H$16:$H$27,MONTH(A812)))</f>
        <v/>
      </c>
    </row>
    <row r="813" customFormat="false" ht="15" hidden="false" customHeight="false" outlineLevel="0" collapsed="false">
      <c r="A813" s="55"/>
      <c r="B813" s="56"/>
      <c r="C813" s="57" t="str">
        <f aca="false">IF(B813="","",IFERROR(INDEX(הגדרות!$A$8:$A$53,MATCH(B813,הגדרות!$B$8:$B$53,0)),"⚠ לא בהגדרות"))</f>
        <v/>
      </c>
      <c r="D813" s="56"/>
      <c r="E813" s="58"/>
      <c r="F813" s="57" t="str">
        <f aca="false">IF(A813="","",INDEX(הגדרות!$H$16:$H$27,MONTH(A813)))</f>
        <v/>
      </c>
    </row>
    <row r="814" customFormat="false" ht="15" hidden="false" customHeight="false" outlineLevel="0" collapsed="false">
      <c r="A814" s="50"/>
      <c r="B814" s="51"/>
      <c r="C814" s="52" t="str">
        <f aca="false">IF(B814="","",IFERROR(INDEX(הגדרות!$A$8:$A$53,MATCH(B814,הגדרות!$B$8:$B$53,0)),"⚠ לא בהגדרות"))</f>
        <v/>
      </c>
      <c r="D814" s="51"/>
      <c r="E814" s="53"/>
      <c r="F814" s="52" t="str">
        <f aca="false">IF(A814="","",INDEX(הגדרות!$H$16:$H$27,MONTH(A814)))</f>
        <v/>
      </c>
    </row>
    <row r="815" customFormat="false" ht="15" hidden="false" customHeight="false" outlineLevel="0" collapsed="false">
      <c r="A815" s="55"/>
      <c r="B815" s="56"/>
      <c r="C815" s="57" t="str">
        <f aca="false">IF(B815="","",IFERROR(INDEX(הגדרות!$A$8:$A$53,MATCH(B815,הגדרות!$B$8:$B$53,0)),"⚠ לא בהגדרות"))</f>
        <v/>
      </c>
      <c r="D815" s="56"/>
      <c r="E815" s="58"/>
      <c r="F815" s="57" t="str">
        <f aca="false">IF(A815="","",INDEX(הגדרות!$H$16:$H$27,MONTH(A815)))</f>
        <v/>
      </c>
    </row>
    <row r="816" customFormat="false" ht="15" hidden="false" customHeight="false" outlineLevel="0" collapsed="false">
      <c r="A816" s="50"/>
      <c r="B816" s="51"/>
      <c r="C816" s="52" t="str">
        <f aca="false">IF(B816="","",IFERROR(INDEX(הגדרות!$A$8:$A$53,MATCH(B816,הגדרות!$B$8:$B$53,0)),"⚠ לא בהגדרות"))</f>
        <v/>
      </c>
      <c r="D816" s="51"/>
      <c r="E816" s="53"/>
      <c r="F816" s="52" t="str">
        <f aca="false">IF(A816="","",INDEX(הגדרות!$H$16:$H$27,MONTH(A816)))</f>
        <v/>
      </c>
    </row>
    <row r="817" customFormat="false" ht="15" hidden="false" customHeight="false" outlineLevel="0" collapsed="false">
      <c r="A817" s="55"/>
      <c r="B817" s="56"/>
      <c r="C817" s="57" t="str">
        <f aca="false">IF(B817="","",IFERROR(INDEX(הגדרות!$A$8:$A$53,MATCH(B817,הגדרות!$B$8:$B$53,0)),"⚠ לא בהגדרות"))</f>
        <v/>
      </c>
      <c r="D817" s="56"/>
      <c r="E817" s="58"/>
      <c r="F817" s="57" t="str">
        <f aca="false">IF(A817="","",INDEX(הגדרות!$H$16:$H$27,MONTH(A817)))</f>
        <v/>
      </c>
    </row>
    <row r="818" customFormat="false" ht="15" hidden="false" customHeight="false" outlineLevel="0" collapsed="false">
      <c r="A818" s="50"/>
      <c r="B818" s="51"/>
      <c r="C818" s="52" t="str">
        <f aca="false">IF(B818="","",IFERROR(INDEX(הגדרות!$A$8:$A$53,MATCH(B818,הגדרות!$B$8:$B$53,0)),"⚠ לא בהגדרות"))</f>
        <v/>
      </c>
      <c r="D818" s="51"/>
      <c r="E818" s="53"/>
      <c r="F818" s="52" t="str">
        <f aca="false">IF(A818="","",INDEX(הגדרות!$H$16:$H$27,MONTH(A818)))</f>
        <v/>
      </c>
    </row>
    <row r="819" customFormat="false" ht="15" hidden="false" customHeight="false" outlineLevel="0" collapsed="false">
      <c r="A819" s="55"/>
      <c r="B819" s="56"/>
      <c r="C819" s="57" t="str">
        <f aca="false">IF(B819="","",IFERROR(INDEX(הגדרות!$A$8:$A$53,MATCH(B819,הגדרות!$B$8:$B$53,0)),"⚠ לא בהגדרות"))</f>
        <v/>
      </c>
      <c r="D819" s="56"/>
      <c r="E819" s="58"/>
      <c r="F819" s="57" t="str">
        <f aca="false">IF(A819="","",INDEX(הגדרות!$H$16:$H$27,MONTH(A819)))</f>
        <v/>
      </c>
    </row>
    <row r="820" customFormat="false" ht="15" hidden="false" customHeight="false" outlineLevel="0" collapsed="false">
      <c r="A820" s="50"/>
      <c r="B820" s="51"/>
      <c r="C820" s="52" t="str">
        <f aca="false">IF(B820="","",IFERROR(INDEX(הגדרות!$A$8:$A$53,MATCH(B820,הגדרות!$B$8:$B$53,0)),"⚠ לא בהגדרות"))</f>
        <v/>
      </c>
      <c r="D820" s="51"/>
      <c r="E820" s="53"/>
      <c r="F820" s="52" t="str">
        <f aca="false">IF(A820="","",INDEX(הגדרות!$H$16:$H$27,MONTH(A820)))</f>
        <v/>
      </c>
    </row>
    <row r="821" customFormat="false" ht="15" hidden="false" customHeight="false" outlineLevel="0" collapsed="false">
      <c r="A821" s="55"/>
      <c r="B821" s="56"/>
      <c r="C821" s="57" t="str">
        <f aca="false">IF(B821="","",IFERROR(INDEX(הגדרות!$A$8:$A$53,MATCH(B821,הגדרות!$B$8:$B$53,0)),"⚠ לא בהגדרות"))</f>
        <v/>
      </c>
      <c r="D821" s="56"/>
      <c r="E821" s="58"/>
      <c r="F821" s="57" t="str">
        <f aca="false">IF(A821="","",INDEX(הגדרות!$H$16:$H$27,MONTH(A821)))</f>
        <v/>
      </c>
    </row>
    <row r="822" customFormat="false" ht="15" hidden="false" customHeight="false" outlineLevel="0" collapsed="false">
      <c r="A822" s="50"/>
      <c r="B822" s="51"/>
      <c r="C822" s="52" t="str">
        <f aca="false">IF(B822="","",IFERROR(INDEX(הגדרות!$A$8:$A$53,MATCH(B822,הגדרות!$B$8:$B$53,0)),"⚠ לא בהגדרות"))</f>
        <v/>
      </c>
      <c r="D822" s="51"/>
      <c r="E822" s="53"/>
      <c r="F822" s="52" t="str">
        <f aca="false">IF(A822="","",INDEX(הגדרות!$H$16:$H$27,MONTH(A822)))</f>
        <v/>
      </c>
    </row>
    <row r="823" customFormat="false" ht="15" hidden="false" customHeight="false" outlineLevel="0" collapsed="false">
      <c r="A823" s="55"/>
      <c r="B823" s="56"/>
      <c r="C823" s="57" t="str">
        <f aca="false">IF(B823="","",IFERROR(INDEX(הגדרות!$A$8:$A$53,MATCH(B823,הגדרות!$B$8:$B$53,0)),"⚠ לא בהגדרות"))</f>
        <v/>
      </c>
      <c r="D823" s="56"/>
      <c r="E823" s="58"/>
      <c r="F823" s="57" t="str">
        <f aca="false">IF(A823="","",INDEX(הגדרות!$H$16:$H$27,MONTH(A823)))</f>
        <v/>
      </c>
    </row>
    <row r="824" customFormat="false" ht="15" hidden="false" customHeight="false" outlineLevel="0" collapsed="false">
      <c r="A824" s="50"/>
      <c r="B824" s="51"/>
      <c r="C824" s="52" t="str">
        <f aca="false">IF(B824="","",IFERROR(INDEX(הגדרות!$A$8:$A$53,MATCH(B824,הגדרות!$B$8:$B$53,0)),"⚠ לא בהגדרות"))</f>
        <v/>
      </c>
      <c r="D824" s="51"/>
      <c r="E824" s="53"/>
      <c r="F824" s="52" t="str">
        <f aca="false">IF(A824="","",INDEX(הגדרות!$H$16:$H$27,MONTH(A824)))</f>
        <v/>
      </c>
    </row>
    <row r="825" customFormat="false" ht="15" hidden="false" customHeight="false" outlineLevel="0" collapsed="false">
      <c r="A825" s="55"/>
      <c r="B825" s="56"/>
      <c r="C825" s="57" t="str">
        <f aca="false">IF(B825="","",IFERROR(INDEX(הגדרות!$A$8:$A$53,MATCH(B825,הגדרות!$B$8:$B$53,0)),"⚠ לא בהגדרות"))</f>
        <v/>
      </c>
      <c r="D825" s="56"/>
      <c r="E825" s="58"/>
      <c r="F825" s="57" t="str">
        <f aca="false">IF(A825="","",INDEX(הגדרות!$H$16:$H$27,MONTH(A825)))</f>
        <v/>
      </c>
    </row>
    <row r="826" customFormat="false" ht="15" hidden="false" customHeight="false" outlineLevel="0" collapsed="false">
      <c r="A826" s="50"/>
      <c r="B826" s="51"/>
      <c r="C826" s="52" t="str">
        <f aca="false">IF(B826="","",IFERROR(INDEX(הגדרות!$A$8:$A$53,MATCH(B826,הגדרות!$B$8:$B$53,0)),"⚠ לא בהגדרות"))</f>
        <v/>
      </c>
      <c r="D826" s="51"/>
      <c r="E826" s="53"/>
      <c r="F826" s="52" t="str">
        <f aca="false">IF(A826="","",INDEX(הגדרות!$H$16:$H$27,MONTH(A826)))</f>
        <v/>
      </c>
    </row>
    <row r="827" customFormat="false" ht="15" hidden="false" customHeight="false" outlineLevel="0" collapsed="false">
      <c r="A827" s="55"/>
      <c r="B827" s="56"/>
      <c r="C827" s="57" t="str">
        <f aca="false">IF(B827="","",IFERROR(INDEX(הגדרות!$A$8:$A$53,MATCH(B827,הגדרות!$B$8:$B$53,0)),"⚠ לא בהגדרות"))</f>
        <v/>
      </c>
      <c r="D827" s="56"/>
      <c r="E827" s="58"/>
      <c r="F827" s="57" t="str">
        <f aca="false">IF(A827="","",INDEX(הגדרות!$H$16:$H$27,MONTH(A827)))</f>
        <v/>
      </c>
    </row>
    <row r="828" customFormat="false" ht="15" hidden="false" customHeight="false" outlineLevel="0" collapsed="false">
      <c r="A828" s="50"/>
      <c r="B828" s="51"/>
      <c r="C828" s="52" t="str">
        <f aca="false">IF(B828="","",IFERROR(INDEX(הגדרות!$A$8:$A$53,MATCH(B828,הגדרות!$B$8:$B$53,0)),"⚠ לא בהגדרות"))</f>
        <v/>
      </c>
      <c r="D828" s="51"/>
      <c r="E828" s="53"/>
      <c r="F828" s="52" t="str">
        <f aca="false">IF(A828="","",INDEX(הגדרות!$H$16:$H$27,MONTH(A828)))</f>
        <v/>
      </c>
    </row>
    <row r="829" customFormat="false" ht="15" hidden="false" customHeight="false" outlineLevel="0" collapsed="false">
      <c r="A829" s="55"/>
      <c r="B829" s="56"/>
      <c r="C829" s="57" t="str">
        <f aca="false">IF(B829="","",IFERROR(INDEX(הגדרות!$A$8:$A$53,MATCH(B829,הגדרות!$B$8:$B$53,0)),"⚠ לא בהגדרות"))</f>
        <v/>
      </c>
      <c r="D829" s="56"/>
      <c r="E829" s="58"/>
      <c r="F829" s="57" t="str">
        <f aca="false">IF(A829="","",INDEX(הגדרות!$H$16:$H$27,MONTH(A829)))</f>
        <v/>
      </c>
    </row>
    <row r="830" customFormat="false" ht="15" hidden="false" customHeight="false" outlineLevel="0" collapsed="false">
      <c r="A830" s="50"/>
      <c r="B830" s="51"/>
      <c r="C830" s="52" t="str">
        <f aca="false">IF(B830="","",IFERROR(INDEX(הגדרות!$A$8:$A$53,MATCH(B830,הגדרות!$B$8:$B$53,0)),"⚠ לא בהגדרות"))</f>
        <v/>
      </c>
      <c r="D830" s="51"/>
      <c r="E830" s="53"/>
      <c r="F830" s="52" t="str">
        <f aca="false">IF(A830="","",INDEX(הגדרות!$H$16:$H$27,MONTH(A830)))</f>
        <v/>
      </c>
    </row>
    <row r="831" customFormat="false" ht="15" hidden="false" customHeight="false" outlineLevel="0" collapsed="false">
      <c r="A831" s="55"/>
      <c r="B831" s="56"/>
      <c r="C831" s="57" t="str">
        <f aca="false">IF(B831="","",IFERROR(INDEX(הגדרות!$A$8:$A$53,MATCH(B831,הגדרות!$B$8:$B$53,0)),"⚠ לא בהגדרות"))</f>
        <v/>
      </c>
      <c r="D831" s="56"/>
      <c r="E831" s="58"/>
      <c r="F831" s="57" t="str">
        <f aca="false">IF(A831="","",INDEX(הגדרות!$H$16:$H$27,MONTH(A831)))</f>
        <v/>
      </c>
    </row>
    <row r="832" customFormat="false" ht="15" hidden="false" customHeight="false" outlineLevel="0" collapsed="false">
      <c r="A832" s="50"/>
      <c r="B832" s="51"/>
      <c r="C832" s="52" t="str">
        <f aca="false">IF(B832="","",IFERROR(INDEX(הגדרות!$A$8:$A$53,MATCH(B832,הגדרות!$B$8:$B$53,0)),"⚠ לא בהגדרות"))</f>
        <v/>
      </c>
      <c r="D832" s="51"/>
      <c r="E832" s="53"/>
      <c r="F832" s="52" t="str">
        <f aca="false">IF(A832="","",INDEX(הגדרות!$H$16:$H$27,MONTH(A832)))</f>
        <v/>
      </c>
    </row>
    <row r="833" customFormat="false" ht="15" hidden="false" customHeight="false" outlineLevel="0" collapsed="false">
      <c r="A833" s="55"/>
      <c r="B833" s="56"/>
      <c r="C833" s="57" t="str">
        <f aca="false">IF(B833="","",IFERROR(INDEX(הגדרות!$A$8:$A$53,MATCH(B833,הגדרות!$B$8:$B$53,0)),"⚠ לא בהגדרות"))</f>
        <v/>
      </c>
      <c r="D833" s="56"/>
      <c r="E833" s="58"/>
      <c r="F833" s="57" t="str">
        <f aca="false">IF(A833="","",INDEX(הגדרות!$H$16:$H$27,MONTH(A833)))</f>
        <v/>
      </c>
    </row>
    <row r="834" customFormat="false" ht="15" hidden="false" customHeight="false" outlineLevel="0" collapsed="false">
      <c r="A834" s="50"/>
      <c r="B834" s="51"/>
      <c r="C834" s="52" t="str">
        <f aca="false">IF(B834="","",IFERROR(INDEX(הגדרות!$A$8:$A$53,MATCH(B834,הגדרות!$B$8:$B$53,0)),"⚠ לא בהגדרות"))</f>
        <v/>
      </c>
      <c r="D834" s="51"/>
      <c r="E834" s="53"/>
      <c r="F834" s="52" t="str">
        <f aca="false">IF(A834="","",INDEX(הגדרות!$H$16:$H$27,MONTH(A834)))</f>
        <v/>
      </c>
    </row>
    <row r="835" customFormat="false" ht="15" hidden="false" customHeight="false" outlineLevel="0" collapsed="false">
      <c r="A835" s="55"/>
      <c r="B835" s="56"/>
      <c r="C835" s="57" t="str">
        <f aca="false">IF(B835="","",IFERROR(INDEX(הגדרות!$A$8:$A$53,MATCH(B835,הגדרות!$B$8:$B$53,0)),"⚠ לא בהגדרות"))</f>
        <v/>
      </c>
      <c r="D835" s="56"/>
      <c r="E835" s="58"/>
      <c r="F835" s="57" t="str">
        <f aca="false">IF(A835="","",INDEX(הגדרות!$H$16:$H$27,MONTH(A835)))</f>
        <v/>
      </c>
    </row>
    <row r="836" customFormat="false" ht="15" hidden="false" customHeight="false" outlineLevel="0" collapsed="false">
      <c r="A836" s="50"/>
      <c r="B836" s="51"/>
      <c r="C836" s="52" t="str">
        <f aca="false">IF(B836="","",IFERROR(INDEX(הגדרות!$A$8:$A$53,MATCH(B836,הגדרות!$B$8:$B$53,0)),"⚠ לא בהגדרות"))</f>
        <v/>
      </c>
      <c r="D836" s="51"/>
      <c r="E836" s="53"/>
      <c r="F836" s="52" t="str">
        <f aca="false">IF(A836="","",INDEX(הגדרות!$H$16:$H$27,MONTH(A836)))</f>
        <v/>
      </c>
    </row>
    <row r="837" customFormat="false" ht="15" hidden="false" customHeight="false" outlineLevel="0" collapsed="false">
      <c r="A837" s="55"/>
      <c r="B837" s="56"/>
      <c r="C837" s="57" t="str">
        <f aca="false">IF(B837="","",IFERROR(INDEX(הגדרות!$A$8:$A$53,MATCH(B837,הגדרות!$B$8:$B$53,0)),"⚠ לא בהגדרות"))</f>
        <v/>
      </c>
      <c r="D837" s="56"/>
      <c r="E837" s="58"/>
      <c r="F837" s="57" t="str">
        <f aca="false">IF(A837="","",INDEX(הגדרות!$H$16:$H$27,MONTH(A837)))</f>
        <v/>
      </c>
    </row>
    <row r="838" customFormat="false" ht="15" hidden="false" customHeight="false" outlineLevel="0" collapsed="false">
      <c r="A838" s="50"/>
      <c r="B838" s="51"/>
      <c r="C838" s="52" t="str">
        <f aca="false">IF(B838="","",IFERROR(INDEX(הגדרות!$A$8:$A$53,MATCH(B838,הגדרות!$B$8:$B$53,0)),"⚠ לא בהגדרות"))</f>
        <v/>
      </c>
      <c r="D838" s="51"/>
      <c r="E838" s="53"/>
      <c r="F838" s="52" t="str">
        <f aca="false">IF(A838="","",INDEX(הגדרות!$H$16:$H$27,MONTH(A838)))</f>
        <v/>
      </c>
    </row>
    <row r="839" customFormat="false" ht="15" hidden="false" customHeight="false" outlineLevel="0" collapsed="false">
      <c r="A839" s="55"/>
      <c r="B839" s="56"/>
      <c r="C839" s="57" t="str">
        <f aca="false">IF(B839="","",IFERROR(INDEX(הגדרות!$A$8:$A$53,MATCH(B839,הגדרות!$B$8:$B$53,0)),"⚠ לא בהגדרות"))</f>
        <v/>
      </c>
      <c r="D839" s="56"/>
      <c r="E839" s="58"/>
      <c r="F839" s="57" t="str">
        <f aca="false">IF(A839="","",INDEX(הגדרות!$H$16:$H$27,MONTH(A839)))</f>
        <v/>
      </c>
    </row>
    <row r="840" customFormat="false" ht="15" hidden="false" customHeight="false" outlineLevel="0" collapsed="false">
      <c r="A840" s="50"/>
      <c r="B840" s="51"/>
      <c r="C840" s="52" t="str">
        <f aca="false">IF(B840="","",IFERROR(INDEX(הגדרות!$A$8:$A$53,MATCH(B840,הגדרות!$B$8:$B$53,0)),"⚠ לא בהגדרות"))</f>
        <v/>
      </c>
      <c r="D840" s="51"/>
      <c r="E840" s="53"/>
      <c r="F840" s="52" t="str">
        <f aca="false">IF(A840="","",INDEX(הגדרות!$H$16:$H$27,MONTH(A840)))</f>
        <v/>
      </c>
    </row>
    <row r="841" customFormat="false" ht="15" hidden="false" customHeight="false" outlineLevel="0" collapsed="false">
      <c r="A841" s="55"/>
      <c r="B841" s="56"/>
      <c r="C841" s="57" t="str">
        <f aca="false">IF(B841="","",IFERROR(INDEX(הגדרות!$A$8:$A$53,MATCH(B841,הגדרות!$B$8:$B$53,0)),"⚠ לא בהגדרות"))</f>
        <v/>
      </c>
      <c r="D841" s="56"/>
      <c r="E841" s="58"/>
      <c r="F841" s="57" t="str">
        <f aca="false">IF(A841="","",INDEX(הגדרות!$H$16:$H$27,MONTH(A841)))</f>
        <v/>
      </c>
    </row>
    <row r="842" customFormat="false" ht="15" hidden="false" customHeight="false" outlineLevel="0" collapsed="false">
      <c r="A842" s="50"/>
      <c r="B842" s="51"/>
      <c r="C842" s="52" t="str">
        <f aca="false">IF(B842="","",IFERROR(INDEX(הגדרות!$A$8:$A$53,MATCH(B842,הגדרות!$B$8:$B$53,0)),"⚠ לא בהגדרות"))</f>
        <v/>
      </c>
      <c r="D842" s="51"/>
      <c r="E842" s="53"/>
      <c r="F842" s="52" t="str">
        <f aca="false">IF(A842="","",INDEX(הגדרות!$H$16:$H$27,MONTH(A842)))</f>
        <v/>
      </c>
    </row>
    <row r="843" customFormat="false" ht="15" hidden="false" customHeight="false" outlineLevel="0" collapsed="false">
      <c r="A843" s="55"/>
      <c r="B843" s="56"/>
      <c r="C843" s="57" t="str">
        <f aca="false">IF(B843="","",IFERROR(INDEX(הגדרות!$A$8:$A$53,MATCH(B843,הגדרות!$B$8:$B$53,0)),"⚠ לא בהגדרות"))</f>
        <v/>
      </c>
      <c r="D843" s="56"/>
      <c r="E843" s="58"/>
      <c r="F843" s="57" t="str">
        <f aca="false">IF(A843="","",INDEX(הגדרות!$H$16:$H$27,MONTH(A843)))</f>
        <v/>
      </c>
    </row>
    <row r="844" customFormat="false" ht="15" hidden="false" customHeight="false" outlineLevel="0" collapsed="false">
      <c r="A844" s="50"/>
      <c r="B844" s="51"/>
      <c r="C844" s="52" t="str">
        <f aca="false">IF(B844="","",IFERROR(INDEX(הגדרות!$A$8:$A$53,MATCH(B844,הגדרות!$B$8:$B$53,0)),"⚠ לא בהגדרות"))</f>
        <v/>
      </c>
      <c r="D844" s="51"/>
      <c r="E844" s="53"/>
      <c r="F844" s="52" t="str">
        <f aca="false">IF(A844="","",INDEX(הגדרות!$H$16:$H$27,MONTH(A844)))</f>
        <v/>
      </c>
    </row>
    <row r="845" customFormat="false" ht="15" hidden="false" customHeight="false" outlineLevel="0" collapsed="false">
      <c r="A845" s="55"/>
      <c r="B845" s="56"/>
      <c r="C845" s="57" t="str">
        <f aca="false">IF(B845="","",IFERROR(INDEX(הגדרות!$A$8:$A$53,MATCH(B845,הגדרות!$B$8:$B$53,0)),"⚠ לא בהגדרות"))</f>
        <v/>
      </c>
      <c r="D845" s="56"/>
      <c r="E845" s="58"/>
      <c r="F845" s="57" t="str">
        <f aca="false">IF(A845="","",INDEX(הגדרות!$H$16:$H$27,MONTH(A845)))</f>
        <v/>
      </c>
    </row>
    <row r="846" customFormat="false" ht="15" hidden="false" customHeight="false" outlineLevel="0" collapsed="false">
      <c r="A846" s="50"/>
      <c r="B846" s="51"/>
      <c r="C846" s="52" t="str">
        <f aca="false">IF(B846="","",IFERROR(INDEX(הגדרות!$A$8:$A$53,MATCH(B846,הגדרות!$B$8:$B$53,0)),"⚠ לא בהגדרות"))</f>
        <v/>
      </c>
      <c r="D846" s="51"/>
      <c r="E846" s="53"/>
      <c r="F846" s="52" t="str">
        <f aca="false">IF(A846="","",INDEX(הגדרות!$H$16:$H$27,MONTH(A846)))</f>
        <v/>
      </c>
    </row>
    <row r="847" customFormat="false" ht="15" hidden="false" customHeight="false" outlineLevel="0" collapsed="false">
      <c r="A847" s="55"/>
      <c r="B847" s="56"/>
      <c r="C847" s="57" t="str">
        <f aca="false">IF(B847="","",IFERROR(INDEX(הגדרות!$A$8:$A$53,MATCH(B847,הגדרות!$B$8:$B$53,0)),"⚠ לא בהגדרות"))</f>
        <v/>
      </c>
      <c r="D847" s="56"/>
      <c r="E847" s="58"/>
      <c r="F847" s="57" t="str">
        <f aca="false">IF(A847="","",INDEX(הגדרות!$H$16:$H$27,MONTH(A847)))</f>
        <v/>
      </c>
    </row>
    <row r="848" customFormat="false" ht="15" hidden="false" customHeight="false" outlineLevel="0" collapsed="false">
      <c r="A848" s="50"/>
      <c r="B848" s="51"/>
      <c r="C848" s="52" t="str">
        <f aca="false">IF(B848="","",IFERROR(INDEX(הגדרות!$A$8:$A$53,MATCH(B848,הגדרות!$B$8:$B$53,0)),"⚠ לא בהגדרות"))</f>
        <v/>
      </c>
      <c r="D848" s="51"/>
      <c r="E848" s="53"/>
      <c r="F848" s="52" t="str">
        <f aca="false">IF(A848="","",INDEX(הגדרות!$H$16:$H$27,MONTH(A848)))</f>
        <v/>
      </c>
    </row>
    <row r="849" customFormat="false" ht="15" hidden="false" customHeight="false" outlineLevel="0" collapsed="false">
      <c r="A849" s="55"/>
      <c r="B849" s="56"/>
      <c r="C849" s="57" t="str">
        <f aca="false">IF(B849="","",IFERROR(INDEX(הגדרות!$A$8:$A$53,MATCH(B849,הגדרות!$B$8:$B$53,0)),"⚠ לא בהגדרות"))</f>
        <v/>
      </c>
      <c r="D849" s="56"/>
      <c r="E849" s="58"/>
      <c r="F849" s="57" t="str">
        <f aca="false">IF(A849="","",INDEX(הגדרות!$H$16:$H$27,MONTH(A849)))</f>
        <v/>
      </c>
    </row>
    <row r="850" customFormat="false" ht="15" hidden="false" customHeight="false" outlineLevel="0" collapsed="false">
      <c r="A850" s="50"/>
      <c r="B850" s="51"/>
      <c r="C850" s="52" t="str">
        <f aca="false">IF(B850="","",IFERROR(INDEX(הגדרות!$A$8:$A$53,MATCH(B850,הגדרות!$B$8:$B$53,0)),"⚠ לא בהגדרות"))</f>
        <v/>
      </c>
      <c r="D850" s="51"/>
      <c r="E850" s="53"/>
      <c r="F850" s="52" t="str">
        <f aca="false">IF(A850="","",INDEX(הגדרות!$H$16:$H$27,MONTH(A850)))</f>
        <v/>
      </c>
    </row>
    <row r="851" customFormat="false" ht="15" hidden="false" customHeight="false" outlineLevel="0" collapsed="false">
      <c r="A851" s="55"/>
      <c r="B851" s="56"/>
      <c r="C851" s="57" t="str">
        <f aca="false">IF(B851="","",IFERROR(INDEX(הגדרות!$A$8:$A$53,MATCH(B851,הגדרות!$B$8:$B$53,0)),"⚠ לא בהגדרות"))</f>
        <v/>
      </c>
      <c r="D851" s="56"/>
      <c r="E851" s="58"/>
      <c r="F851" s="57" t="str">
        <f aca="false">IF(A851="","",INDEX(הגדרות!$H$16:$H$27,MONTH(A851)))</f>
        <v/>
      </c>
    </row>
    <row r="852" customFormat="false" ht="15" hidden="false" customHeight="false" outlineLevel="0" collapsed="false">
      <c r="A852" s="50"/>
      <c r="B852" s="51"/>
      <c r="C852" s="52" t="str">
        <f aca="false">IF(B852="","",IFERROR(INDEX(הגדרות!$A$8:$A$53,MATCH(B852,הגדרות!$B$8:$B$53,0)),"⚠ לא בהגדרות"))</f>
        <v/>
      </c>
      <c r="D852" s="51"/>
      <c r="E852" s="53"/>
      <c r="F852" s="52" t="str">
        <f aca="false">IF(A852="","",INDEX(הגדרות!$H$16:$H$27,MONTH(A852)))</f>
        <v/>
      </c>
    </row>
    <row r="853" customFormat="false" ht="15" hidden="false" customHeight="false" outlineLevel="0" collapsed="false">
      <c r="A853" s="55"/>
      <c r="B853" s="56"/>
      <c r="C853" s="57" t="str">
        <f aca="false">IF(B853="","",IFERROR(INDEX(הגדרות!$A$8:$A$53,MATCH(B853,הגדרות!$B$8:$B$53,0)),"⚠ לא בהגדרות"))</f>
        <v/>
      </c>
      <c r="D853" s="56"/>
      <c r="E853" s="58"/>
      <c r="F853" s="57" t="str">
        <f aca="false">IF(A853="","",INDEX(הגדרות!$H$16:$H$27,MONTH(A853)))</f>
        <v/>
      </c>
    </row>
    <row r="854" customFormat="false" ht="15" hidden="false" customHeight="false" outlineLevel="0" collapsed="false">
      <c r="A854" s="50"/>
      <c r="B854" s="51"/>
      <c r="C854" s="52" t="str">
        <f aca="false">IF(B854="","",IFERROR(INDEX(הגדרות!$A$8:$A$53,MATCH(B854,הגדרות!$B$8:$B$53,0)),"⚠ לא בהגדרות"))</f>
        <v/>
      </c>
      <c r="D854" s="51"/>
      <c r="E854" s="53"/>
      <c r="F854" s="52" t="str">
        <f aca="false">IF(A854="","",INDEX(הגדרות!$H$16:$H$27,MONTH(A854)))</f>
        <v/>
      </c>
    </row>
    <row r="855" customFormat="false" ht="15" hidden="false" customHeight="false" outlineLevel="0" collapsed="false">
      <c r="A855" s="55"/>
      <c r="B855" s="56"/>
      <c r="C855" s="57" t="str">
        <f aca="false">IF(B855="","",IFERROR(INDEX(הגדרות!$A$8:$A$53,MATCH(B855,הגדרות!$B$8:$B$53,0)),"⚠ לא בהגדרות"))</f>
        <v/>
      </c>
      <c r="D855" s="56"/>
      <c r="E855" s="58"/>
      <c r="F855" s="57" t="str">
        <f aca="false">IF(A855="","",INDEX(הגדרות!$H$16:$H$27,MONTH(A855)))</f>
        <v/>
      </c>
    </row>
    <row r="856" customFormat="false" ht="15" hidden="false" customHeight="false" outlineLevel="0" collapsed="false">
      <c r="A856" s="50"/>
      <c r="B856" s="51"/>
      <c r="C856" s="52" t="str">
        <f aca="false">IF(B856="","",IFERROR(INDEX(הגדרות!$A$8:$A$53,MATCH(B856,הגדרות!$B$8:$B$53,0)),"⚠ לא בהגדרות"))</f>
        <v/>
      </c>
      <c r="D856" s="51"/>
      <c r="E856" s="53"/>
      <c r="F856" s="52" t="str">
        <f aca="false">IF(A856="","",INDEX(הגדרות!$H$16:$H$27,MONTH(A856)))</f>
        <v/>
      </c>
    </row>
    <row r="857" customFormat="false" ht="15" hidden="false" customHeight="false" outlineLevel="0" collapsed="false">
      <c r="A857" s="55"/>
      <c r="B857" s="56"/>
      <c r="C857" s="57" t="str">
        <f aca="false">IF(B857="","",IFERROR(INDEX(הגדרות!$A$8:$A$53,MATCH(B857,הגדרות!$B$8:$B$53,0)),"⚠ לא בהגדרות"))</f>
        <v/>
      </c>
      <c r="D857" s="56"/>
      <c r="E857" s="58"/>
      <c r="F857" s="57" t="str">
        <f aca="false">IF(A857="","",INDEX(הגדרות!$H$16:$H$27,MONTH(A857)))</f>
        <v/>
      </c>
    </row>
    <row r="858" customFormat="false" ht="15" hidden="false" customHeight="false" outlineLevel="0" collapsed="false">
      <c r="A858" s="50"/>
      <c r="B858" s="51"/>
      <c r="C858" s="52" t="str">
        <f aca="false">IF(B858="","",IFERROR(INDEX(הגדרות!$A$8:$A$53,MATCH(B858,הגדרות!$B$8:$B$53,0)),"⚠ לא בהגדרות"))</f>
        <v/>
      </c>
      <c r="D858" s="51"/>
      <c r="E858" s="53"/>
      <c r="F858" s="52" t="str">
        <f aca="false">IF(A858="","",INDEX(הגדרות!$H$16:$H$27,MONTH(A858)))</f>
        <v/>
      </c>
    </row>
    <row r="859" customFormat="false" ht="15" hidden="false" customHeight="false" outlineLevel="0" collapsed="false">
      <c r="A859" s="55"/>
      <c r="B859" s="56"/>
      <c r="C859" s="57" t="str">
        <f aca="false">IF(B859="","",IFERROR(INDEX(הגדרות!$A$8:$A$53,MATCH(B859,הגדרות!$B$8:$B$53,0)),"⚠ לא בהגדרות"))</f>
        <v/>
      </c>
      <c r="D859" s="56"/>
      <c r="E859" s="58"/>
      <c r="F859" s="57" t="str">
        <f aca="false">IF(A859="","",INDEX(הגדרות!$H$16:$H$27,MONTH(A859)))</f>
        <v/>
      </c>
    </row>
    <row r="860" customFormat="false" ht="15" hidden="false" customHeight="false" outlineLevel="0" collapsed="false">
      <c r="A860" s="50"/>
      <c r="B860" s="51"/>
      <c r="C860" s="52" t="str">
        <f aca="false">IF(B860="","",IFERROR(INDEX(הגדרות!$A$8:$A$53,MATCH(B860,הגדרות!$B$8:$B$53,0)),"⚠ לא בהגדרות"))</f>
        <v/>
      </c>
      <c r="D860" s="51"/>
      <c r="E860" s="53"/>
      <c r="F860" s="52" t="str">
        <f aca="false">IF(A860="","",INDEX(הגדרות!$H$16:$H$27,MONTH(A860)))</f>
        <v/>
      </c>
    </row>
    <row r="861" customFormat="false" ht="15" hidden="false" customHeight="false" outlineLevel="0" collapsed="false">
      <c r="A861" s="55"/>
      <c r="B861" s="56"/>
      <c r="C861" s="57" t="str">
        <f aca="false">IF(B861="","",IFERROR(INDEX(הגדרות!$A$8:$A$53,MATCH(B861,הגדרות!$B$8:$B$53,0)),"⚠ לא בהגדרות"))</f>
        <v/>
      </c>
      <c r="D861" s="56"/>
      <c r="E861" s="58"/>
      <c r="F861" s="57" t="str">
        <f aca="false">IF(A861="","",INDEX(הגדרות!$H$16:$H$27,MONTH(A861)))</f>
        <v/>
      </c>
    </row>
    <row r="862" customFormat="false" ht="15" hidden="false" customHeight="false" outlineLevel="0" collapsed="false">
      <c r="A862" s="50"/>
      <c r="B862" s="51"/>
      <c r="C862" s="52" t="str">
        <f aca="false">IF(B862="","",IFERROR(INDEX(הגדרות!$A$8:$A$53,MATCH(B862,הגדרות!$B$8:$B$53,0)),"⚠ לא בהגדרות"))</f>
        <v/>
      </c>
      <c r="D862" s="51"/>
      <c r="E862" s="53"/>
      <c r="F862" s="52" t="str">
        <f aca="false">IF(A862="","",INDEX(הגדרות!$H$16:$H$27,MONTH(A862)))</f>
        <v/>
      </c>
    </row>
    <row r="863" customFormat="false" ht="15" hidden="false" customHeight="false" outlineLevel="0" collapsed="false">
      <c r="A863" s="55"/>
      <c r="B863" s="56"/>
      <c r="C863" s="57" t="str">
        <f aca="false">IF(B863="","",IFERROR(INDEX(הגדרות!$A$8:$A$53,MATCH(B863,הגדרות!$B$8:$B$53,0)),"⚠ לא בהגדרות"))</f>
        <v/>
      </c>
      <c r="D863" s="56"/>
      <c r="E863" s="58"/>
      <c r="F863" s="57" t="str">
        <f aca="false">IF(A863="","",INDEX(הגדרות!$H$16:$H$27,MONTH(A863)))</f>
        <v/>
      </c>
    </row>
    <row r="864" customFormat="false" ht="15" hidden="false" customHeight="false" outlineLevel="0" collapsed="false">
      <c r="A864" s="50"/>
      <c r="B864" s="51"/>
      <c r="C864" s="52" t="str">
        <f aca="false">IF(B864="","",IFERROR(INDEX(הגדרות!$A$8:$A$53,MATCH(B864,הגדרות!$B$8:$B$53,0)),"⚠ לא בהגדרות"))</f>
        <v/>
      </c>
      <c r="D864" s="51"/>
      <c r="E864" s="53"/>
      <c r="F864" s="52" t="str">
        <f aca="false">IF(A864="","",INDEX(הגדרות!$H$16:$H$27,MONTH(A864)))</f>
        <v/>
      </c>
    </row>
    <row r="865" customFormat="false" ht="15" hidden="false" customHeight="false" outlineLevel="0" collapsed="false">
      <c r="A865" s="55"/>
      <c r="B865" s="56"/>
      <c r="C865" s="57" t="str">
        <f aca="false">IF(B865="","",IFERROR(INDEX(הגדרות!$A$8:$A$53,MATCH(B865,הגדרות!$B$8:$B$53,0)),"⚠ לא בהגדרות"))</f>
        <v/>
      </c>
      <c r="D865" s="56"/>
      <c r="E865" s="58"/>
      <c r="F865" s="57" t="str">
        <f aca="false">IF(A865="","",INDEX(הגדרות!$H$16:$H$27,MONTH(A865)))</f>
        <v/>
      </c>
    </row>
    <row r="866" customFormat="false" ht="15" hidden="false" customHeight="false" outlineLevel="0" collapsed="false">
      <c r="A866" s="50"/>
      <c r="B866" s="51"/>
      <c r="C866" s="52" t="str">
        <f aca="false">IF(B866="","",IFERROR(INDEX(הגדרות!$A$8:$A$53,MATCH(B866,הגדרות!$B$8:$B$53,0)),"⚠ לא בהגדרות"))</f>
        <v/>
      </c>
      <c r="D866" s="51"/>
      <c r="E866" s="53"/>
      <c r="F866" s="52" t="str">
        <f aca="false">IF(A866="","",INDEX(הגדרות!$H$16:$H$27,MONTH(A866)))</f>
        <v/>
      </c>
    </row>
    <row r="867" customFormat="false" ht="15" hidden="false" customHeight="false" outlineLevel="0" collapsed="false">
      <c r="A867" s="55"/>
      <c r="B867" s="56"/>
      <c r="C867" s="57" t="str">
        <f aca="false">IF(B867="","",IFERROR(INDEX(הגדרות!$A$8:$A$53,MATCH(B867,הגדרות!$B$8:$B$53,0)),"⚠ לא בהגדרות"))</f>
        <v/>
      </c>
      <c r="D867" s="56"/>
      <c r="E867" s="58"/>
      <c r="F867" s="57" t="str">
        <f aca="false">IF(A867="","",INDEX(הגדרות!$H$16:$H$27,MONTH(A867)))</f>
        <v/>
      </c>
    </row>
    <row r="868" customFormat="false" ht="15" hidden="false" customHeight="false" outlineLevel="0" collapsed="false">
      <c r="A868" s="50"/>
      <c r="B868" s="51"/>
      <c r="C868" s="52" t="str">
        <f aca="false">IF(B868="","",IFERROR(INDEX(הגדרות!$A$8:$A$53,MATCH(B868,הגדרות!$B$8:$B$53,0)),"⚠ לא בהגדרות"))</f>
        <v/>
      </c>
      <c r="D868" s="51"/>
      <c r="E868" s="53"/>
      <c r="F868" s="52" t="str">
        <f aca="false">IF(A868="","",INDEX(הגדרות!$H$16:$H$27,MONTH(A868)))</f>
        <v/>
      </c>
    </row>
    <row r="869" customFormat="false" ht="15" hidden="false" customHeight="false" outlineLevel="0" collapsed="false">
      <c r="A869" s="55"/>
      <c r="B869" s="56"/>
      <c r="C869" s="57" t="str">
        <f aca="false">IF(B869="","",IFERROR(INDEX(הגדרות!$A$8:$A$53,MATCH(B869,הגדרות!$B$8:$B$53,0)),"⚠ לא בהגדרות"))</f>
        <v/>
      </c>
      <c r="D869" s="56"/>
      <c r="E869" s="58"/>
      <c r="F869" s="57" t="str">
        <f aca="false">IF(A869="","",INDEX(הגדרות!$H$16:$H$27,MONTH(A869)))</f>
        <v/>
      </c>
    </row>
    <row r="870" customFormat="false" ht="15" hidden="false" customHeight="false" outlineLevel="0" collapsed="false">
      <c r="A870" s="50"/>
      <c r="B870" s="51"/>
      <c r="C870" s="52" t="str">
        <f aca="false">IF(B870="","",IFERROR(INDEX(הגדרות!$A$8:$A$53,MATCH(B870,הגדרות!$B$8:$B$53,0)),"⚠ לא בהגדרות"))</f>
        <v/>
      </c>
      <c r="D870" s="51"/>
      <c r="E870" s="53"/>
      <c r="F870" s="52" t="str">
        <f aca="false">IF(A870="","",INDEX(הגדרות!$H$16:$H$27,MONTH(A870)))</f>
        <v/>
      </c>
    </row>
    <row r="871" customFormat="false" ht="15" hidden="false" customHeight="false" outlineLevel="0" collapsed="false">
      <c r="A871" s="55"/>
      <c r="B871" s="56"/>
      <c r="C871" s="57" t="str">
        <f aca="false">IF(B871="","",IFERROR(INDEX(הגדרות!$A$8:$A$53,MATCH(B871,הגדרות!$B$8:$B$53,0)),"⚠ לא בהגדרות"))</f>
        <v/>
      </c>
      <c r="D871" s="56"/>
      <c r="E871" s="58"/>
      <c r="F871" s="57" t="str">
        <f aca="false">IF(A871="","",INDEX(הגדרות!$H$16:$H$27,MONTH(A871)))</f>
        <v/>
      </c>
    </row>
    <row r="872" customFormat="false" ht="15" hidden="false" customHeight="false" outlineLevel="0" collapsed="false">
      <c r="A872" s="50"/>
      <c r="B872" s="51"/>
      <c r="C872" s="52" t="str">
        <f aca="false">IF(B872="","",IFERROR(INDEX(הגדרות!$A$8:$A$53,MATCH(B872,הגדרות!$B$8:$B$53,0)),"⚠ לא בהגדרות"))</f>
        <v/>
      </c>
      <c r="D872" s="51"/>
      <c r="E872" s="53"/>
      <c r="F872" s="52" t="str">
        <f aca="false">IF(A872="","",INDEX(הגדרות!$H$16:$H$27,MONTH(A872)))</f>
        <v/>
      </c>
    </row>
    <row r="873" customFormat="false" ht="15" hidden="false" customHeight="false" outlineLevel="0" collapsed="false">
      <c r="A873" s="55"/>
      <c r="B873" s="56"/>
      <c r="C873" s="57" t="str">
        <f aca="false">IF(B873="","",IFERROR(INDEX(הגדרות!$A$8:$A$53,MATCH(B873,הגדרות!$B$8:$B$53,0)),"⚠ לא בהגדרות"))</f>
        <v/>
      </c>
      <c r="D873" s="56"/>
      <c r="E873" s="58"/>
      <c r="F873" s="57" t="str">
        <f aca="false">IF(A873="","",INDEX(הגדרות!$H$16:$H$27,MONTH(A873)))</f>
        <v/>
      </c>
    </row>
    <row r="874" customFormat="false" ht="15" hidden="false" customHeight="false" outlineLevel="0" collapsed="false">
      <c r="A874" s="50"/>
      <c r="B874" s="51"/>
      <c r="C874" s="52" t="str">
        <f aca="false">IF(B874="","",IFERROR(INDEX(הגדרות!$A$8:$A$53,MATCH(B874,הגדרות!$B$8:$B$53,0)),"⚠ לא בהגדרות"))</f>
        <v/>
      </c>
      <c r="D874" s="51"/>
      <c r="E874" s="53"/>
      <c r="F874" s="52" t="str">
        <f aca="false">IF(A874="","",INDEX(הגדרות!$H$16:$H$27,MONTH(A874)))</f>
        <v/>
      </c>
    </row>
    <row r="875" customFormat="false" ht="15" hidden="false" customHeight="false" outlineLevel="0" collapsed="false">
      <c r="A875" s="55"/>
      <c r="B875" s="56"/>
      <c r="C875" s="57" t="str">
        <f aca="false">IF(B875="","",IFERROR(INDEX(הגדרות!$A$8:$A$53,MATCH(B875,הגדרות!$B$8:$B$53,0)),"⚠ לא בהגדרות"))</f>
        <v/>
      </c>
      <c r="D875" s="56"/>
      <c r="E875" s="58"/>
      <c r="F875" s="57" t="str">
        <f aca="false">IF(A875="","",INDEX(הגדרות!$H$16:$H$27,MONTH(A875)))</f>
        <v/>
      </c>
    </row>
    <row r="876" customFormat="false" ht="15" hidden="false" customHeight="false" outlineLevel="0" collapsed="false">
      <c r="A876" s="50"/>
      <c r="B876" s="51"/>
      <c r="C876" s="52" t="str">
        <f aca="false">IF(B876="","",IFERROR(INDEX(הגדרות!$A$8:$A$53,MATCH(B876,הגדרות!$B$8:$B$53,0)),"⚠ לא בהגדרות"))</f>
        <v/>
      </c>
      <c r="D876" s="51"/>
      <c r="E876" s="53"/>
      <c r="F876" s="52" t="str">
        <f aca="false">IF(A876="","",INDEX(הגדרות!$H$16:$H$27,MONTH(A876)))</f>
        <v/>
      </c>
    </row>
    <row r="877" customFormat="false" ht="15" hidden="false" customHeight="false" outlineLevel="0" collapsed="false">
      <c r="A877" s="55"/>
      <c r="B877" s="56"/>
      <c r="C877" s="57" t="str">
        <f aca="false">IF(B877="","",IFERROR(INDEX(הגדרות!$A$8:$A$53,MATCH(B877,הגדרות!$B$8:$B$53,0)),"⚠ לא בהגדרות"))</f>
        <v/>
      </c>
      <c r="D877" s="56"/>
      <c r="E877" s="58"/>
      <c r="F877" s="57" t="str">
        <f aca="false">IF(A877="","",INDEX(הגדרות!$H$16:$H$27,MONTH(A877)))</f>
        <v/>
      </c>
    </row>
    <row r="878" customFormat="false" ht="15" hidden="false" customHeight="false" outlineLevel="0" collapsed="false">
      <c r="A878" s="50"/>
      <c r="B878" s="51"/>
      <c r="C878" s="52" t="str">
        <f aca="false">IF(B878="","",IFERROR(INDEX(הגדרות!$A$8:$A$53,MATCH(B878,הגדרות!$B$8:$B$53,0)),"⚠ לא בהגדרות"))</f>
        <v/>
      </c>
      <c r="D878" s="51"/>
      <c r="E878" s="53"/>
      <c r="F878" s="52" t="str">
        <f aca="false">IF(A878="","",INDEX(הגדרות!$H$16:$H$27,MONTH(A878)))</f>
        <v/>
      </c>
    </row>
    <row r="879" customFormat="false" ht="15" hidden="false" customHeight="false" outlineLevel="0" collapsed="false">
      <c r="A879" s="55"/>
      <c r="B879" s="56"/>
      <c r="C879" s="57" t="str">
        <f aca="false">IF(B879="","",IFERROR(INDEX(הגדרות!$A$8:$A$53,MATCH(B879,הגדרות!$B$8:$B$53,0)),"⚠ לא בהגדרות"))</f>
        <v/>
      </c>
      <c r="D879" s="56"/>
      <c r="E879" s="58"/>
      <c r="F879" s="57" t="str">
        <f aca="false">IF(A879="","",INDEX(הגדרות!$H$16:$H$27,MONTH(A879)))</f>
        <v/>
      </c>
    </row>
    <row r="880" customFormat="false" ht="15" hidden="false" customHeight="false" outlineLevel="0" collapsed="false">
      <c r="A880" s="50"/>
      <c r="B880" s="51"/>
      <c r="C880" s="52" t="str">
        <f aca="false">IF(B880="","",IFERROR(INDEX(הגדרות!$A$8:$A$53,MATCH(B880,הגדרות!$B$8:$B$53,0)),"⚠ לא בהגדרות"))</f>
        <v/>
      </c>
      <c r="D880" s="51"/>
      <c r="E880" s="53"/>
      <c r="F880" s="52" t="str">
        <f aca="false">IF(A880="","",INDEX(הגדרות!$H$16:$H$27,MONTH(A880)))</f>
        <v/>
      </c>
    </row>
    <row r="881" customFormat="false" ht="15" hidden="false" customHeight="false" outlineLevel="0" collapsed="false">
      <c r="A881" s="55"/>
      <c r="B881" s="56"/>
      <c r="C881" s="57" t="str">
        <f aca="false">IF(B881="","",IFERROR(INDEX(הגדרות!$A$8:$A$53,MATCH(B881,הגדרות!$B$8:$B$53,0)),"⚠ לא בהגדרות"))</f>
        <v/>
      </c>
      <c r="D881" s="56"/>
      <c r="E881" s="58"/>
      <c r="F881" s="57" t="str">
        <f aca="false">IF(A881="","",INDEX(הגדרות!$H$16:$H$27,MONTH(A881)))</f>
        <v/>
      </c>
    </row>
    <row r="882" customFormat="false" ht="15" hidden="false" customHeight="false" outlineLevel="0" collapsed="false">
      <c r="A882" s="50"/>
      <c r="B882" s="51"/>
      <c r="C882" s="52" t="str">
        <f aca="false">IF(B882="","",IFERROR(INDEX(הגדרות!$A$8:$A$53,MATCH(B882,הגדרות!$B$8:$B$53,0)),"⚠ לא בהגדרות"))</f>
        <v/>
      </c>
      <c r="D882" s="51"/>
      <c r="E882" s="53"/>
      <c r="F882" s="52" t="str">
        <f aca="false">IF(A882="","",INDEX(הגדרות!$H$16:$H$27,MONTH(A882)))</f>
        <v/>
      </c>
    </row>
    <row r="883" customFormat="false" ht="15" hidden="false" customHeight="false" outlineLevel="0" collapsed="false">
      <c r="A883" s="55"/>
      <c r="B883" s="56"/>
      <c r="C883" s="57" t="str">
        <f aca="false">IF(B883="","",IFERROR(INDEX(הגדרות!$A$8:$A$53,MATCH(B883,הגדרות!$B$8:$B$53,0)),"⚠ לא בהגדרות"))</f>
        <v/>
      </c>
      <c r="D883" s="56"/>
      <c r="E883" s="58"/>
      <c r="F883" s="57" t="str">
        <f aca="false">IF(A883="","",INDEX(הגדרות!$H$16:$H$27,MONTH(A883)))</f>
        <v/>
      </c>
    </row>
    <row r="884" customFormat="false" ht="15" hidden="false" customHeight="false" outlineLevel="0" collapsed="false">
      <c r="A884" s="50"/>
      <c r="B884" s="51"/>
      <c r="C884" s="52" t="str">
        <f aca="false">IF(B884="","",IFERROR(INDEX(הגדרות!$A$8:$A$53,MATCH(B884,הגדרות!$B$8:$B$53,0)),"⚠ לא בהגדרות"))</f>
        <v/>
      </c>
      <c r="D884" s="51"/>
      <c r="E884" s="53"/>
      <c r="F884" s="52" t="str">
        <f aca="false">IF(A884="","",INDEX(הגדרות!$H$16:$H$27,MONTH(A884)))</f>
        <v/>
      </c>
    </row>
    <row r="885" customFormat="false" ht="15" hidden="false" customHeight="false" outlineLevel="0" collapsed="false">
      <c r="A885" s="55"/>
      <c r="B885" s="56"/>
      <c r="C885" s="57" t="str">
        <f aca="false">IF(B885="","",IFERROR(INDEX(הגדרות!$A$8:$A$53,MATCH(B885,הגדרות!$B$8:$B$53,0)),"⚠ לא בהגדרות"))</f>
        <v/>
      </c>
      <c r="D885" s="56"/>
      <c r="E885" s="58"/>
      <c r="F885" s="57" t="str">
        <f aca="false">IF(A885="","",INDEX(הגדרות!$H$16:$H$27,MONTH(A885)))</f>
        <v/>
      </c>
    </row>
    <row r="886" customFormat="false" ht="15" hidden="false" customHeight="false" outlineLevel="0" collapsed="false">
      <c r="A886" s="50"/>
      <c r="B886" s="51"/>
      <c r="C886" s="52" t="str">
        <f aca="false">IF(B886="","",IFERROR(INDEX(הגדרות!$A$8:$A$53,MATCH(B886,הגדרות!$B$8:$B$53,0)),"⚠ לא בהגדרות"))</f>
        <v/>
      </c>
      <c r="D886" s="51"/>
      <c r="E886" s="53"/>
      <c r="F886" s="52" t="str">
        <f aca="false">IF(A886="","",INDEX(הגדרות!$H$16:$H$27,MONTH(A886)))</f>
        <v/>
      </c>
    </row>
    <row r="887" customFormat="false" ht="15" hidden="false" customHeight="false" outlineLevel="0" collapsed="false">
      <c r="A887" s="55"/>
      <c r="B887" s="56"/>
      <c r="C887" s="57" t="str">
        <f aca="false">IF(B887="","",IFERROR(INDEX(הגדרות!$A$8:$A$53,MATCH(B887,הגדרות!$B$8:$B$53,0)),"⚠ לא בהגדרות"))</f>
        <v/>
      </c>
      <c r="D887" s="56"/>
      <c r="E887" s="58"/>
      <c r="F887" s="57" t="str">
        <f aca="false">IF(A887="","",INDEX(הגדרות!$H$16:$H$27,MONTH(A887)))</f>
        <v/>
      </c>
    </row>
    <row r="888" customFormat="false" ht="15" hidden="false" customHeight="false" outlineLevel="0" collapsed="false">
      <c r="A888" s="50"/>
      <c r="B888" s="51"/>
      <c r="C888" s="52" t="str">
        <f aca="false">IF(B888="","",IFERROR(INDEX(הגדרות!$A$8:$A$53,MATCH(B888,הגדרות!$B$8:$B$53,0)),"⚠ לא בהגדרות"))</f>
        <v/>
      </c>
      <c r="D888" s="51"/>
      <c r="E888" s="53"/>
      <c r="F888" s="52" t="str">
        <f aca="false">IF(A888="","",INDEX(הגדרות!$H$16:$H$27,MONTH(A888)))</f>
        <v/>
      </c>
    </row>
    <row r="889" customFormat="false" ht="15" hidden="false" customHeight="false" outlineLevel="0" collapsed="false">
      <c r="A889" s="55"/>
      <c r="B889" s="56"/>
      <c r="C889" s="57" t="str">
        <f aca="false">IF(B889="","",IFERROR(INDEX(הגדרות!$A$8:$A$53,MATCH(B889,הגדרות!$B$8:$B$53,0)),"⚠ לא בהגדרות"))</f>
        <v/>
      </c>
      <c r="D889" s="56"/>
      <c r="E889" s="58"/>
      <c r="F889" s="57" t="str">
        <f aca="false">IF(A889="","",INDEX(הגדרות!$H$16:$H$27,MONTH(A889)))</f>
        <v/>
      </c>
    </row>
    <row r="890" customFormat="false" ht="15" hidden="false" customHeight="false" outlineLevel="0" collapsed="false">
      <c r="A890" s="50"/>
      <c r="B890" s="51"/>
      <c r="C890" s="52" t="str">
        <f aca="false">IF(B890="","",IFERROR(INDEX(הגדרות!$A$8:$A$53,MATCH(B890,הגדרות!$B$8:$B$53,0)),"⚠ לא בהגדרות"))</f>
        <v/>
      </c>
      <c r="D890" s="51"/>
      <c r="E890" s="53"/>
      <c r="F890" s="52" t="str">
        <f aca="false">IF(A890="","",INDEX(הגדרות!$H$16:$H$27,MONTH(A890)))</f>
        <v/>
      </c>
    </row>
    <row r="891" customFormat="false" ht="15" hidden="false" customHeight="false" outlineLevel="0" collapsed="false">
      <c r="A891" s="55"/>
      <c r="B891" s="56"/>
      <c r="C891" s="57" t="str">
        <f aca="false">IF(B891="","",IFERROR(INDEX(הגדרות!$A$8:$A$53,MATCH(B891,הגדרות!$B$8:$B$53,0)),"⚠ לא בהגדרות"))</f>
        <v/>
      </c>
      <c r="D891" s="56"/>
      <c r="E891" s="58"/>
      <c r="F891" s="57" t="str">
        <f aca="false">IF(A891="","",INDEX(הגדרות!$H$16:$H$27,MONTH(A891)))</f>
        <v/>
      </c>
    </row>
    <row r="892" customFormat="false" ht="15" hidden="false" customHeight="false" outlineLevel="0" collapsed="false">
      <c r="A892" s="50"/>
      <c r="B892" s="51"/>
      <c r="C892" s="52" t="str">
        <f aca="false">IF(B892="","",IFERROR(INDEX(הגדרות!$A$8:$A$53,MATCH(B892,הגדרות!$B$8:$B$53,0)),"⚠ לא בהגדרות"))</f>
        <v/>
      </c>
      <c r="D892" s="51"/>
      <c r="E892" s="53"/>
      <c r="F892" s="52" t="str">
        <f aca="false">IF(A892="","",INDEX(הגדרות!$H$16:$H$27,MONTH(A892)))</f>
        <v/>
      </c>
    </row>
    <row r="893" customFormat="false" ht="15" hidden="false" customHeight="false" outlineLevel="0" collapsed="false">
      <c r="A893" s="55"/>
      <c r="B893" s="56"/>
      <c r="C893" s="57" t="str">
        <f aca="false">IF(B893="","",IFERROR(INDEX(הגדרות!$A$8:$A$53,MATCH(B893,הגדרות!$B$8:$B$53,0)),"⚠ לא בהגדרות"))</f>
        <v/>
      </c>
      <c r="D893" s="56"/>
      <c r="E893" s="58"/>
      <c r="F893" s="57" t="str">
        <f aca="false">IF(A893="","",INDEX(הגדרות!$H$16:$H$27,MONTH(A893)))</f>
        <v/>
      </c>
    </row>
    <row r="894" customFormat="false" ht="15" hidden="false" customHeight="false" outlineLevel="0" collapsed="false">
      <c r="A894" s="50"/>
      <c r="B894" s="51"/>
      <c r="C894" s="52" t="str">
        <f aca="false">IF(B894="","",IFERROR(INDEX(הגדרות!$A$8:$A$53,MATCH(B894,הגדרות!$B$8:$B$53,0)),"⚠ לא בהגדרות"))</f>
        <v/>
      </c>
      <c r="D894" s="51"/>
      <c r="E894" s="53"/>
      <c r="F894" s="52" t="str">
        <f aca="false">IF(A894="","",INDEX(הגדרות!$H$16:$H$27,MONTH(A894)))</f>
        <v/>
      </c>
    </row>
    <row r="895" customFormat="false" ht="15" hidden="false" customHeight="false" outlineLevel="0" collapsed="false">
      <c r="A895" s="55"/>
      <c r="B895" s="56"/>
      <c r="C895" s="57" t="str">
        <f aca="false">IF(B895="","",IFERROR(INDEX(הגדרות!$A$8:$A$53,MATCH(B895,הגדרות!$B$8:$B$53,0)),"⚠ לא בהגדרות"))</f>
        <v/>
      </c>
      <c r="D895" s="56"/>
      <c r="E895" s="58"/>
      <c r="F895" s="57" t="str">
        <f aca="false">IF(A895="","",INDEX(הגדרות!$H$16:$H$27,MONTH(A895)))</f>
        <v/>
      </c>
    </row>
    <row r="896" customFormat="false" ht="15" hidden="false" customHeight="false" outlineLevel="0" collapsed="false">
      <c r="A896" s="50"/>
      <c r="B896" s="51"/>
      <c r="C896" s="52" t="str">
        <f aca="false">IF(B896="","",IFERROR(INDEX(הגדרות!$A$8:$A$53,MATCH(B896,הגדרות!$B$8:$B$53,0)),"⚠ לא בהגדרות"))</f>
        <v/>
      </c>
      <c r="D896" s="51"/>
      <c r="E896" s="53"/>
      <c r="F896" s="52" t="str">
        <f aca="false">IF(A896="","",INDEX(הגדרות!$H$16:$H$27,MONTH(A896)))</f>
        <v/>
      </c>
    </row>
    <row r="897" customFormat="false" ht="15" hidden="false" customHeight="false" outlineLevel="0" collapsed="false">
      <c r="A897" s="55"/>
      <c r="B897" s="56"/>
      <c r="C897" s="57" t="str">
        <f aca="false">IF(B897="","",IFERROR(INDEX(הגדרות!$A$8:$A$53,MATCH(B897,הגדרות!$B$8:$B$53,0)),"⚠ לא בהגדרות"))</f>
        <v/>
      </c>
      <c r="D897" s="56"/>
      <c r="E897" s="58"/>
      <c r="F897" s="57" t="str">
        <f aca="false">IF(A897="","",INDEX(הגדרות!$H$16:$H$27,MONTH(A897)))</f>
        <v/>
      </c>
    </row>
    <row r="898" customFormat="false" ht="15" hidden="false" customHeight="false" outlineLevel="0" collapsed="false">
      <c r="A898" s="50"/>
      <c r="B898" s="51"/>
      <c r="C898" s="52" t="str">
        <f aca="false">IF(B898="","",IFERROR(INDEX(הגדרות!$A$8:$A$53,MATCH(B898,הגדרות!$B$8:$B$53,0)),"⚠ לא בהגדרות"))</f>
        <v/>
      </c>
      <c r="D898" s="51"/>
      <c r="E898" s="53"/>
      <c r="F898" s="52" t="str">
        <f aca="false">IF(A898="","",INDEX(הגדרות!$H$16:$H$27,MONTH(A898)))</f>
        <v/>
      </c>
    </row>
    <row r="899" customFormat="false" ht="15" hidden="false" customHeight="false" outlineLevel="0" collapsed="false">
      <c r="A899" s="55"/>
      <c r="B899" s="56"/>
      <c r="C899" s="57" t="str">
        <f aca="false">IF(B899="","",IFERROR(INDEX(הגדרות!$A$8:$A$53,MATCH(B899,הגדרות!$B$8:$B$53,0)),"⚠ לא בהגדרות"))</f>
        <v/>
      </c>
      <c r="D899" s="56"/>
      <c r="E899" s="58"/>
      <c r="F899" s="57" t="str">
        <f aca="false">IF(A899="","",INDEX(הגדרות!$H$16:$H$27,MONTH(A899)))</f>
        <v/>
      </c>
    </row>
    <row r="900" customFormat="false" ht="15" hidden="false" customHeight="false" outlineLevel="0" collapsed="false">
      <c r="A900" s="50"/>
      <c r="B900" s="51"/>
      <c r="C900" s="52" t="str">
        <f aca="false">IF(B900="","",IFERROR(INDEX(הגדרות!$A$8:$A$53,MATCH(B900,הגדרות!$B$8:$B$53,0)),"⚠ לא בהגדרות"))</f>
        <v/>
      </c>
      <c r="D900" s="51"/>
      <c r="E900" s="53"/>
      <c r="F900" s="52" t="str">
        <f aca="false">IF(A900="","",INDEX(הגדרות!$H$16:$H$27,MONTH(A900)))</f>
        <v/>
      </c>
    </row>
    <row r="901" customFormat="false" ht="15" hidden="false" customHeight="false" outlineLevel="0" collapsed="false">
      <c r="A901" s="55"/>
      <c r="B901" s="56"/>
      <c r="C901" s="57" t="str">
        <f aca="false">IF(B901="","",IFERROR(INDEX(הגדרות!$A$8:$A$53,MATCH(B901,הגדרות!$B$8:$B$53,0)),"⚠ לא בהגדרות"))</f>
        <v/>
      </c>
      <c r="D901" s="56"/>
      <c r="E901" s="58"/>
      <c r="F901" s="57" t="str">
        <f aca="false">IF(A901="","",INDEX(הגדרות!$H$16:$H$27,MONTH(A901)))</f>
        <v/>
      </c>
    </row>
    <row r="902" customFormat="false" ht="15" hidden="false" customHeight="false" outlineLevel="0" collapsed="false">
      <c r="A902" s="50"/>
      <c r="B902" s="51"/>
      <c r="C902" s="52" t="str">
        <f aca="false">IF(B902="","",IFERROR(INDEX(הגדרות!$A$8:$A$53,MATCH(B902,הגדרות!$B$8:$B$53,0)),"⚠ לא בהגדרות"))</f>
        <v/>
      </c>
      <c r="D902" s="51"/>
      <c r="E902" s="53"/>
      <c r="F902" s="52" t="str">
        <f aca="false">IF(A902="","",INDEX(הגדרות!$H$16:$H$27,MONTH(A902)))</f>
        <v/>
      </c>
    </row>
    <row r="903" customFormat="false" ht="15" hidden="false" customHeight="false" outlineLevel="0" collapsed="false">
      <c r="A903" s="55"/>
      <c r="B903" s="56"/>
      <c r="C903" s="57" t="str">
        <f aca="false">IF(B903="","",IFERROR(INDEX(הגדרות!$A$8:$A$53,MATCH(B903,הגדרות!$B$8:$B$53,0)),"⚠ לא בהגדרות"))</f>
        <v/>
      </c>
      <c r="D903" s="56"/>
      <c r="E903" s="58"/>
      <c r="F903" s="57" t="str">
        <f aca="false">IF(A903="","",INDEX(הגדרות!$H$16:$H$27,MONTH(A903)))</f>
        <v/>
      </c>
    </row>
    <row r="904" customFormat="false" ht="15" hidden="false" customHeight="false" outlineLevel="0" collapsed="false">
      <c r="A904" s="50"/>
      <c r="B904" s="51"/>
      <c r="C904" s="52" t="str">
        <f aca="false">IF(B904="","",IFERROR(INDEX(הגדרות!$A$8:$A$53,MATCH(B904,הגדרות!$B$8:$B$53,0)),"⚠ לא בהגדרות"))</f>
        <v/>
      </c>
      <c r="D904" s="51"/>
      <c r="E904" s="53"/>
      <c r="F904" s="52" t="str">
        <f aca="false">IF(A904="","",INDEX(הגדרות!$H$16:$H$27,MONTH(A904)))</f>
        <v/>
      </c>
    </row>
    <row r="905" customFormat="false" ht="15" hidden="false" customHeight="false" outlineLevel="0" collapsed="false">
      <c r="A905" s="55"/>
      <c r="B905" s="56"/>
      <c r="C905" s="57" t="str">
        <f aca="false">IF(B905="","",IFERROR(INDEX(הגדרות!$A$8:$A$53,MATCH(B905,הגדרות!$B$8:$B$53,0)),"⚠ לא בהגדרות"))</f>
        <v/>
      </c>
      <c r="D905" s="56"/>
      <c r="E905" s="58"/>
      <c r="F905" s="57" t="str">
        <f aca="false">IF(A905="","",INDEX(הגדרות!$H$16:$H$27,MONTH(A905)))</f>
        <v/>
      </c>
    </row>
    <row r="906" customFormat="false" ht="15" hidden="false" customHeight="false" outlineLevel="0" collapsed="false">
      <c r="A906" s="50"/>
      <c r="B906" s="51"/>
      <c r="C906" s="52" t="str">
        <f aca="false">IF(B906="","",IFERROR(INDEX(הגדרות!$A$8:$A$53,MATCH(B906,הגדרות!$B$8:$B$53,0)),"⚠ לא בהגדרות"))</f>
        <v/>
      </c>
      <c r="D906" s="51"/>
      <c r="E906" s="53"/>
      <c r="F906" s="52" t="str">
        <f aca="false">IF(A906="","",INDEX(הגדרות!$H$16:$H$27,MONTH(A906)))</f>
        <v/>
      </c>
    </row>
    <row r="907" customFormat="false" ht="15" hidden="false" customHeight="false" outlineLevel="0" collapsed="false">
      <c r="A907" s="55"/>
      <c r="B907" s="56"/>
      <c r="C907" s="57" t="str">
        <f aca="false">IF(B907="","",IFERROR(INDEX(הגדרות!$A$8:$A$53,MATCH(B907,הגדרות!$B$8:$B$53,0)),"⚠ לא בהגדרות"))</f>
        <v/>
      </c>
      <c r="D907" s="56"/>
      <c r="E907" s="58"/>
      <c r="F907" s="57" t="str">
        <f aca="false">IF(A907="","",INDEX(הגדרות!$H$16:$H$27,MONTH(A907)))</f>
        <v/>
      </c>
    </row>
    <row r="908" customFormat="false" ht="15" hidden="false" customHeight="false" outlineLevel="0" collapsed="false">
      <c r="A908" s="50"/>
      <c r="B908" s="51"/>
      <c r="C908" s="52" t="str">
        <f aca="false">IF(B908="","",IFERROR(INDEX(הגדרות!$A$8:$A$53,MATCH(B908,הגדרות!$B$8:$B$53,0)),"⚠ לא בהגדרות"))</f>
        <v/>
      </c>
      <c r="D908" s="51"/>
      <c r="E908" s="53"/>
      <c r="F908" s="52" t="str">
        <f aca="false">IF(A908="","",INDEX(הגדרות!$H$16:$H$27,MONTH(A908)))</f>
        <v/>
      </c>
    </row>
    <row r="909" customFormat="false" ht="15" hidden="false" customHeight="false" outlineLevel="0" collapsed="false">
      <c r="A909" s="55"/>
      <c r="B909" s="56"/>
      <c r="C909" s="57" t="str">
        <f aca="false">IF(B909="","",IFERROR(INDEX(הגדרות!$A$8:$A$53,MATCH(B909,הגדרות!$B$8:$B$53,0)),"⚠ לא בהגדרות"))</f>
        <v/>
      </c>
      <c r="D909" s="56"/>
      <c r="E909" s="58"/>
      <c r="F909" s="57" t="str">
        <f aca="false">IF(A909="","",INDEX(הגדרות!$H$16:$H$27,MONTH(A909)))</f>
        <v/>
      </c>
    </row>
    <row r="910" customFormat="false" ht="15" hidden="false" customHeight="false" outlineLevel="0" collapsed="false">
      <c r="A910" s="50"/>
      <c r="B910" s="51"/>
      <c r="C910" s="52" t="str">
        <f aca="false">IF(B910="","",IFERROR(INDEX(הגדרות!$A$8:$A$53,MATCH(B910,הגדרות!$B$8:$B$53,0)),"⚠ לא בהגדרות"))</f>
        <v/>
      </c>
      <c r="D910" s="51"/>
      <c r="E910" s="53"/>
      <c r="F910" s="52" t="str">
        <f aca="false">IF(A910="","",INDEX(הגדרות!$H$16:$H$27,MONTH(A910)))</f>
        <v/>
      </c>
    </row>
    <row r="911" customFormat="false" ht="15" hidden="false" customHeight="false" outlineLevel="0" collapsed="false">
      <c r="A911" s="55"/>
      <c r="B911" s="56"/>
      <c r="C911" s="57" t="str">
        <f aca="false">IF(B911="","",IFERROR(INDEX(הגדרות!$A$8:$A$53,MATCH(B911,הגדרות!$B$8:$B$53,0)),"⚠ לא בהגדרות"))</f>
        <v/>
      </c>
      <c r="D911" s="56"/>
      <c r="E911" s="58"/>
      <c r="F911" s="57" t="str">
        <f aca="false">IF(A911="","",INDEX(הגדרות!$H$16:$H$27,MONTH(A911)))</f>
        <v/>
      </c>
    </row>
    <row r="912" customFormat="false" ht="15" hidden="false" customHeight="false" outlineLevel="0" collapsed="false">
      <c r="A912" s="50"/>
      <c r="B912" s="51"/>
      <c r="C912" s="52" t="str">
        <f aca="false">IF(B912="","",IFERROR(INDEX(הגדרות!$A$8:$A$53,MATCH(B912,הגדרות!$B$8:$B$53,0)),"⚠ לא בהגדרות"))</f>
        <v/>
      </c>
      <c r="D912" s="51"/>
      <c r="E912" s="53"/>
      <c r="F912" s="52" t="str">
        <f aca="false">IF(A912="","",INDEX(הגדרות!$H$16:$H$27,MONTH(A912)))</f>
        <v/>
      </c>
    </row>
    <row r="913" customFormat="false" ht="15" hidden="false" customHeight="false" outlineLevel="0" collapsed="false">
      <c r="A913" s="55"/>
      <c r="B913" s="56"/>
      <c r="C913" s="57" t="str">
        <f aca="false">IF(B913="","",IFERROR(INDEX(הגדרות!$A$8:$A$53,MATCH(B913,הגדרות!$B$8:$B$53,0)),"⚠ לא בהגדרות"))</f>
        <v/>
      </c>
      <c r="D913" s="56"/>
      <c r="E913" s="58"/>
      <c r="F913" s="57" t="str">
        <f aca="false">IF(A913="","",INDEX(הגדרות!$H$16:$H$27,MONTH(A913)))</f>
        <v/>
      </c>
    </row>
    <row r="914" customFormat="false" ht="15" hidden="false" customHeight="false" outlineLevel="0" collapsed="false">
      <c r="A914" s="50"/>
      <c r="B914" s="51"/>
      <c r="C914" s="52" t="str">
        <f aca="false">IF(B914="","",IFERROR(INDEX(הגדרות!$A$8:$A$53,MATCH(B914,הגדרות!$B$8:$B$53,0)),"⚠ לא בהגדרות"))</f>
        <v/>
      </c>
      <c r="D914" s="51"/>
      <c r="E914" s="53"/>
      <c r="F914" s="52" t="str">
        <f aca="false">IF(A914="","",INDEX(הגדרות!$H$16:$H$27,MONTH(A914)))</f>
        <v/>
      </c>
    </row>
    <row r="915" customFormat="false" ht="15" hidden="false" customHeight="false" outlineLevel="0" collapsed="false">
      <c r="A915" s="55"/>
      <c r="B915" s="56"/>
      <c r="C915" s="57" t="str">
        <f aca="false">IF(B915="","",IFERROR(INDEX(הגדרות!$A$8:$A$53,MATCH(B915,הגדרות!$B$8:$B$53,0)),"⚠ לא בהגדרות"))</f>
        <v/>
      </c>
      <c r="D915" s="56"/>
      <c r="E915" s="58"/>
      <c r="F915" s="57" t="str">
        <f aca="false">IF(A915="","",INDEX(הגדרות!$H$16:$H$27,MONTH(A915)))</f>
        <v/>
      </c>
    </row>
    <row r="916" customFormat="false" ht="15" hidden="false" customHeight="false" outlineLevel="0" collapsed="false">
      <c r="A916" s="50"/>
      <c r="B916" s="51"/>
      <c r="C916" s="52" t="str">
        <f aca="false">IF(B916="","",IFERROR(INDEX(הגדרות!$A$8:$A$53,MATCH(B916,הגדרות!$B$8:$B$53,0)),"⚠ לא בהגדרות"))</f>
        <v/>
      </c>
      <c r="D916" s="51"/>
      <c r="E916" s="53"/>
      <c r="F916" s="52" t="str">
        <f aca="false">IF(A916="","",INDEX(הגדרות!$H$16:$H$27,MONTH(A916)))</f>
        <v/>
      </c>
    </row>
    <row r="917" customFormat="false" ht="15" hidden="false" customHeight="false" outlineLevel="0" collapsed="false">
      <c r="A917" s="55"/>
      <c r="B917" s="56"/>
      <c r="C917" s="57" t="str">
        <f aca="false">IF(B917="","",IFERROR(INDEX(הגדרות!$A$8:$A$53,MATCH(B917,הגדרות!$B$8:$B$53,0)),"⚠ לא בהגדרות"))</f>
        <v/>
      </c>
      <c r="D917" s="56"/>
      <c r="E917" s="58"/>
      <c r="F917" s="57" t="str">
        <f aca="false">IF(A917="","",INDEX(הגדרות!$H$16:$H$27,MONTH(A917)))</f>
        <v/>
      </c>
    </row>
    <row r="918" customFormat="false" ht="15" hidden="false" customHeight="false" outlineLevel="0" collapsed="false">
      <c r="A918" s="50"/>
      <c r="B918" s="51"/>
      <c r="C918" s="52" t="str">
        <f aca="false">IF(B918="","",IFERROR(INDEX(הגדרות!$A$8:$A$53,MATCH(B918,הגדרות!$B$8:$B$53,0)),"⚠ לא בהגדרות"))</f>
        <v/>
      </c>
      <c r="D918" s="51"/>
      <c r="E918" s="53"/>
      <c r="F918" s="52" t="str">
        <f aca="false">IF(A918="","",INDEX(הגדרות!$H$16:$H$27,MONTH(A918)))</f>
        <v/>
      </c>
    </row>
    <row r="919" customFormat="false" ht="15" hidden="false" customHeight="false" outlineLevel="0" collapsed="false">
      <c r="A919" s="55"/>
      <c r="B919" s="56"/>
      <c r="C919" s="57" t="str">
        <f aca="false">IF(B919="","",IFERROR(INDEX(הגדרות!$A$8:$A$53,MATCH(B919,הגדרות!$B$8:$B$53,0)),"⚠ לא בהגדרות"))</f>
        <v/>
      </c>
      <c r="D919" s="56"/>
      <c r="E919" s="58"/>
      <c r="F919" s="57" t="str">
        <f aca="false">IF(A919="","",INDEX(הגדרות!$H$16:$H$27,MONTH(A919)))</f>
        <v/>
      </c>
    </row>
    <row r="920" customFormat="false" ht="15" hidden="false" customHeight="false" outlineLevel="0" collapsed="false">
      <c r="A920" s="50"/>
      <c r="B920" s="51"/>
      <c r="C920" s="52" t="str">
        <f aca="false">IF(B920="","",IFERROR(INDEX(הגדרות!$A$8:$A$53,MATCH(B920,הגדרות!$B$8:$B$53,0)),"⚠ לא בהגדרות"))</f>
        <v/>
      </c>
      <c r="D920" s="51"/>
      <c r="E920" s="53"/>
      <c r="F920" s="52" t="str">
        <f aca="false">IF(A920="","",INDEX(הגדרות!$H$16:$H$27,MONTH(A920)))</f>
        <v/>
      </c>
    </row>
    <row r="921" customFormat="false" ht="15" hidden="false" customHeight="false" outlineLevel="0" collapsed="false">
      <c r="A921" s="55"/>
      <c r="B921" s="56"/>
      <c r="C921" s="57" t="str">
        <f aca="false">IF(B921="","",IFERROR(INDEX(הגדרות!$A$8:$A$53,MATCH(B921,הגדרות!$B$8:$B$53,0)),"⚠ לא בהגדרות"))</f>
        <v/>
      </c>
      <c r="D921" s="56"/>
      <c r="E921" s="58"/>
      <c r="F921" s="57" t="str">
        <f aca="false">IF(A921="","",INDEX(הגדרות!$H$16:$H$27,MONTH(A921)))</f>
        <v/>
      </c>
    </row>
    <row r="922" customFormat="false" ht="15" hidden="false" customHeight="false" outlineLevel="0" collapsed="false">
      <c r="A922" s="50"/>
      <c r="B922" s="51"/>
      <c r="C922" s="52" t="str">
        <f aca="false">IF(B922="","",IFERROR(INDEX(הגדרות!$A$8:$A$53,MATCH(B922,הגדרות!$B$8:$B$53,0)),"⚠ לא בהגדרות"))</f>
        <v/>
      </c>
      <c r="D922" s="51"/>
      <c r="E922" s="53"/>
      <c r="F922" s="52" t="str">
        <f aca="false">IF(A922="","",INDEX(הגדרות!$H$16:$H$27,MONTH(A922)))</f>
        <v/>
      </c>
    </row>
    <row r="923" customFormat="false" ht="15" hidden="false" customHeight="false" outlineLevel="0" collapsed="false">
      <c r="A923" s="55"/>
      <c r="B923" s="56"/>
      <c r="C923" s="57" t="str">
        <f aca="false">IF(B923="","",IFERROR(INDEX(הגדרות!$A$8:$A$53,MATCH(B923,הגדרות!$B$8:$B$53,0)),"⚠ לא בהגדרות"))</f>
        <v/>
      </c>
      <c r="D923" s="56"/>
      <c r="E923" s="58"/>
      <c r="F923" s="57" t="str">
        <f aca="false">IF(A923="","",INDEX(הגדרות!$H$16:$H$27,MONTH(A923)))</f>
        <v/>
      </c>
    </row>
    <row r="924" customFormat="false" ht="15" hidden="false" customHeight="false" outlineLevel="0" collapsed="false">
      <c r="A924" s="50"/>
      <c r="B924" s="51"/>
      <c r="C924" s="52" t="str">
        <f aca="false">IF(B924="","",IFERROR(INDEX(הגדרות!$A$8:$A$53,MATCH(B924,הגדרות!$B$8:$B$53,0)),"⚠ לא בהגדרות"))</f>
        <v/>
      </c>
      <c r="D924" s="51"/>
      <c r="E924" s="53"/>
      <c r="F924" s="52" t="str">
        <f aca="false">IF(A924="","",INDEX(הגדרות!$H$16:$H$27,MONTH(A924)))</f>
        <v/>
      </c>
    </row>
    <row r="925" customFormat="false" ht="15" hidden="false" customHeight="false" outlineLevel="0" collapsed="false">
      <c r="A925" s="55"/>
      <c r="B925" s="56"/>
      <c r="C925" s="57" t="str">
        <f aca="false">IF(B925="","",IFERROR(INDEX(הגדרות!$A$8:$A$53,MATCH(B925,הגדרות!$B$8:$B$53,0)),"⚠ לא בהגדרות"))</f>
        <v/>
      </c>
      <c r="D925" s="56"/>
      <c r="E925" s="58"/>
      <c r="F925" s="57" t="str">
        <f aca="false">IF(A925="","",INDEX(הגדרות!$H$16:$H$27,MONTH(A925)))</f>
        <v/>
      </c>
    </row>
    <row r="926" customFormat="false" ht="15" hidden="false" customHeight="false" outlineLevel="0" collapsed="false">
      <c r="A926" s="50"/>
      <c r="B926" s="51"/>
      <c r="C926" s="52" t="str">
        <f aca="false">IF(B926="","",IFERROR(INDEX(הגדרות!$A$8:$A$53,MATCH(B926,הגדרות!$B$8:$B$53,0)),"⚠ לא בהגדרות"))</f>
        <v/>
      </c>
      <c r="D926" s="51"/>
      <c r="E926" s="53"/>
      <c r="F926" s="52" t="str">
        <f aca="false">IF(A926="","",INDEX(הגדרות!$H$16:$H$27,MONTH(A926)))</f>
        <v/>
      </c>
    </row>
    <row r="927" customFormat="false" ht="15" hidden="false" customHeight="false" outlineLevel="0" collapsed="false">
      <c r="A927" s="55"/>
      <c r="B927" s="56"/>
      <c r="C927" s="57" t="str">
        <f aca="false">IF(B927="","",IFERROR(INDEX(הגדרות!$A$8:$A$53,MATCH(B927,הגדרות!$B$8:$B$53,0)),"⚠ לא בהגדרות"))</f>
        <v/>
      </c>
      <c r="D927" s="56"/>
      <c r="E927" s="58"/>
      <c r="F927" s="57" t="str">
        <f aca="false">IF(A927="","",INDEX(הגדרות!$H$16:$H$27,MONTH(A927)))</f>
        <v/>
      </c>
    </row>
    <row r="928" customFormat="false" ht="15" hidden="false" customHeight="false" outlineLevel="0" collapsed="false">
      <c r="A928" s="50"/>
      <c r="B928" s="51"/>
      <c r="C928" s="52" t="str">
        <f aca="false">IF(B928="","",IFERROR(INDEX(הגדרות!$A$8:$A$53,MATCH(B928,הגדרות!$B$8:$B$53,0)),"⚠ לא בהגדרות"))</f>
        <v/>
      </c>
      <c r="D928" s="51"/>
      <c r="E928" s="53"/>
      <c r="F928" s="52" t="str">
        <f aca="false">IF(A928="","",INDEX(הגדרות!$H$16:$H$27,MONTH(A928)))</f>
        <v/>
      </c>
    </row>
    <row r="929" customFormat="false" ht="15" hidden="false" customHeight="false" outlineLevel="0" collapsed="false">
      <c r="A929" s="55"/>
      <c r="B929" s="56"/>
      <c r="C929" s="57" t="str">
        <f aca="false">IF(B929="","",IFERROR(INDEX(הגדרות!$A$8:$A$53,MATCH(B929,הגדרות!$B$8:$B$53,0)),"⚠ לא בהגדרות"))</f>
        <v/>
      </c>
      <c r="D929" s="56"/>
      <c r="E929" s="58"/>
      <c r="F929" s="57" t="str">
        <f aca="false">IF(A929="","",INDEX(הגדרות!$H$16:$H$27,MONTH(A929)))</f>
        <v/>
      </c>
    </row>
    <row r="930" customFormat="false" ht="15" hidden="false" customHeight="false" outlineLevel="0" collapsed="false">
      <c r="A930" s="50"/>
      <c r="B930" s="51"/>
      <c r="C930" s="52" t="str">
        <f aca="false">IF(B930="","",IFERROR(INDEX(הגדרות!$A$8:$A$53,MATCH(B930,הגדרות!$B$8:$B$53,0)),"⚠ לא בהגדרות"))</f>
        <v/>
      </c>
      <c r="D930" s="51"/>
      <c r="E930" s="53"/>
      <c r="F930" s="52" t="str">
        <f aca="false">IF(A930="","",INDEX(הגדרות!$H$16:$H$27,MONTH(A930)))</f>
        <v/>
      </c>
    </row>
    <row r="931" customFormat="false" ht="15" hidden="false" customHeight="false" outlineLevel="0" collapsed="false">
      <c r="A931" s="55"/>
      <c r="B931" s="56"/>
      <c r="C931" s="57" t="str">
        <f aca="false">IF(B931="","",IFERROR(INDEX(הגדרות!$A$8:$A$53,MATCH(B931,הגדרות!$B$8:$B$53,0)),"⚠ לא בהגדרות"))</f>
        <v/>
      </c>
      <c r="D931" s="56"/>
      <c r="E931" s="58"/>
      <c r="F931" s="57" t="str">
        <f aca="false">IF(A931="","",INDEX(הגדרות!$H$16:$H$27,MONTH(A931)))</f>
        <v/>
      </c>
    </row>
    <row r="932" customFormat="false" ht="15" hidden="false" customHeight="false" outlineLevel="0" collapsed="false">
      <c r="A932" s="50"/>
      <c r="B932" s="51"/>
      <c r="C932" s="52" t="str">
        <f aca="false">IF(B932="","",IFERROR(INDEX(הגדרות!$A$8:$A$53,MATCH(B932,הגדרות!$B$8:$B$53,0)),"⚠ לא בהגדרות"))</f>
        <v/>
      </c>
      <c r="D932" s="51"/>
      <c r="E932" s="53"/>
      <c r="F932" s="52" t="str">
        <f aca="false">IF(A932="","",INDEX(הגדרות!$H$16:$H$27,MONTH(A932)))</f>
        <v/>
      </c>
    </row>
    <row r="933" customFormat="false" ht="15" hidden="false" customHeight="false" outlineLevel="0" collapsed="false">
      <c r="A933" s="55"/>
      <c r="B933" s="56"/>
      <c r="C933" s="57" t="str">
        <f aca="false">IF(B933="","",IFERROR(INDEX(הגדרות!$A$8:$A$53,MATCH(B933,הגדרות!$B$8:$B$53,0)),"⚠ לא בהגדרות"))</f>
        <v/>
      </c>
      <c r="D933" s="56"/>
      <c r="E933" s="58"/>
      <c r="F933" s="57" t="str">
        <f aca="false">IF(A933="","",INDEX(הגדרות!$H$16:$H$27,MONTH(A933)))</f>
        <v/>
      </c>
    </row>
    <row r="934" customFormat="false" ht="15" hidden="false" customHeight="false" outlineLevel="0" collapsed="false">
      <c r="A934" s="50"/>
      <c r="B934" s="51"/>
      <c r="C934" s="52" t="str">
        <f aca="false">IF(B934="","",IFERROR(INDEX(הגדרות!$A$8:$A$53,MATCH(B934,הגדרות!$B$8:$B$53,0)),"⚠ לא בהגדרות"))</f>
        <v/>
      </c>
      <c r="D934" s="51"/>
      <c r="E934" s="53"/>
      <c r="F934" s="52" t="str">
        <f aca="false">IF(A934="","",INDEX(הגדרות!$H$16:$H$27,MONTH(A934)))</f>
        <v/>
      </c>
    </row>
    <row r="935" customFormat="false" ht="15" hidden="false" customHeight="false" outlineLevel="0" collapsed="false">
      <c r="A935" s="55"/>
      <c r="B935" s="56"/>
      <c r="C935" s="57" t="str">
        <f aca="false">IF(B935="","",IFERROR(INDEX(הגדרות!$A$8:$A$53,MATCH(B935,הגדרות!$B$8:$B$53,0)),"⚠ לא בהגדרות"))</f>
        <v/>
      </c>
      <c r="D935" s="56"/>
      <c r="E935" s="58"/>
      <c r="F935" s="57" t="str">
        <f aca="false">IF(A935="","",INDEX(הגדרות!$H$16:$H$27,MONTH(A935)))</f>
        <v/>
      </c>
    </row>
    <row r="936" customFormat="false" ht="15" hidden="false" customHeight="false" outlineLevel="0" collapsed="false">
      <c r="A936" s="50"/>
      <c r="B936" s="51"/>
      <c r="C936" s="52" t="str">
        <f aca="false">IF(B936="","",IFERROR(INDEX(הגדרות!$A$8:$A$53,MATCH(B936,הגדרות!$B$8:$B$53,0)),"⚠ לא בהגדרות"))</f>
        <v/>
      </c>
      <c r="D936" s="51"/>
      <c r="E936" s="53"/>
      <c r="F936" s="52" t="str">
        <f aca="false">IF(A936="","",INDEX(הגדרות!$H$16:$H$27,MONTH(A936)))</f>
        <v/>
      </c>
    </row>
    <row r="937" customFormat="false" ht="15" hidden="false" customHeight="false" outlineLevel="0" collapsed="false">
      <c r="A937" s="55"/>
      <c r="B937" s="56"/>
      <c r="C937" s="57" t="str">
        <f aca="false">IF(B937="","",IFERROR(INDEX(הגדרות!$A$8:$A$53,MATCH(B937,הגדרות!$B$8:$B$53,0)),"⚠ לא בהגדרות"))</f>
        <v/>
      </c>
      <c r="D937" s="56"/>
      <c r="E937" s="58"/>
      <c r="F937" s="57" t="str">
        <f aca="false">IF(A937="","",INDEX(הגדרות!$H$16:$H$27,MONTH(A937)))</f>
        <v/>
      </c>
    </row>
    <row r="938" customFormat="false" ht="15" hidden="false" customHeight="false" outlineLevel="0" collapsed="false">
      <c r="A938" s="50"/>
      <c r="B938" s="51"/>
      <c r="C938" s="52" t="str">
        <f aca="false">IF(B938="","",IFERROR(INDEX(הגדרות!$A$8:$A$53,MATCH(B938,הגדרות!$B$8:$B$53,0)),"⚠ לא בהגדרות"))</f>
        <v/>
      </c>
      <c r="D938" s="51"/>
      <c r="E938" s="53"/>
      <c r="F938" s="52" t="str">
        <f aca="false">IF(A938="","",INDEX(הגדרות!$H$16:$H$27,MONTH(A938)))</f>
        <v/>
      </c>
    </row>
    <row r="939" customFormat="false" ht="15" hidden="false" customHeight="false" outlineLevel="0" collapsed="false">
      <c r="A939" s="55"/>
      <c r="B939" s="56"/>
      <c r="C939" s="57" t="str">
        <f aca="false">IF(B939="","",IFERROR(INDEX(הגדרות!$A$8:$A$53,MATCH(B939,הגדרות!$B$8:$B$53,0)),"⚠ לא בהגדרות"))</f>
        <v/>
      </c>
      <c r="D939" s="56"/>
      <c r="E939" s="58"/>
      <c r="F939" s="57" t="str">
        <f aca="false">IF(A939="","",INDEX(הגדרות!$H$16:$H$27,MONTH(A939)))</f>
        <v/>
      </c>
    </row>
    <row r="940" customFormat="false" ht="15" hidden="false" customHeight="false" outlineLevel="0" collapsed="false">
      <c r="A940" s="50"/>
      <c r="B940" s="51"/>
      <c r="C940" s="52" t="str">
        <f aca="false">IF(B940="","",IFERROR(INDEX(הגדרות!$A$8:$A$53,MATCH(B940,הגדרות!$B$8:$B$53,0)),"⚠ לא בהגדרות"))</f>
        <v/>
      </c>
      <c r="D940" s="51"/>
      <c r="E940" s="53"/>
      <c r="F940" s="52" t="str">
        <f aca="false">IF(A940="","",INDEX(הגדרות!$H$16:$H$27,MONTH(A940)))</f>
        <v/>
      </c>
    </row>
    <row r="941" customFormat="false" ht="15" hidden="false" customHeight="false" outlineLevel="0" collapsed="false">
      <c r="A941" s="55"/>
      <c r="B941" s="56"/>
      <c r="C941" s="57" t="str">
        <f aca="false">IF(B941="","",IFERROR(INDEX(הגדרות!$A$8:$A$53,MATCH(B941,הגדרות!$B$8:$B$53,0)),"⚠ לא בהגדרות"))</f>
        <v/>
      </c>
      <c r="D941" s="56"/>
      <c r="E941" s="58"/>
      <c r="F941" s="57" t="str">
        <f aca="false">IF(A941="","",INDEX(הגדרות!$H$16:$H$27,MONTH(A941)))</f>
        <v/>
      </c>
    </row>
    <row r="942" customFormat="false" ht="15" hidden="false" customHeight="false" outlineLevel="0" collapsed="false">
      <c r="A942" s="50"/>
      <c r="B942" s="51"/>
      <c r="C942" s="52" t="str">
        <f aca="false">IF(B942="","",IFERROR(INDEX(הגדרות!$A$8:$A$53,MATCH(B942,הגדרות!$B$8:$B$53,0)),"⚠ לא בהגדרות"))</f>
        <v/>
      </c>
      <c r="D942" s="51"/>
      <c r="E942" s="53"/>
      <c r="F942" s="52" t="str">
        <f aca="false">IF(A942="","",INDEX(הגדרות!$H$16:$H$27,MONTH(A942)))</f>
        <v/>
      </c>
    </row>
    <row r="943" customFormat="false" ht="15" hidden="false" customHeight="false" outlineLevel="0" collapsed="false">
      <c r="A943" s="55"/>
      <c r="B943" s="56"/>
      <c r="C943" s="57" t="str">
        <f aca="false">IF(B943="","",IFERROR(INDEX(הגדרות!$A$8:$A$53,MATCH(B943,הגדרות!$B$8:$B$53,0)),"⚠ לא בהגדרות"))</f>
        <v/>
      </c>
      <c r="D943" s="56"/>
      <c r="E943" s="58"/>
      <c r="F943" s="57" t="str">
        <f aca="false">IF(A943="","",INDEX(הגדרות!$H$16:$H$27,MONTH(A943)))</f>
        <v/>
      </c>
    </row>
    <row r="944" customFormat="false" ht="15" hidden="false" customHeight="false" outlineLevel="0" collapsed="false">
      <c r="A944" s="50"/>
      <c r="B944" s="51"/>
      <c r="C944" s="52" t="str">
        <f aca="false">IF(B944="","",IFERROR(INDEX(הגדרות!$A$8:$A$53,MATCH(B944,הגדרות!$B$8:$B$53,0)),"⚠ לא בהגדרות"))</f>
        <v/>
      </c>
      <c r="D944" s="51"/>
      <c r="E944" s="53"/>
      <c r="F944" s="52" t="str">
        <f aca="false">IF(A944="","",INDEX(הגדרות!$H$16:$H$27,MONTH(A944)))</f>
        <v/>
      </c>
    </row>
    <row r="945" customFormat="false" ht="15" hidden="false" customHeight="false" outlineLevel="0" collapsed="false">
      <c r="A945" s="55"/>
      <c r="B945" s="56"/>
      <c r="C945" s="57" t="str">
        <f aca="false">IF(B945="","",IFERROR(INDEX(הגדרות!$A$8:$A$53,MATCH(B945,הגדרות!$B$8:$B$53,0)),"⚠ לא בהגדרות"))</f>
        <v/>
      </c>
      <c r="D945" s="56"/>
      <c r="E945" s="58"/>
      <c r="F945" s="57" t="str">
        <f aca="false">IF(A945="","",INDEX(הגדרות!$H$16:$H$27,MONTH(A945)))</f>
        <v/>
      </c>
    </row>
    <row r="946" customFormat="false" ht="15" hidden="false" customHeight="false" outlineLevel="0" collapsed="false">
      <c r="A946" s="50"/>
      <c r="B946" s="51"/>
      <c r="C946" s="52" t="str">
        <f aca="false">IF(B946="","",IFERROR(INDEX(הגדרות!$A$8:$A$53,MATCH(B946,הגדרות!$B$8:$B$53,0)),"⚠ לא בהגדרות"))</f>
        <v/>
      </c>
      <c r="D946" s="51"/>
      <c r="E946" s="53"/>
      <c r="F946" s="52" t="str">
        <f aca="false">IF(A946="","",INDEX(הגדרות!$H$16:$H$27,MONTH(A946)))</f>
        <v/>
      </c>
    </row>
    <row r="947" customFormat="false" ht="15" hidden="false" customHeight="false" outlineLevel="0" collapsed="false">
      <c r="A947" s="55"/>
      <c r="B947" s="56"/>
      <c r="C947" s="57" t="str">
        <f aca="false">IF(B947="","",IFERROR(INDEX(הגדרות!$A$8:$A$53,MATCH(B947,הגדרות!$B$8:$B$53,0)),"⚠ לא בהגדרות"))</f>
        <v/>
      </c>
      <c r="D947" s="56"/>
      <c r="E947" s="58"/>
      <c r="F947" s="57" t="str">
        <f aca="false">IF(A947="","",INDEX(הגדרות!$H$16:$H$27,MONTH(A947)))</f>
        <v/>
      </c>
    </row>
    <row r="948" customFormat="false" ht="15" hidden="false" customHeight="false" outlineLevel="0" collapsed="false">
      <c r="A948" s="50"/>
      <c r="B948" s="51"/>
      <c r="C948" s="52" t="str">
        <f aca="false">IF(B948="","",IFERROR(INDEX(הגדרות!$A$8:$A$53,MATCH(B948,הגדרות!$B$8:$B$53,0)),"⚠ לא בהגדרות"))</f>
        <v/>
      </c>
      <c r="D948" s="51"/>
      <c r="E948" s="53"/>
      <c r="F948" s="52" t="str">
        <f aca="false">IF(A948="","",INDEX(הגדרות!$H$16:$H$27,MONTH(A948)))</f>
        <v/>
      </c>
    </row>
    <row r="949" customFormat="false" ht="15" hidden="false" customHeight="false" outlineLevel="0" collapsed="false">
      <c r="A949" s="55"/>
      <c r="B949" s="56"/>
      <c r="C949" s="57" t="str">
        <f aca="false">IF(B949="","",IFERROR(INDEX(הגדרות!$A$8:$A$53,MATCH(B949,הגדרות!$B$8:$B$53,0)),"⚠ לא בהגדרות"))</f>
        <v/>
      </c>
      <c r="D949" s="56"/>
      <c r="E949" s="58"/>
      <c r="F949" s="57" t="str">
        <f aca="false">IF(A949="","",INDEX(הגדרות!$H$16:$H$27,MONTH(A949)))</f>
        <v/>
      </c>
    </row>
    <row r="950" customFormat="false" ht="15" hidden="false" customHeight="false" outlineLevel="0" collapsed="false">
      <c r="A950" s="50"/>
      <c r="B950" s="51"/>
      <c r="C950" s="52" t="str">
        <f aca="false">IF(B950="","",IFERROR(INDEX(הגדרות!$A$8:$A$53,MATCH(B950,הגדרות!$B$8:$B$53,0)),"⚠ לא בהגדרות"))</f>
        <v/>
      </c>
      <c r="D950" s="51"/>
      <c r="E950" s="53"/>
      <c r="F950" s="52" t="str">
        <f aca="false">IF(A950="","",INDEX(הגדרות!$H$16:$H$27,MONTH(A950)))</f>
        <v/>
      </c>
    </row>
    <row r="951" customFormat="false" ht="15" hidden="false" customHeight="false" outlineLevel="0" collapsed="false">
      <c r="A951" s="55"/>
      <c r="B951" s="56"/>
      <c r="C951" s="57" t="str">
        <f aca="false">IF(B951="","",IFERROR(INDEX(הגדרות!$A$8:$A$53,MATCH(B951,הגדרות!$B$8:$B$53,0)),"⚠ לא בהגדרות"))</f>
        <v/>
      </c>
      <c r="D951" s="56"/>
      <c r="E951" s="58"/>
      <c r="F951" s="57" t="str">
        <f aca="false">IF(A951="","",INDEX(הגדרות!$H$16:$H$27,MONTH(A951)))</f>
        <v/>
      </c>
    </row>
    <row r="952" customFormat="false" ht="15" hidden="false" customHeight="false" outlineLevel="0" collapsed="false">
      <c r="A952" s="50"/>
      <c r="B952" s="51"/>
      <c r="C952" s="52" t="str">
        <f aca="false">IF(B952="","",IFERROR(INDEX(הגדרות!$A$8:$A$53,MATCH(B952,הגדרות!$B$8:$B$53,0)),"⚠ לא בהגדרות"))</f>
        <v/>
      </c>
      <c r="D952" s="51"/>
      <c r="E952" s="53"/>
      <c r="F952" s="52" t="str">
        <f aca="false">IF(A952="","",INDEX(הגדרות!$H$16:$H$27,MONTH(A952)))</f>
        <v/>
      </c>
    </row>
    <row r="953" customFormat="false" ht="15" hidden="false" customHeight="false" outlineLevel="0" collapsed="false">
      <c r="A953" s="55"/>
      <c r="B953" s="56"/>
      <c r="C953" s="57" t="str">
        <f aca="false">IF(B953="","",IFERROR(INDEX(הגדרות!$A$8:$A$53,MATCH(B953,הגדרות!$B$8:$B$53,0)),"⚠ לא בהגדרות"))</f>
        <v/>
      </c>
      <c r="D953" s="56"/>
      <c r="E953" s="58"/>
      <c r="F953" s="57" t="str">
        <f aca="false">IF(A953="","",INDEX(הגדרות!$H$16:$H$27,MONTH(A953)))</f>
        <v/>
      </c>
    </row>
    <row r="954" customFormat="false" ht="15" hidden="false" customHeight="false" outlineLevel="0" collapsed="false">
      <c r="A954" s="50"/>
      <c r="B954" s="51"/>
      <c r="C954" s="52" t="str">
        <f aca="false">IF(B954="","",IFERROR(INDEX(הגדרות!$A$8:$A$53,MATCH(B954,הגדרות!$B$8:$B$53,0)),"⚠ לא בהגדרות"))</f>
        <v/>
      </c>
      <c r="D954" s="51"/>
      <c r="E954" s="53"/>
      <c r="F954" s="52" t="str">
        <f aca="false">IF(A954="","",INDEX(הגדרות!$H$16:$H$27,MONTH(A954)))</f>
        <v/>
      </c>
    </row>
    <row r="955" customFormat="false" ht="15" hidden="false" customHeight="false" outlineLevel="0" collapsed="false">
      <c r="A955" s="55"/>
      <c r="B955" s="56"/>
      <c r="C955" s="57" t="str">
        <f aca="false">IF(B955="","",IFERROR(INDEX(הגדרות!$A$8:$A$53,MATCH(B955,הגדרות!$B$8:$B$53,0)),"⚠ לא בהגדרות"))</f>
        <v/>
      </c>
      <c r="D955" s="56"/>
      <c r="E955" s="58"/>
      <c r="F955" s="57" t="str">
        <f aca="false">IF(A955="","",INDEX(הגדרות!$H$16:$H$27,MONTH(A955)))</f>
        <v/>
      </c>
    </row>
    <row r="956" customFormat="false" ht="15" hidden="false" customHeight="false" outlineLevel="0" collapsed="false">
      <c r="A956" s="50"/>
      <c r="B956" s="51"/>
      <c r="C956" s="52" t="str">
        <f aca="false">IF(B956="","",IFERROR(INDEX(הגדרות!$A$8:$A$53,MATCH(B956,הגדרות!$B$8:$B$53,0)),"⚠ לא בהגדרות"))</f>
        <v/>
      </c>
      <c r="D956" s="51"/>
      <c r="E956" s="53"/>
      <c r="F956" s="52" t="str">
        <f aca="false">IF(A956="","",INDEX(הגדרות!$H$16:$H$27,MONTH(A956)))</f>
        <v/>
      </c>
    </row>
    <row r="957" customFormat="false" ht="15" hidden="false" customHeight="false" outlineLevel="0" collapsed="false">
      <c r="A957" s="55"/>
      <c r="B957" s="56"/>
      <c r="C957" s="57" t="str">
        <f aca="false">IF(B957="","",IFERROR(INDEX(הגדרות!$A$8:$A$53,MATCH(B957,הגדרות!$B$8:$B$53,0)),"⚠ לא בהגדרות"))</f>
        <v/>
      </c>
      <c r="D957" s="56"/>
      <c r="E957" s="58"/>
      <c r="F957" s="57" t="str">
        <f aca="false">IF(A957="","",INDEX(הגדרות!$H$16:$H$27,MONTH(A957)))</f>
        <v/>
      </c>
    </row>
    <row r="958" customFormat="false" ht="15" hidden="false" customHeight="false" outlineLevel="0" collapsed="false">
      <c r="A958" s="50"/>
      <c r="B958" s="51"/>
      <c r="C958" s="52" t="str">
        <f aca="false">IF(B958="","",IFERROR(INDEX(הגדרות!$A$8:$A$53,MATCH(B958,הגדרות!$B$8:$B$53,0)),"⚠ לא בהגדרות"))</f>
        <v/>
      </c>
      <c r="D958" s="51"/>
      <c r="E958" s="53"/>
      <c r="F958" s="52" t="str">
        <f aca="false">IF(A958="","",INDEX(הגדרות!$H$16:$H$27,MONTH(A958)))</f>
        <v/>
      </c>
    </row>
    <row r="959" customFormat="false" ht="15" hidden="false" customHeight="false" outlineLevel="0" collapsed="false">
      <c r="A959" s="55"/>
      <c r="B959" s="56"/>
      <c r="C959" s="57" t="str">
        <f aca="false">IF(B959="","",IFERROR(INDEX(הגדרות!$A$8:$A$53,MATCH(B959,הגדרות!$B$8:$B$53,0)),"⚠ לא בהגדרות"))</f>
        <v/>
      </c>
      <c r="D959" s="56"/>
      <c r="E959" s="58"/>
      <c r="F959" s="57" t="str">
        <f aca="false">IF(A959="","",INDEX(הגדרות!$H$16:$H$27,MONTH(A959)))</f>
        <v/>
      </c>
    </row>
    <row r="960" customFormat="false" ht="15" hidden="false" customHeight="false" outlineLevel="0" collapsed="false">
      <c r="A960" s="50"/>
      <c r="B960" s="51"/>
      <c r="C960" s="52" t="str">
        <f aca="false">IF(B960="","",IFERROR(INDEX(הגדרות!$A$8:$A$53,MATCH(B960,הגדרות!$B$8:$B$53,0)),"⚠ לא בהגדרות"))</f>
        <v/>
      </c>
      <c r="D960" s="51"/>
      <c r="E960" s="53"/>
      <c r="F960" s="52" t="str">
        <f aca="false">IF(A960="","",INDEX(הגדרות!$H$16:$H$27,MONTH(A960)))</f>
        <v/>
      </c>
    </row>
    <row r="961" customFormat="false" ht="15" hidden="false" customHeight="false" outlineLevel="0" collapsed="false">
      <c r="A961" s="55"/>
      <c r="B961" s="56"/>
      <c r="C961" s="57" t="str">
        <f aca="false">IF(B961="","",IFERROR(INDEX(הגדרות!$A$8:$A$53,MATCH(B961,הגדרות!$B$8:$B$53,0)),"⚠ לא בהגדרות"))</f>
        <v/>
      </c>
      <c r="D961" s="56"/>
      <c r="E961" s="58"/>
      <c r="F961" s="57" t="str">
        <f aca="false">IF(A961="","",INDEX(הגדרות!$H$16:$H$27,MONTH(A961)))</f>
        <v/>
      </c>
    </row>
    <row r="962" customFormat="false" ht="15" hidden="false" customHeight="false" outlineLevel="0" collapsed="false">
      <c r="A962" s="50"/>
      <c r="B962" s="51"/>
      <c r="C962" s="52" t="str">
        <f aca="false">IF(B962="","",IFERROR(INDEX(הגדרות!$A$8:$A$53,MATCH(B962,הגדרות!$B$8:$B$53,0)),"⚠ לא בהגדרות"))</f>
        <v/>
      </c>
      <c r="D962" s="51"/>
      <c r="E962" s="53"/>
      <c r="F962" s="52" t="str">
        <f aca="false">IF(A962="","",INDEX(הגדרות!$H$16:$H$27,MONTH(A962)))</f>
        <v/>
      </c>
    </row>
    <row r="963" customFormat="false" ht="15" hidden="false" customHeight="false" outlineLevel="0" collapsed="false">
      <c r="A963" s="55"/>
      <c r="B963" s="56"/>
      <c r="C963" s="57" t="str">
        <f aca="false">IF(B963="","",IFERROR(INDEX(הגדרות!$A$8:$A$53,MATCH(B963,הגדרות!$B$8:$B$53,0)),"⚠ לא בהגדרות"))</f>
        <v/>
      </c>
      <c r="D963" s="56"/>
      <c r="E963" s="58"/>
      <c r="F963" s="57" t="str">
        <f aca="false">IF(A963="","",INDEX(הגדרות!$H$16:$H$27,MONTH(A963)))</f>
        <v/>
      </c>
    </row>
    <row r="964" customFormat="false" ht="15" hidden="false" customHeight="false" outlineLevel="0" collapsed="false">
      <c r="A964" s="50"/>
      <c r="B964" s="51"/>
      <c r="C964" s="52" t="str">
        <f aca="false">IF(B964="","",IFERROR(INDEX(הגדרות!$A$8:$A$53,MATCH(B964,הגדרות!$B$8:$B$53,0)),"⚠ לא בהגדרות"))</f>
        <v/>
      </c>
      <c r="D964" s="51"/>
      <c r="E964" s="53"/>
      <c r="F964" s="52" t="str">
        <f aca="false">IF(A964="","",INDEX(הגדרות!$H$16:$H$27,MONTH(A964)))</f>
        <v/>
      </c>
    </row>
    <row r="965" customFormat="false" ht="15" hidden="false" customHeight="false" outlineLevel="0" collapsed="false">
      <c r="A965" s="55"/>
      <c r="B965" s="56"/>
      <c r="C965" s="57" t="str">
        <f aca="false">IF(B965="","",IFERROR(INDEX(הגדרות!$A$8:$A$53,MATCH(B965,הגדרות!$B$8:$B$53,0)),"⚠ לא בהגדרות"))</f>
        <v/>
      </c>
      <c r="D965" s="56"/>
      <c r="E965" s="58"/>
      <c r="F965" s="57" t="str">
        <f aca="false">IF(A965="","",INDEX(הגדרות!$H$16:$H$27,MONTH(A965)))</f>
        <v/>
      </c>
    </row>
    <row r="966" customFormat="false" ht="15" hidden="false" customHeight="false" outlineLevel="0" collapsed="false">
      <c r="A966" s="50"/>
      <c r="B966" s="51"/>
      <c r="C966" s="52" t="str">
        <f aca="false">IF(B966="","",IFERROR(INDEX(הגדרות!$A$8:$A$53,MATCH(B966,הגדרות!$B$8:$B$53,0)),"⚠ לא בהגדרות"))</f>
        <v/>
      </c>
      <c r="D966" s="51"/>
      <c r="E966" s="53"/>
      <c r="F966" s="52" t="str">
        <f aca="false">IF(A966="","",INDEX(הגדרות!$H$16:$H$27,MONTH(A966)))</f>
        <v/>
      </c>
    </row>
    <row r="967" customFormat="false" ht="15" hidden="false" customHeight="false" outlineLevel="0" collapsed="false">
      <c r="A967" s="55"/>
      <c r="B967" s="56"/>
      <c r="C967" s="57" t="str">
        <f aca="false">IF(B967="","",IFERROR(INDEX(הגדרות!$A$8:$A$53,MATCH(B967,הגדרות!$B$8:$B$53,0)),"⚠ לא בהגדרות"))</f>
        <v/>
      </c>
      <c r="D967" s="56"/>
      <c r="E967" s="58"/>
      <c r="F967" s="57" t="str">
        <f aca="false">IF(A967="","",INDEX(הגדרות!$H$16:$H$27,MONTH(A967)))</f>
        <v/>
      </c>
    </row>
    <row r="968" customFormat="false" ht="15" hidden="false" customHeight="false" outlineLevel="0" collapsed="false">
      <c r="A968" s="50"/>
      <c r="B968" s="51"/>
      <c r="C968" s="52" t="str">
        <f aca="false">IF(B968="","",IFERROR(INDEX(הגדרות!$A$8:$A$53,MATCH(B968,הגדרות!$B$8:$B$53,0)),"⚠ לא בהגדרות"))</f>
        <v/>
      </c>
      <c r="D968" s="51"/>
      <c r="E968" s="53"/>
      <c r="F968" s="52" t="str">
        <f aca="false">IF(A968="","",INDEX(הגדרות!$H$16:$H$27,MONTH(A968)))</f>
        <v/>
      </c>
    </row>
    <row r="969" customFormat="false" ht="15" hidden="false" customHeight="false" outlineLevel="0" collapsed="false">
      <c r="A969" s="55"/>
      <c r="B969" s="56"/>
      <c r="C969" s="57" t="str">
        <f aca="false">IF(B969="","",IFERROR(INDEX(הגדרות!$A$8:$A$53,MATCH(B969,הגדרות!$B$8:$B$53,0)),"⚠ לא בהגדרות"))</f>
        <v/>
      </c>
      <c r="D969" s="56"/>
      <c r="E969" s="58"/>
      <c r="F969" s="57" t="str">
        <f aca="false">IF(A969="","",INDEX(הגדרות!$H$16:$H$27,MONTH(A969)))</f>
        <v/>
      </c>
    </row>
    <row r="970" customFormat="false" ht="15" hidden="false" customHeight="false" outlineLevel="0" collapsed="false">
      <c r="A970" s="50"/>
      <c r="B970" s="51"/>
      <c r="C970" s="52" t="str">
        <f aca="false">IF(B970="","",IFERROR(INDEX(הגדרות!$A$8:$A$53,MATCH(B970,הגדרות!$B$8:$B$53,0)),"⚠ לא בהגדרות"))</f>
        <v/>
      </c>
      <c r="D970" s="51"/>
      <c r="E970" s="53"/>
      <c r="F970" s="52" t="str">
        <f aca="false">IF(A970="","",INDEX(הגדרות!$H$16:$H$27,MONTH(A970)))</f>
        <v/>
      </c>
    </row>
    <row r="971" customFormat="false" ht="15" hidden="false" customHeight="false" outlineLevel="0" collapsed="false">
      <c r="A971" s="55"/>
      <c r="B971" s="56"/>
      <c r="C971" s="57" t="str">
        <f aca="false">IF(B971="","",IFERROR(INDEX(הגדרות!$A$8:$A$53,MATCH(B971,הגדרות!$B$8:$B$53,0)),"⚠ לא בהגדרות"))</f>
        <v/>
      </c>
      <c r="D971" s="56"/>
      <c r="E971" s="58"/>
      <c r="F971" s="57" t="str">
        <f aca="false">IF(A971="","",INDEX(הגדרות!$H$16:$H$27,MONTH(A971)))</f>
        <v/>
      </c>
    </row>
    <row r="972" customFormat="false" ht="15" hidden="false" customHeight="false" outlineLevel="0" collapsed="false">
      <c r="A972" s="50"/>
      <c r="B972" s="51"/>
      <c r="C972" s="52" t="str">
        <f aca="false">IF(B972="","",IFERROR(INDEX(הגדרות!$A$8:$A$53,MATCH(B972,הגדרות!$B$8:$B$53,0)),"⚠ לא בהגדרות"))</f>
        <v/>
      </c>
      <c r="D972" s="51"/>
      <c r="E972" s="53"/>
      <c r="F972" s="52" t="str">
        <f aca="false">IF(A972="","",INDEX(הגדרות!$H$16:$H$27,MONTH(A972)))</f>
        <v/>
      </c>
    </row>
    <row r="973" customFormat="false" ht="15" hidden="false" customHeight="false" outlineLevel="0" collapsed="false">
      <c r="A973" s="55"/>
      <c r="B973" s="56"/>
      <c r="C973" s="57" t="str">
        <f aca="false">IF(B973="","",IFERROR(INDEX(הגדרות!$A$8:$A$53,MATCH(B973,הגדרות!$B$8:$B$53,0)),"⚠ לא בהגדרות"))</f>
        <v/>
      </c>
      <c r="D973" s="56"/>
      <c r="E973" s="58"/>
      <c r="F973" s="57" t="str">
        <f aca="false">IF(A973="","",INDEX(הגדרות!$H$16:$H$27,MONTH(A973)))</f>
        <v/>
      </c>
    </row>
    <row r="974" customFormat="false" ht="15" hidden="false" customHeight="false" outlineLevel="0" collapsed="false">
      <c r="A974" s="50"/>
      <c r="B974" s="51"/>
      <c r="C974" s="52" t="str">
        <f aca="false">IF(B974="","",IFERROR(INDEX(הגדרות!$A$8:$A$53,MATCH(B974,הגדרות!$B$8:$B$53,0)),"⚠ לא בהגדרות"))</f>
        <v/>
      </c>
      <c r="D974" s="51"/>
      <c r="E974" s="53"/>
      <c r="F974" s="52" t="str">
        <f aca="false">IF(A974="","",INDEX(הגדרות!$H$16:$H$27,MONTH(A974)))</f>
        <v/>
      </c>
    </row>
    <row r="975" customFormat="false" ht="15" hidden="false" customHeight="false" outlineLevel="0" collapsed="false">
      <c r="A975" s="55"/>
      <c r="B975" s="56"/>
      <c r="C975" s="57" t="str">
        <f aca="false">IF(B975="","",IFERROR(INDEX(הגדרות!$A$8:$A$53,MATCH(B975,הגדרות!$B$8:$B$53,0)),"⚠ לא בהגדרות"))</f>
        <v/>
      </c>
      <c r="D975" s="56"/>
      <c r="E975" s="58"/>
      <c r="F975" s="57" t="str">
        <f aca="false">IF(A975="","",INDEX(הגדרות!$H$16:$H$27,MONTH(A975)))</f>
        <v/>
      </c>
    </row>
    <row r="976" customFormat="false" ht="15" hidden="false" customHeight="false" outlineLevel="0" collapsed="false">
      <c r="A976" s="50"/>
      <c r="B976" s="51"/>
      <c r="C976" s="52" t="str">
        <f aca="false">IF(B976="","",IFERROR(INDEX(הגדרות!$A$8:$A$53,MATCH(B976,הגדרות!$B$8:$B$53,0)),"⚠ לא בהגדרות"))</f>
        <v/>
      </c>
      <c r="D976" s="51"/>
      <c r="E976" s="53"/>
      <c r="F976" s="52" t="str">
        <f aca="false">IF(A976="","",INDEX(הגדרות!$H$16:$H$27,MONTH(A976)))</f>
        <v/>
      </c>
    </row>
    <row r="977" customFormat="false" ht="15" hidden="false" customHeight="false" outlineLevel="0" collapsed="false">
      <c r="A977" s="55"/>
      <c r="B977" s="56"/>
      <c r="C977" s="57" t="str">
        <f aca="false">IF(B977="","",IFERROR(INDEX(הגדרות!$A$8:$A$53,MATCH(B977,הגדרות!$B$8:$B$53,0)),"⚠ לא בהגדרות"))</f>
        <v/>
      </c>
      <c r="D977" s="56"/>
      <c r="E977" s="58"/>
      <c r="F977" s="57" t="str">
        <f aca="false">IF(A977="","",INDEX(הגדרות!$H$16:$H$27,MONTH(A977)))</f>
        <v/>
      </c>
    </row>
    <row r="978" customFormat="false" ht="15" hidden="false" customHeight="false" outlineLevel="0" collapsed="false">
      <c r="A978" s="50"/>
      <c r="B978" s="51"/>
      <c r="C978" s="52" t="str">
        <f aca="false">IF(B978="","",IFERROR(INDEX(הגדרות!$A$8:$A$53,MATCH(B978,הגדרות!$B$8:$B$53,0)),"⚠ לא בהגדרות"))</f>
        <v/>
      </c>
      <c r="D978" s="51"/>
      <c r="E978" s="53"/>
      <c r="F978" s="52" t="str">
        <f aca="false">IF(A978="","",INDEX(הגדרות!$H$16:$H$27,MONTH(A978)))</f>
        <v/>
      </c>
    </row>
    <row r="979" customFormat="false" ht="15" hidden="false" customHeight="false" outlineLevel="0" collapsed="false">
      <c r="A979" s="55"/>
      <c r="B979" s="56"/>
      <c r="C979" s="57" t="str">
        <f aca="false">IF(B979="","",IFERROR(INDEX(הגדרות!$A$8:$A$53,MATCH(B979,הגדרות!$B$8:$B$53,0)),"⚠ לא בהגדרות"))</f>
        <v/>
      </c>
      <c r="D979" s="56"/>
      <c r="E979" s="58"/>
      <c r="F979" s="57" t="str">
        <f aca="false">IF(A979="","",INDEX(הגדרות!$H$16:$H$27,MONTH(A979)))</f>
        <v/>
      </c>
    </row>
    <row r="980" customFormat="false" ht="15" hidden="false" customHeight="false" outlineLevel="0" collapsed="false">
      <c r="A980" s="50"/>
      <c r="B980" s="51"/>
      <c r="C980" s="52" t="str">
        <f aca="false">IF(B980="","",IFERROR(INDEX(הגדרות!$A$8:$A$53,MATCH(B980,הגדרות!$B$8:$B$53,0)),"⚠ לא בהגדרות"))</f>
        <v/>
      </c>
      <c r="D980" s="51"/>
      <c r="E980" s="53"/>
      <c r="F980" s="52" t="str">
        <f aca="false">IF(A980="","",INDEX(הגדרות!$H$16:$H$27,MONTH(A980)))</f>
        <v/>
      </c>
    </row>
    <row r="981" customFormat="false" ht="15" hidden="false" customHeight="false" outlineLevel="0" collapsed="false">
      <c r="A981" s="55"/>
      <c r="B981" s="56"/>
      <c r="C981" s="57" t="str">
        <f aca="false">IF(B981="","",IFERROR(INDEX(הגדרות!$A$8:$A$53,MATCH(B981,הגדרות!$B$8:$B$53,0)),"⚠ לא בהגדרות"))</f>
        <v/>
      </c>
      <c r="D981" s="56"/>
      <c r="E981" s="58"/>
      <c r="F981" s="57" t="str">
        <f aca="false">IF(A981="","",INDEX(הגדרות!$H$16:$H$27,MONTH(A981)))</f>
        <v/>
      </c>
    </row>
    <row r="982" customFormat="false" ht="15" hidden="false" customHeight="false" outlineLevel="0" collapsed="false">
      <c r="A982" s="50"/>
      <c r="B982" s="51"/>
      <c r="C982" s="52" t="str">
        <f aca="false">IF(B982="","",IFERROR(INDEX(הגדרות!$A$8:$A$53,MATCH(B982,הגדרות!$B$8:$B$53,0)),"⚠ לא בהגדרות"))</f>
        <v/>
      </c>
      <c r="D982" s="51"/>
      <c r="E982" s="53"/>
      <c r="F982" s="52" t="str">
        <f aca="false">IF(A982="","",INDEX(הגדרות!$H$16:$H$27,MONTH(A982)))</f>
        <v/>
      </c>
    </row>
    <row r="983" customFormat="false" ht="15" hidden="false" customHeight="false" outlineLevel="0" collapsed="false">
      <c r="A983" s="55"/>
      <c r="B983" s="56"/>
      <c r="C983" s="57" t="str">
        <f aca="false">IF(B983="","",IFERROR(INDEX(הגדרות!$A$8:$A$53,MATCH(B983,הגדרות!$B$8:$B$53,0)),"⚠ לא בהגדרות"))</f>
        <v/>
      </c>
      <c r="D983" s="56"/>
      <c r="E983" s="58"/>
      <c r="F983" s="57" t="str">
        <f aca="false">IF(A983="","",INDEX(הגדרות!$H$16:$H$27,MONTH(A983)))</f>
        <v/>
      </c>
    </row>
    <row r="984" customFormat="false" ht="15" hidden="false" customHeight="false" outlineLevel="0" collapsed="false">
      <c r="A984" s="50"/>
      <c r="B984" s="51"/>
      <c r="C984" s="52" t="str">
        <f aca="false">IF(B984="","",IFERROR(INDEX(הגדרות!$A$8:$A$53,MATCH(B984,הגדרות!$B$8:$B$53,0)),"⚠ לא בהגדרות"))</f>
        <v/>
      </c>
      <c r="D984" s="51"/>
      <c r="E984" s="53"/>
      <c r="F984" s="52" t="str">
        <f aca="false">IF(A984="","",INDEX(הגדרות!$H$16:$H$27,MONTH(A984)))</f>
        <v/>
      </c>
    </row>
    <row r="985" customFormat="false" ht="15" hidden="false" customHeight="false" outlineLevel="0" collapsed="false">
      <c r="A985" s="55"/>
      <c r="B985" s="56"/>
      <c r="C985" s="57" t="str">
        <f aca="false">IF(B985="","",IFERROR(INDEX(הגדרות!$A$8:$A$53,MATCH(B985,הגדרות!$B$8:$B$53,0)),"⚠ לא בהגדרות"))</f>
        <v/>
      </c>
      <c r="D985" s="56"/>
      <c r="E985" s="58"/>
      <c r="F985" s="57" t="str">
        <f aca="false">IF(A985="","",INDEX(הגדרות!$H$16:$H$27,MONTH(A985)))</f>
        <v/>
      </c>
    </row>
    <row r="986" customFormat="false" ht="15" hidden="false" customHeight="false" outlineLevel="0" collapsed="false">
      <c r="A986" s="50"/>
      <c r="B986" s="51"/>
      <c r="C986" s="52" t="str">
        <f aca="false">IF(B986="","",IFERROR(INDEX(הגדרות!$A$8:$A$53,MATCH(B986,הגדרות!$B$8:$B$53,0)),"⚠ לא בהגדרות"))</f>
        <v/>
      </c>
      <c r="D986" s="51"/>
      <c r="E986" s="53"/>
      <c r="F986" s="52" t="str">
        <f aca="false">IF(A986="","",INDEX(הגדרות!$H$16:$H$27,MONTH(A986)))</f>
        <v/>
      </c>
    </row>
    <row r="987" customFormat="false" ht="15" hidden="false" customHeight="false" outlineLevel="0" collapsed="false">
      <c r="A987" s="55"/>
      <c r="B987" s="56"/>
      <c r="C987" s="57" t="str">
        <f aca="false">IF(B987="","",IFERROR(INDEX(הגדרות!$A$8:$A$53,MATCH(B987,הגדרות!$B$8:$B$53,0)),"⚠ לא בהגדרות"))</f>
        <v/>
      </c>
      <c r="D987" s="56"/>
      <c r="E987" s="58"/>
      <c r="F987" s="57" t="str">
        <f aca="false">IF(A987="","",INDEX(הגדרות!$H$16:$H$27,MONTH(A987)))</f>
        <v/>
      </c>
    </row>
    <row r="988" customFormat="false" ht="15" hidden="false" customHeight="false" outlineLevel="0" collapsed="false">
      <c r="A988" s="50"/>
      <c r="B988" s="51"/>
      <c r="C988" s="52" t="str">
        <f aca="false">IF(B988="","",IFERROR(INDEX(הגדרות!$A$8:$A$53,MATCH(B988,הגדרות!$B$8:$B$53,0)),"⚠ לא בהגדרות"))</f>
        <v/>
      </c>
      <c r="D988" s="51"/>
      <c r="E988" s="53"/>
      <c r="F988" s="52" t="str">
        <f aca="false">IF(A988="","",INDEX(הגדרות!$H$16:$H$27,MONTH(A988)))</f>
        <v/>
      </c>
    </row>
    <row r="989" customFormat="false" ht="15" hidden="false" customHeight="false" outlineLevel="0" collapsed="false">
      <c r="A989" s="55"/>
      <c r="B989" s="56"/>
      <c r="C989" s="57" t="str">
        <f aca="false">IF(B989="","",IFERROR(INDEX(הגדרות!$A$8:$A$53,MATCH(B989,הגדרות!$B$8:$B$53,0)),"⚠ לא בהגדרות"))</f>
        <v/>
      </c>
      <c r="D989" s="56"/>
      <c r="E989" s="58"/>
      <c r="F989" s="57" t="str">
        <f aca="false">IF(A989="","",INDEX(הגדרות!$H$16:$H$27,MONTH(A989)))</f>
        <v/>
      </c>
    </row>
    <row r="990" customFormat="false" ht="15" hidden="false" customHeight="false" outlineLevel="0" collapsed="false">
      <c r="A990" s="50"/>
      <c r="B990" s="51"/>
      <c r="C990" s="52" t="str">
        <f aca="false">IF(B990="","",IFERROR(INDEX(הגדרות!$A$8:$A$53,MATCH(B990,הגדרות!$B$8:$B$53,0)),"⚠ לא בהגדרות"))</f>
        <v/>
      </c>
      <c r="D990" s="51"/>
      <c r="E990" s="53"/>
      <c r="F990" s="52" t="str">
        <f aca="false">IF(A990="","",INDEX(הגדרות!$H$16:$H$27,MONTH(A990)))</f>
        <v/>
      </c>
    </row>
    <row r="991" customFormat="false" ht="15" hidden="false" customHeight="false" outlineLevel="0" collapsed="false">
      <c r="A991" s="55"/>
      <c r="B991" s="56"/>
      <c r="C991" s="57" t="str">
        <f aca="false">IF(B991="","",IFERROR(INDEX(הגדרות!$A$8:$A$53,MATCH(B991,הגדרות!$B$8:$B$53,0)),"⚠ לא בהגדרות"))</f>
        <v/>
      </c>
      <c r="D991" s="56"/>
      <c r="E991" s="58"/>
      <c r="F991" s="57" t="str">
        <f aca="false">IF(A991="","",INDEX(הגדרות!$H$16:$H$27,MONTH(A991)))</f>
        <v/>
      </c>
    </row>
    <row r="992" customFormat="false" ht="15" hidden="false" customHeight="false" outlineLevel="0" collapsed="false">
      <c r="A992" s="50"/>
      <c r="B992" s="51"/>
      <c r="C992" s="52" t="str">
        <f aca="false">IF(B992="","",IFERROR(INDEX(הגדרות!$A$8:$A$53,MATCH(B992,הגדרות!$B$8:$B$53,0)),"⚠ לא בהגדרות"))</f>
        <v/>
      </c>
      <c r="D992" s="51"/>
      <c r="E992" s="53"/>
      <c r="F992" s="52" t="str">
        <f aca="false">IF(A992="","",INDEX(הגדרות!$H$16:$H$27,MONTH(A992)))</f>
        <v/>
      </c>
    </row>
    <row r="993" customFormat="false" ht="15" hidden="false" customHeight="false" outlineLevel="0" collapsed="false">
      <c r="A993" s="55"/>
      <c r="B993" s="56"/>
      <c r="C993" s="57" t="str">
        <f aca="false">IF(B993="","",IFERROR(INDEX(הגדרות!$A$8:$A$53,MATCH(B993,הגדרות!$B$8:$B$53,0)),"⚠ לא בהגדרות"))</f>
        <v/>
      </c>
      <c r="D993" s="56"/>
      <c r="E993" s="58"/>
      <c r="F993" s="57" t="str">
        <f aca="false">IF(A993="","",INDEX(הגדרות!$H$16:$H$27,MONTH(A993)))</f>
        <v/>
      </c>
    </row>
    <row r="994" customFormat="false" ht="15" hidden="false" customHeight="false" outlineLevel="0" collapsed="false">
      <c r="A994" s="50"/>
      <c r="B994" s="51"/>
      <c r="C994" s="52" t="str">
        <f aca="false">IF(B994="","",IFERROR(INDEX(הגדרות!$A$8:$A$53,MATCH(B994,הגדרות!$B$8:$B$53,0)),"⚠ לא בהגדרות"))</f>
        <v/>
      </c>
      <c r="D994" s="51"/>
      <c r="E994" s="53"/>
      <c r="F994" s="52" t="str">
        <f aca="false">IF(A994="","",INDEX(הגדרות!$H$16:$H$27,MONTH(A994)))</f>
        <v/>
      </c>
    </row>
    <row r="995" customFormat="false" ht="15" hidden="false" customHeight="false" outlineLevel="0" collapsed="false">
      <c r="A995" s="55"/>
      <c r="B995" s="56"/>
      <c r="C995" s="57" t="str">
        <f aca="false">IF(B995="","",IFERROR(INDEX(הגדרות!$A$8:$A$53,MATCH(B995,הגדרות!$B$8:$B$53,0)),"⚠ לא בהגדרות"))</f>
        <v/>
      </c>
      <c r="D995" s="56"/>
      <c r="E995" s="58"/>
      <c r="F995" s="57" t="str">
        <f aca="false">IF(A995="","",INDEX(הגדרות!$H$16:$H$27,MONTH(A995)))</f>
        <v/>
      </c>
    </row>
    <row r="996" customFormat="false" ht="15" hidden="false" customHeight="false" outlineLevel="0" collapsed="false">
      <c r="A996" s="50"/>
      <c r="B996" s="51"/>
      <c r="C996" s="52" t="str">
        <f aca="false">IF(B996="","",IFERROR(INDEX(הגדרות!$A$8:$A$53,MATCH(B996,הגדרות!$B$8:$B$53,0)),"⚠ לא בהגדרות"))</f>
        <v/>
      </c>
      <c r="D996" s="51"/>
      <c r="E996" s="53"/>
      <c r="F996" s="52" t="str">
        <f aca="false">IF(A996="","",INDEX(הגדרות!$H$16:$H$27,MONTH(A996)))</f>
        <v/>
      </c>
    </row>
    <row r="997" customFormat="false" ht="15" hidden="false" customHeight="false" outlineLevel="0" collapsed="false">
      <c r="A997" s="55"/>
      <c r="B997" s="56"/>
      <c r="C997" s="57" t="str">
        <f aca="false">IF(B997="","",IFERROR(INDEX(הגדרות!$A$8:$A$53,MATCH(B997,הגדרות!$B$8:$B$53,0)),"⚠ לא בהגדרות"))</f>
        <v/>
      </c>
      <c r="D997" s="56"/>
      <c r="E997" s="58"/>
      <c r="F997" s="57" t="str">
        <f aca="false">IF(A997="","",INDEX(הגדרות!$H$16:$H$27,MONTH(A997)))</f>
        <v/>
      </c>
    </row>
    <row r="998" customFormat="false" ht="15" hidden="false" customHeight="false" outlineLevel="0" collapsed="false">
      <c r="A998" s="50"/>
      <c r="B998" s="51"/>
      <c r="C998" s="52" t="str">
        <f aca="false">IF(B998="","",IFERROR(INDEX(הגדרות!$A$8:$A$53,MATCH(B998,הגדרות!$B$8:$B$53,0)),"⚠ לא בהגדרות"))</f>
        <v/>
      </c>
      <c r="D998" s="51"/>
      <c r="E998" s="53"/>
      <c r="F998" s="52" t="str">
        <f aca="false">IF(A998="","",INDEX(הגדרות!$H$16:$H$27,MONTH(A998)))</f>
        <v/>
      </c>
    </row>
    <row r="999" customFormat="false" ht="15" hidden="false" customHeight="false" outlineLevel="0" collapsed="false">
      <c r="A999" s="55"/>
      <c r="B999" s="56"/>
      <c r="C999" s="57" t="str">
        <f aca="false">IF(B999="","",IFERROR(INDEX(הגדרות!$A$8:$A$53,MATCH(B999,הגדרות!$B$8:$B$53,0)),"⚠ לא בהגדרות"))</f>
        <v/>
      </c>
      <c r="D999" s="56"/>
      <c r="E999" s="58"/>
      <c r="F999" s="57" t="str">
        <f aca="false">IF(A999="","",INDEX(הגדרות!$H$16:$H$27,MONTH(A999)))</f>
        <v/>
      </c>
    </row>
    <row r="1000" customFormat="false" ht="15" hidden="false" customHeight="false" outlineLevel="0" collapsed="false">
      <c r="A1000" s="50"/>
      <c r="B1000" s="51"/>
      <c r="C1000" s="52" t="str">
        <f aca="false">IF(B1000="","",IFERROR(INDEX(הגדרות!$A$8:$A$53,MATCH(B1000,הגדרות!$B$8:$B$53,0)),"⚠ לא בהגדרות"))</f>
        <v/>
      </c>
      <c r="D1000" s="51"/>
      <c r="E1000" s="53"/>
      <c r="F1000" s="52" t="str">
        <f aca="false">IF(A1000="","",INDEX(הגדרות!$H$16:$H$27,MONTH(A1000)))</f>
        <v/>
      </c>
    </row>
    <row r="1001" customFormat="false" ht="15" hidden="false" customHeight="false" outlineLevel="0" collapsed="false">
      <c r="A1001" s="55"/>
      <c r="B1001" s="56"/>
      <c r="C1001" s="57" t="str">
        <f aca="false">IF(B1001="","",IFERROR(INDEX(הגדרות!$A$8:$A$53,MATCH(B1001,הגדרות!$B$8:$B$53,0)),"⚠ לא בהגדרות"))</f>
        <v/>
      </c>
      <c r="D1001" s="56"/>
      <c r="E1001" s="58"/>
      <c r="F1001" s="57" t="str">
        <f aca="false">IF(A1001="","",INDEX(הגדרות!$H$16:$H$27,MONTH(A1001)))</f>
        <v/>
      </c>
    </row>
    <row r="1002" customFormat="false" ht="15" hidden="false" customHeight="false" outlineLevel="0" collapsed="false">
      <c r="A1002" s="50"/>
      <c r="B1002" s="51"/>
      <c r="C1002" s="52" t="str">
        <f aca="false">IF(B1002="","",IFERROR(INDEX(הגדרות!$A$8:$A$53,MATCH(B1002,הגדרות!$B$8:$B$53,0)),"⚠ לא בהגדרות"))</f>
        <v/>
      </c>
      <c r="D1002" s="51"/>
      <c r="E1002" s="53"/>
      <c r="F1002" s="52" t="str">
        <f aca="false">IF(A1002="","",INDEX(הגדרות!$H$16:$H$27,MONTH(A1002)))</f>
        <v/>
      </c>
    </row>
    <row r="1003" customFormat="false" ht="15" hidden="false" customHeight="false" outlineLevel="0" collapsed="false">
      <c r="A1003" s="55"/>
      <c r="B1003" s="56"/>
      <c r="C1003" s="57" t="str">
        <f aca="false">IF(B1003="","",IFERROR(INDEX(הגדרות!$A$8:$A$53,MATCH(B1003,הגדרות!$B$8:$B$53,0)),"⚠ לא בהגדרות"))</f>
        <v/>
      </c>
      <c r="D1003" s="56"/>
      <c r="E1003" s="58"/>
      <c r="F1003" s="57" t="str">
        <f aca="false">IF(A1003="","",INDEX(הגדרות!$H$16:$H$27,MONTH(A1003)))</f>
        <v/>
      </c>
    </row>
    <row r="1004" customFormat="false" ht="15" hidden="false" customHeight="false" outlineLevel="0" collapsed="false">
      <c r="A1004" s="50"/>
      <c r="B1004" s="51"/>
      <c r="C1004" s="52" t="str">
        <f aca="false">IF(B1004="","",IFERROR(INDEX(הגדרות!$A$8:$A$53,MATCH(B1004,הגדרות!$B$8:$B$53,0)),"⚠ לא בהגדרות"))</f>
        <v/>
      </c>
      <c r="D1004" s="51"/>
      <c r="E1004" s="53"/>
      <c r="F1004" s="52" t="str">
        <f aca="false">IF(A1004="","",INDEX(הגדרות!$H$16:$H$27,MONTH(A1004)))</f>
        <v/>
      </c>
    </row>
    <row r="1005" customFormat="false" ht="15" hidden="false" customHeight="false" outlineLevel="0" collapsed="false">
      <c r="A1005" s="55"/>
      <c r="B1005" s="56"/>
      <c r="C1005" s="57" t="str">
        <f aca="false">IF(B1005="","",IFERROR(INDEX(הגדרות!$A$8:$A$53,MATCH(B1005,הגדרות!$B$8:$B$53,0)),"⚠ לא בהגדרות"))</f>
        <v/>
      </c>
      <c r="D1005" s="56"/>
      <c r="E1005" s="58"/>
      <c r="F1005" s="57" t="str">
        <f aca="false">IF(A1005="","",INDEX(הגדרות!$H$16:$H$27,MONTH(A1005)))</f>
        <v/>
      </c>
    </row>
    <row r="1006" customFormat="false" ht="15" hidden="false" customHeight="false" outlineLevel="0" collapsed="false">
      <c r="A1006" s="50"/>
      <c r="B1006" s="51"/>
      <c r="C1006" s="52" t="str">
        <f aca="false">IF(B1006="","",IFERROR(INDEX(הגדרות!$A$8:$A$53,MATCH(B1006,הגדרות!$B$8:$B$53,0)),"⚠ לא בהגדרות"))</f>
        <v/>
      </c>
      <c r="D1006" s="51"/>
      <c r="E1006" s="53"/>
      <c r="F1006" s="52" t="str">
        <f aca="false">IF(A1006="","",INDEX(הגדרות!$H$16:$H$27,MONTH(A1006)))</f>
        <v/>
      </c>
    </row>
    <row r="1007" customFormat="false" ht="15" hidden="false" customHeight="false" outlineLevel="0" collapsed="false">
      <c r="A1007" s="55"/>
      <c r="B1007" s="56"/>
      <c r="C1007" s="57" t="str">
        <f aca="false">IF(B1007="","",IFERROR(INDEX(הגדרות!$A$8:$A$53,MATCH(B1007,הגדרות!$B$8:$B$53,0)),"⚠ לא בהגדרות"))</f>
        <v/>
      </c>
      <c r="D1007" s="56"/>
      <c r="E1007" s="58"/>
      <c r="F1007" s="57" t="str">
        <f aca="false">IF(A1007="","",INDEX(הגדרות!$H$16:$H$27,MONTH(A1007)))</f>
        <v/>
      </c>
    </row>
    <row r="1008" customFormat="false" ht="15" hidden="false" customHeight="false" outlineLevel="0" collapsed="false">
      <c r="A1008" s="50"/>
      <c r="B1008" s="51"/>
      <c r="C1008" s="52" t="str">
        <f aca="false">IF(B1008="","",IFERROR(INDEX(הגדרות!$A$8:$A$53,MATCH(B1008,הגדרות!$B$8:$B$53,0)),"⚠ לא בהגדרות"))</f>
        <v/>
      </c>
      <c r="D1008" s="51"/>
      <c r="E1008" s="53"/>
      <c r="F1008" s="52" t="str">
        <f aca="false">IF(A1008="","",INDEX(הגדרות!$H$16:$H$27,MONTH(A1008)))</f>
        <v/>
      </c>
    </row>
    <row r="1009" customFormat="false" ht="15" hidden="false" customHeight="false" outlineLevel="0" collapsed="false">
      <c r="A1009" s="55"/>
      <c r="B1009" s="56"/>
      <c r="C1009" s="57" t="str">
        <f aca="false">IF(B1009="","",IFERROR(INDEX(הגדרות!$A$8:$A$53,MATCH(B1009,הגדרות!$B$8:$B$53,0)),"⚠ לא בהגדרות"))</f>
        <v/>
      </c>
      <c r="D1009" s="56"/>
      <c r="E1009" s="58"/>
      <c r="F1009" s="57" t="str">
        <f aca="false">IF(A1009="","",INDEX(הגדרות!$H$16:$H$27,MONTH(A1009)))</f>
        <v/>
      </c>
    </row>
    <row r="1010" customFormat="false" ht="15" hidden="false" customHeight="false" outlineLevel="0" collapsed="false">
      <c r="A1010" s="50"/>
      <c r="B1010" s="51"/>
      <c r="C1010" s="52" t="str">
        <f aca="false">IF(B1010="","",IFERROR(INDEX(הגדרות!$A$8:$A$53,MATCH(B1010,הגדרות!$B$8:$B$53,0)),"⚠ לא בהגדרות"))</f>
        <v/>
      </c>
      <c r="D1010" s="51"/>
      <c r="E1010" s="53"/>
      <c r="F1010" s="52" t="str">
        <f aca="false">IF(A1010="","",INDEX(הגדרות!$H$16:$H$27,MONTH(A1010)))</f>
        <v/>
      </c>
    </row>
    <row r="1011" customFormat="false" ht="15" hidden="false" customHeight="false" outlineLevel="0" collapsed="false">
      <c r="A1011" s="55"/>
      <c r="B1011" s="56"/>
      <c r="C1011" s="57" t="str">
        <f aca="false">IF(B1011="","",IFERROR(INDEX(הגדרות!$A$8:$A$53,MATCH(B1011,הגדרות!$B$8:$B$53,0)),"⚠ לא בהגדרות"))</f>
        <v/>
      </c>
      <c r="D1011" s="56"/>
      <c r="E1011" s="58"/>
      <c r="F1011" s="57" t="str">
        <f aca="false">IF(A1011="","",INDEX(הגדרות!$H$16:$H$27,MONTH(A1011)))</f>
        <v/>
      </c>
    </row>
    <row r="1012" customFormat="false" ht="15" hidden="false" customHeight="false" outlineLevel="0" collapsed="false">
      <c r="A1012" s="50"/>
      <c r="B1012" s="51"/>
      <c r="C1012" s="52" t="str">
        <f aca="false">IF(B1012="","",IFERROR(INDEX(הגדרות!$A$8:$A$53,MATCH(B1012,הגדרות!$B$8:$B$53,0)),"⚠ לא בהגדרות"))</f>
        <v/>
      </c>
      <c r="D1012" s="51"/>
      <c r="E1012" s="53"/>
      <c r="F1012" s="52" t="str">
        <f aca="false">IF(A1012="","",INDEX(הגדרות!$H$16:$H$27,MONTH(A1012)))</f>
        <v/>
      </c>
    </row>
    <row r="1013" customFormat="false" ht="15" hidden="false" customHeight="false" outlineLevel="0" collapsed="false">
      <c r="A1013" s="55"/>
      <c r="B1013" s="56"/>
      <c r="C1013" s="57" t="str">
        <f aca="false">IF(B1013="","",IFERROR(INDEX(הגדרות!$A$8:$A$53,MATCH(B1013,הגדרות!$B$8:$B$53,0)),"⚠ לא בהגדרות"))</f>
        <v/>
      </c>
      <c r="D1013" s="56"/>
      <c r="E1013" s="58"/>
      <c r="F1013" s="57" t="str">
        <f aca="false">IF(A1013="","",INDEX(הגדרות!$H$16:$H$27,MONTH(A1013)))</f>
        <v/>
      </c>
    </row>
    <row r="1014" customFormat="false" ht="15" hidden="false" customHeight="false" outlineLevel="0" collapsed="false">
      <c r="A1014" s="50"/>
      <c r="B1014" s="51"/>
      <c r="C1014" s="52" t="str">
        <f aca="false">IF(B1014="","",IFERROR(INDEX(הגדרות!$A$8:$A$53,MATCH(B1014,הגדרות!$B$8:$B$53,0)),"⚠ לא בהגדרות"))</f>
        <v/>
      </c>
      <c r="D1014" s="51"/>
      <c r="E1014" s="53"/>
      <c r="F1014" s="52" t="str">
        <f aca="false">IF(A1014="","",INDEX(הגדרות!$H$16:$H$27,MONTH(A1014)))</f>
        <v/>
      </c>
    </row>
    <row r="1015" customFormat="false" ht="15" hidden="false" customHeight="false" outlineLevel="0" collapsed="false">
      <c r="A1015" s="55"/>
      <c r="B1015" s="56"/>
      <c r="C1015" s="57" t="str">
        <f aca="false">IF(B1015="","",IFERROR(INDEX(הגדרות!$A$8:$A$53,MATCH(B1015,הגדרות!$B$8:$B$53,0)),"⚠ לא בהגדרות"))</f>
        <v/>
      </c>
      <c r="D1015" s="56"/>
      <c r="E1015" s="58"/>
      <c r="F1015" s="57" t="str">
        <f aca="false">IF(A1015="","",INDEX(הגדרות!$H$16:$H$27,MONTH(A1015)))</f>
        <v/>
      </c>
    </row>
    <row r="1016" customFormat="false" ht="15" hidden="false" customHeight="false" outlineLevel="0" collapsed="false">
      <c r="A1016" s="50"/>
      <c r="B1016" s="51"/>
      <c r="C1016" s="52" t="str">
        <f aca="false">IF(B1016="","",IFERROR(INDEX(הגדרות!$A$8:$A$53,MATCH(B1016,הגדרות!$B$8:$B$53,0)),"⚠ לא בהגדרות"))</f>
        <v/>
      </c>
      <c r="D1016" s="51"/>
      <c r="E1016" s="53"/>
      <c r="F1016" s="52" t="str">
        <f aca="false">IF(A1016="","",INDEX(הגדרות!$H$16:$H$27,MONTH(A1016)))</f>
        <v/>
      </c>
    </row>
    <row r="1017" customFormat="false" ht="15" hidden="false" customHeight="false" outlineLevel="0" collapsed="false">
      <c r="A1017" s="55"/>
      <c r="B1017" s="56"/>
      <c r="C1017" s="57" t="str">
        <f aca="false">IF(B1017="","",IFERROR(INDEX(הגדרות!$A$8:$A$53,MATCH(B1017,הגדרות!$B$8:$B$53,0)),"⚠ לא בהגדרות"))</f>
        <v/>
      </c>
      <c r="D1017" s="56"/>
      <c r="E1017" s="58"/>
      <c r="F1017" s="57" t="str">
        <f aca="false">IF(A1017="","",INDEX(הגדרות!$H$16:$H$27,MONTH(A1017)))</f>
        <v/>
      </c>
    </row>
    <row r="1018" customFormat="false" ht="15" hidden="false" customHeight="false" outlineLevel="0" collapsed="false">
      <c r="A1018" s="50"/>
      <c r="B1018" s="51"/>
      <c r="C1018" s="52" t="str">
        <f aca="false">IF(B1018="","",IFERROR(INDEX(הגדרות!$A$8:$A$53,MATCH(B1018,הגדרות!$B$8:$B$53,0)),"⚠ לא בהגדרות"))</f>
        <v/>
      </c>
      <c r="D1018" s="51"/>
      <c r="E1018" s="53"/>
      <c r="F1018" s="52" t="str">
        <f aca="false">IF(A1018="","",INDEX(הגדרות!$H$16:$H$27,MONTH(A1018)))</f>
        <v/>
      </c>
    </row>
    <row r="1019" customFormat="false" ht="15" hidden="false" customHeight="false" outlineLevel="0" collapsed="false">
      <c r="A1019" s="55"/>
      <c r="B1019" s="56"/>
      <c r="C1019" s="57" t="str">
        <f aca="false">IF(B1019="","",IFERROR(INDEX(הגדרות!$A$8:$A$53,MATCH(B1019,הגדרות!$B$8:$B$53,0)),"⚠ לא בהגדרות"))</f>
        <v/>
      </c>
      <c r="D1019" s="56"/>
      <c r="E1019" s="58"/>
      <c r="F1019" s="57" t="str">
        <f aca="false">IF(A1019="","",INDEX(הגדרות!$H$16:$H$27,MONTH(A1019)))</f>
        <v/>
      </c>
    </row>
    <row r="1020" customFormat="false" ht="15" hidden="false" customHeight="false" outlineLevel="0" collapsed="false">
      <c r="A1020" s="50"/>
      <c r="B1020" s="51"/>
      <c r="C1020" s="52" t="str">
        <f aca="false">IF(B1020="","",IFERROR(INDEX(הגדרות!$A$8:$A$53,MATCH(B1020,הגדרות!$B$8:$B$53,0)),"⚠ לא בהגדרות"))</f>
        <v/>
      </c>
      <c r="D1020" s="51"/>
      <c r="E1020" s="53"/>
      <c r="F1020" s="52" t="str">
        <f aca="false">IF(A1020="","",INDEX(הגדרות!$H$16:$H$27,MONTH(A1020)))</f>
        <v/>
      </c>
    </row>
    <row r="1021" customFormat="false" ht="15" hidden="false" customHeight="false" outlineLevel="0" collapsed="false">
      <c r="A1021" s="55"/>
      <c r="B1021" s="56"/>
      <c r="C1021" s="57" t="str">
        <f aca="false">IF(B1021="","",IFERROR(INDEX(הגדרות!$A$8:$A$53,MATCH(B1021,הגדרות!$B$8:$B$53,0)),"⚠ לא בהגדרות"))</f>
        <v/>
      </c>
      <c r="D1021" s="56"/>
      <c r="E1021" s="58"/>
      <c r="F1021" s="57" t="str">
        <f aca="false">IF(A1021="","",INDEX(הגדרות!$H$16:$H$27,MONTH(A1021)))</f>
        <v/>
      </c>
    </row>
    <row r="1022" customFormat="false" ht="15" hidden="false" customHeight="false" outlineLevel="0" collapsed="false">
      <c r="A1022" s="50"/>
      <c r="B1022" s="51"/>
      <c r="C1022" s="52" t="str">
        <f aca="false">IF(B1022="","",IFERROR(INDEX(הגדרות!$A$8:$A$53,MATCH(B1022,הגדרות!$B$8:$B$53,0)),"⚠ לא בהגדרות"))</f>
        <v/>
      </c>
      <c r="D1022" s="51"/>
      <c r="E1022" s="53"/>
      <c r="F1022" s="52" t="str">
        <f aca="false">IF(A1022="","",INDEX(הגדרות!$H$16:$H$27,MONTH(A1022)))</f>
        <v/>
      </c>
    </row>
    <row r="1023" customFormat="false" ht="15" hidden="false" customHeight="false" outlineLevel="0" collapsed="false">
      <c r="A1023" s="55"/>
      <c r="B1023" s="56"/>
      <c r="C1023" s="57" t="str">
        <f aca="false">IF(B1023="","",IFERROR(INDEX(הגדרות!$A$8:$A$53,MATCH(B1023,הגדרות!$B$8:$B$53,0)),"⚠ לא בהגדרות"))</f>
        <v/>
      </c>
      <c r="D1023" s="56"/>
      <c r="E1023" s="58"/>
      <c r="F1023" s="57" t="str">
        <f aca="false">IF(A1023="","",INDEX(הגדרות!$H$16:$H$27,MONTH(A1023)))</f>
        <v/>
      </c>
    </row>
    <row r="1024" customFormat="false" ht="15" hidden="false" customHeight="false" outlineLevel="0" collapsed="false">
      <c r="A1024" s="50"/>
      <c r="B1024" s="51"/>
      <c r="C1024" s="52" t="str">
        <f aca="false">IF(B1024="","",IFERROR(INDEX(הגדרות!$A$8:$A$53,MATCH(B1024,הגדרות!$B$8:$B$53,0)),"⚠ לא בהגדרות"))</f>
        <v/>
      </c>
      <c r="D1024" s="51"/>
      <c r="E1024" s="53"/>
      <c r="F1024" s="52" t="str">
        <f aca="false">IF(A1024="","",INDEX(הגדרות!$H$16:$H$27,MONTH(A1024)))</f>
        <v/>
      </c>
    </row>
    <row r="1025" customFormat="false" ht="15" hidden="false" customHeight="false" outlineLevel="0" collapsed="false">
      <c r="A1025" s="55"/>
      <c r="B1025" s="56"/>
      <c r="C1025" s="57" t="str">
        <f aca="false">IF(B1025="","",IFERROR(INDEX(הגדרות!$A$8:$A$53,MATCH(B1025,הגדרות!$B$8:$B$53,0)),"⚠ לא בהגדרות"))</f>
        <v/>
      </c>
      <c r="D1025" s="56"/>
      <c r="E1025" s="58"/>
      <c r="F1025" s="57" t="str">
        <f aca="false">IF(A1025="","",INDEX(הגדרות!$H$16:$H$27,MONTH(A1025)))</f>
        <v/>
      </c>
    </row>
    <row r="1026" customFormat="false" ht="15" hidden="false" customHeight="false" outlineLevel="0" collapsed="false">
      <c r="A1026" s="50"/>
      <c r="B1026" s="51"/>
      <c r="C1026" s="52" t="str">
        <f aca="false">IF(B1026="","",IFERROR(INDEX(הגדרות!$A$8:$A$53,MATCH(B1026,הגדרות!$B$8:$B$53,0)),"⚠ לא בהגדרות"))</f>
        <v/>
      </c>
      <c r="D1026" s="51"/>
      <c r="E1026" s="53"/>
      <c r="F1026" s="52" t="str">
        <f aca="false">IF(A1026="","",INDEX(הגדרות!$H$16:$H$27,MONTH(A1026)))</f>
        <v/>
      </c>
    </row>
    <row r="1027" customFormat="false" ht="15" hidden="false" customHeight="false" outlineLevel="0" collapsed="false">
      <c r="A1027" s="55"/>
      <c r="B1027" s="56"/>
      <c r="C1027" s="57" t="str">
        <f aca="false">IF(B1027="","",IFERROR(INDEX(הגדרות!$A$8:$A$53,MATCH(B1027,הגדרות!$B$8:$B$53,0)),"⚠ לא בהגדרות"))</f>
        <v/>
      </c>
      <c r="D1027" s="56"/>
      <c r="E1027" s="58"/>
      <c r="F1027" s="57" t="str">
        <f aca="false">IF(A1027="","",INDEX(הגדרות!$H$16:$H$27,MONTH(A1027)))</f>
        <v/>
      </c>
    </row>
    <row r="1028" customFormat="false" ht="15" hidden="false" customHeight="false" outlineLevel="0" collapsed="false">
      <c r="A1028" s="50"/>
      <c r="B1028" s="51"/>
      <c r="C1028" s="52" t="str">
        <f aca="false">IF(B1028="","",IFERROR(INDEX(הגדרות!$A$8:$A$53,MATCH(B1028,הגדרות!$B$8:$B$53,0)),"⚠ לא בהגדרות"))</f>
        <v/>
      </c>
      <c r="D1028" s="51"/>
      <c r="E1028" s="53"/>
      <c r="F1028" s="52" t="str">
        <f aca="false">IF(A1028="","",INDEX(הגדרות!$H$16:$H$27,MONTH(A1028)))</f>
        <v/>
      </c>
    </row>
    <row r="1029" customFormat="false" ht="15" hidden="false" customHeight="false" outlineLevel="0" collapsed="false">
      <c r="A1029" s="55"/>
      <c r="B1029" s="56"/>
      <c r="C1029" s="57" t="str">
        <f aca="false">IF(B1029="","",IFERROR(INDEX(הגדרות!$A$8:$A$53,MATCH(B1029,הגדרות!$B$8:$B$53,0)),"⚠ לא בהגדרות"))</f>
        <v/>
      </c>
      <c r="D1029" s="56"/>
      <c r="E1029" s="58"/>
      <c r="F1029" s="57" t="str">
        <f aca="false">IF(A1029="","",INDEX(הגדרות!$H$16:$H$27,MONTH(A1029)))</f>
        <v/>
      </c>
    </row>
    <row r="1030" customFormat="false" ht="15" hidden="false" customHeight="false" outlineLevel="0" collapsed="false">
      <c r="A1030" s="50"/>
      <c r="B1030" s="51"/>
      <c r="C1030" s="52" t="str">
        <f aca="false">IF(B1030="","",IFERROR(INDEX(הגדרות!$A$8:$A$53,MATCH(B1030,הגדרות!$B$8:$B$53,0)),"⚠ לא בהגדרות"))</f>
        <v/>
      </c>
      <c r="D1030" s="51"/>
      <c r="E1030" s="53"/>
      <c r="F1030" s="52" t="str">
        <f aca="false">IF(A1030="","",INDEX(הגדרות!$H$16:$H$27,MONTH(A1030)))</f>
        <v/>
      </c>
    </row>
    <row r="1031" customFormat="false" ht="15" hidden="false" customHeight="false" outlineLevel="0" collapsed="false">
      <c r="A1031" s="55"/>
      <c r="B1031" s="56"/>
      <c r="C1031" s="57" t="str">
        <f aca="false">IF(B1031="","",IFERROR(INDEX(הגדרות!$A$8:$A$53,MATCH(B1031,הגדרות!$B$8:$B$53,0)),"⚠ לא בהגדרות"))</f>
        <v/>
      </c>
      <c r="D1031" s="56"/>
      <c r="E1031" s="58"/>
      <c r="F1031" s="57" t="str">
        <f aca="false">IF(A1031="","",INDEX(הגדרות!$H$16:$H$27,MONTH(A1031)))</f>
        <v/>
      </c>
    </row>
    <row r="1032" customFormat="false" ht="15" hidden="false" customHeight="false" outlineLevel="0" collapsed="false">
      <c r="A1032" s="50"/>
      <c r="B1032" s="51"/>
      <c r="C1032" s="52" t="str">
        <f aca="false">IF(B1032="","",IFERROR(INDEX(הגדרות!$A$8:$A$53,MATCH(B1032,הגדרות!$B$8:$B$53,0)),"⚠ לא בהגדרות"))</f>
        <v/>
      </c>
      <c r="D1032" s="51"/>
      <c r="E1032" s="53"/>
      <c r="F1032" s="52" t="str">
        <f aca="false">IF(A1032="","",INDEX(הגדרות!$H$16:$H$27,MONTH(A1032)))</f>
        <v/>
      </c>
    </row>
    <row r="1033" customFormat="false" ht="15" hidden="false" customHeight="false" outlineLevel="0" collapsed="false">
      <c r="A1033" s="55"/>
      <c r="B1033" s="56"/>
      <c r="C1033" s="57" t="str">
        <f aca="false">IF(B1033="","",IFERROR(INDEX(הגדרות!$A$8:$A$53,MATCH(B1033,הגדרות!$B$8:$B$53,0)),"⚠ לא בהגדרות"))</f>
        <v/>
      </c>
      <c r="D1033" s="56"/>
      <c r="E1033" s="58"/>
      <c r="F1033" s="57" t="str">
        <f aca="false">IF(A1033="","",INDEX(הגדרות!$H$16:$H$27,MONTH(A1033)))</f>
        <v/>
      </c>
    </row>
    <row r="1034" customFormat="false" ht="15" hidden="false" customHeight="false" outlineLevel="0" collapsed="false">
      <c r="A1034" s="50"/>
      <c r="B1034" s="51"/>
      <c r="C1034" s="52" t="str">
        <f aca="false">IF(B1034="","",IFERROR(INDEX(הגדרות!$A$8:$A$53,MATCH(B1034,הגדרות!$B$8:$B$53,0)),"⚠ לא בהגדרות"))</f>
        <v/>
      </c>
      <c r="D1034" s="51"/>
      <c r="E1034" s="53"/>
      <c r="F1034" s="52" t="str">
        <f aca="false">IF(A1034="","",INDEX(הגדרות!$H$16:$H$27,MONTH(A1034)))</f>
        <v/>
      </c>
    </row>
    <row r="1035" customFormat="false" ht="15" hidden="false" customHeight="false" outlineLevel="0" collapsed="false">
      <c r="A1035" s="55"/>
      <c r="B1035" s="56"/>
      <c r="C1035" s="57" t="str">
        <f aca="false">IF(B1035="","",IFERROR(INDEX(הגדרות!$A$8:$A$53,MATCH(B1035,הגדרות!$B$8:$B$53,0)),"⚠ לא בהגדרות"))</f>
        <v/>
      </c>
      <c r="D1035" s="56"/>
      <c r="E1035" s="58"/>
      <c r="F1035" s="57" t="str">
        <f aca="false">IF(A1035="","",INDEX(הגדרות!$H$16:$H$27,MONTH(A1035)))</f>
        <v/>
      </c>
    </row>
    <row r="1036" customFormat="false" ht="15" hidden="false" customHeight="false" outlineLevel="0" collapsed="false">
      <c r="A1036" s="50"/>
      <c r="B1036" s="51"/>
      <c r="C1036" s="52" t="str">
        <f aca="false">IF(B1036="","",IFERROR(INDEX(הגדרות!$A$8:$A$53,MATCH(B1036,הגדרות!$B$8:$B$53,0)),"⚠ לא בהגדרות"))</f>
        <v/>
      </c>
      <c r="D1036" s="51"/>
      <c r="E1036" s="53"/>
      <c r="F1036" s="52" t="str">
        <f aca="false">IF(A1036="","",INDEX(הגדרות!$H$16:$H$27,MONTH(A1036)))</f>
        <v/>
      </c>
    </row>
    <row r="1037" customFormat="false" ht="15" hidden="false" customHeight="false" outlineLevel="0" collapsed="false">
      <c r="A1037" s="55"/>
      <c r="B1037" s="56"/>
      <c r="C1037" s="57" t="str">
        <f aca="false">IF(B1037="","",IFERROR(INDEX(הגדרות!$A$8:$A$53,MATCH(B1037,הגדרות!$B$8:$B$53,0)),"⚠ לא בהגדרות"))</f>
        <v/>
      </c>
      <c r="D1037" s="56"/>
      <c r="E1037" s="58"/>
      <c r="F1037" s="57" t="str">
        <f aca="false">IF(A1037="","",INDEX(הגדרות!$H$16:$H$27,MONTH(A1037)))</f>
        <v/>
      </c>
    </row>
    <row r="1038" customFormat="false" ht="15" hidden="false" customHeight="false" outlineLevel="0" collapsed="false">
      <c r="A1038" s="50"/>
      <c r="B1038" s="51"/>
      <c r="C1038" s="52" t="str">
        <f aca="false">IF(B1038="","",IFERROR(INDEX(הגדרות!$A$8:$A$53,MATCH(B1038,הגדרות!$B$8:$B$53,0)),"⚠ לא בהגדרות"))</f>
        <v/>
      </c>
      <c r="D1038" s="51"/>
      <c r="E1038" s="53"/>
      <c r="F1038" s="52" t="str">
        <f aca="false">IF(A1038="","",INDEX(הגדרות!$H$16:$H$27,MONTH(A1038)))</f>
        <v/>
      </c>
    </row>
    <row r="1039" customFormat="false" ht="15" hidden="false" customHeight="false" outlineLevel="0" collapsed="false">
      <c r="A1039" s="55"/>
      <c r="B1039" s="56"/>
      <c r="C1039" s="57" t="str">
        <f aca="false">IF(B1039="","",IFERROR(INDEX(הגדרות!$A$8:$A$53,MATCH(B1039,הגדרות!$B$8:$B$53,0)),"⚠ לא בהגדרות"))</f>
        <v/>
      </c>
      <c r="D1039" s="56"/>
      <c r="E1039" s="58"/>
      <c r="F1039" s="57" t="str">
        <f aca="false">IF(A1039="","",INDEX(הגדרות!$H$16:$H$27,MONTH(A1039)))</f>
        <v/>
      </c>
    </row>
    <row r="1040" customFormat="false" ht="15" hidden="false" customHeight="false" outlineLevel="0" collapsed="false">
      <c r="A1040" s="50"/>
      <c r="B1040" s="51"/>
      <c r="C1040" s="52" t="str">
        <f aca="false">IF(B1040="","",IFERROR(INDEX(הגדרות!$A$8:$A$53,MATCH(B1040,הגדרות!$B$8:$B$53,0)),"⚠ לא בהגדרות"))</f>
        <v/>
      </c>
      <c r="D1040" s="51"/>
      <c r="E1040" s="53"/>
      <c r="F1040" s="52" t="str">
        <f aca="false">IF(A1040="","",INDEX(הגדרות!$H$16:$H$27,MONTH(A1040)))</f>
        <v/>
      </c>
    </row>
    <row r="1041" customFormat="false" ht="15" hidden="false" customHeight="false" outlineLevel="0" collapsed="false">
      <c r="A1041" s="55"/>
      <c r="B1041" s="56"/>
      <c r="C1041" s="57" t="str">
        <f aca="false">IF(B1041="","",IFERROR(INDEX(הגדרות!$A$8:$A$53,MATCH(B1041,הגדרות!$B$8:$B$53,0)),"⚠ לא בהגדרות"))</f>
        <v/>
      </c>
      <c r="D1041" s="56"/>
      <c r="E1041" s="58"/>
      <c r="F1041" s="57" t="str">
        <f aca="false">IF(A1041="","",INDEX(הגדרות!$H$16:$H$27,MONTH(A1041)))</f>
        <v/>
      </c>
    </row>
    <row r="1042" customFormat="false" ht="15" hidden="false" customHeight="false" outlineLevel="0" collapsed="false">
      <c r="A1042" s="50"/>
      <c r="B1042" s="51"/>
      <c r="C1042" s="52" t="str">
        <f aca="false">IF(B1042="","",IFERROR(INDEX(הגדרות!$A$8:$A$53,MATCH(B1042,הגדרות!$B$8:$B$53,0)),"⚠ לא בהגדרות"))</f>
        <v/>
      </c>
      <c r="D1042" s="51"/>
      <c r="E1042" s="53"/>
      <c r="F1042" s="52" t="str">
        <f aca="false">IF(A1042="","",INDEX(הגדרות!$H$16:$H$27,MONTH(A1042)))</f>
        <v/>
      </c>
    </row>
    <row r="1043" customFormat="false" ht="15" hidden="false" customHeight="false" outlineLevel="0" collapsed="false">
      <c r="A1043" s="55"/>
      <c r="B1043" s="56"/>
      <c r="C1043" s="57" t="str">
        <f aca="false">IF(B1043="","",IFERROR(INDEX(הגדרות!$A$8:$A$53,MATCH(B1043,הגדרות!$B$8:$B$53,0)),"⚠ לא בהגדרות"))</f>
        <v/>
      </c>
      <c r="D1043" s="56"/>
      <c r="E1043" s="58"/>
      <c r="F1043" s="57" t="str">
        <f aca="false">IF(A1043="","",INDEX(הגדרות!$H$16:$H$27,MONTH(A1043)))</f>
        <v/>
      </c>
    </row>
    <row r="1044" customFormat="false" ht="15" hidden="false" customHeight="false" outlineLevel="0" collapsed="false">
      <c r="A1044" s="50"/>
      <c r="B1044" s="51"/>
      <c r="C1044" s="52" t="str">
        <f aca="false">IF(B1044="","",IFERROR(INDEX(הגדרות!$A$8:$A$53,MATCH(B1044,הגדרות!$B$8:$B$53,0)),"⚠ לא בהגדרות"))</f>
        <v/>
      </c>
      <c r="D1044" s="51"/>
      <c r="E1044" s="53"/>
      <c r="F1044" s="52" t="str">
        <f aca="false">IF(A1044="","",INDEX(הגדרות!$H$16:$H$27,MONTH(A1044)))</f>
        <v/>
      </c>
    </row>
    <row r="1045" customFormat="false" ht="15" hidden="false" customHeight="false" outlineLevel="0" collapsed="false">
      <c r="A1045" s="55"/>
      <c r="B1045" s="56"/>
      <c r="C1045" s="57" t="str">
        <f aca="false">IF(B1045="","",IFERROR(INDEX(הגדרות!$A$8:$A$53,MATCH(B1045,הגדרות!$B$8:$B$53,0)),"⚠ לא בהגדרות"))</f>
        <v/>
      </c>
      <c r="D1045" s="56"/>
      <c r="E1045" s="58"/>
      <c r="F1045" s="57" t="str">
        <f aca="false">IF(A1045="","",INDEX(הגדרות!$H$16:$H$27,MONTH(A1045)))</f>
        <v/>
      </c>
    </row>
    <row r="1046" customFormat="false" ht="15" hidden="false" customHeight="false" outlineLevel="0" collapsed="false">
      <c r="A1046" s="50"/>
      <c r="B1046" s="51"/>
      <c r="C1046" s="52" t="str">
        <f aca="false">IF(B1046="","",IFERROR(INDEX(הגדרות!$A$8:$A$53,MATCH(B1046,הגדרות!$B$8:$B$53,0)),"⚠ לא בהגדרות"))</f>
        <v/>
      </c>
      <c r="D1046" s="51"/>
      <c r="E1046" s="53"/>
      <c r="F1046" s="52" t="str">
        <f aca="false">IF(A1046="","",INDEX(הגדרות!$H$16:$H$27,MONTH(A1046)))</f>
        <v/>
      </c>
    </row>
    <row r="1047" customFormat="false" ht="15" hidden="false" customHeight="false" outlineLevel="0" collapsed="false">
      <c r="A1047" s="55"/>
      <c r="B1047" s="56"/>
      <c r="C1047" s="57" t="str">
        <f aca="false">IF(B1047="","",IFERROR(INDEX(הגדרות!$A$8:$A$53,MATCH(B1047,הגדרות!$B$8:$B$53,0)),"⚠ לא בהגדרות"))</f>
        <v/>
      </c>
      <c r="D1047" s="56"/>
      <c r="E1047" s="58"/>
      <c r="F1047" s="57" t="str">
        <f aca="false">IF(A1047="","",INDEX(הגדרות!$H$16:$H$27,MONTH(A1047)))</f>
        <v/>
      </c>
    </row>
    <row r="1048" customFormat="false" ht="15" hidden="false" customHeight="false" outlineLevel="0" collapsed="false">
      <c r="A1048" s="50"/>
      <c r="B1048" s="51"/>
      <c r="C1048" s="52" t="str">
        <f aca="false">IF(B1048="","",IFERROR(INDEX(הגדרות!$A$8:$A$53,MATCH(B1048,הגדרות!$B$8:$B$53,0)),"⚠ לא בהגדרות"))</f>
        <v/>
      </c>
      <c r="D1048" s="51"/>
      <c r="E1048" s="53"/>
      <c r="F1048" s="52" t="str">
        <f aca="false">IF(A1048="","",INDEX(הגדרות!$H$16:$H$27,MONTH(A1048)))</f>
        <v/>
      </c>
    </row>
    <row r="1049" customFormat="false" ht="15" hidden="false" customHeight="false" outlineLevel="0" collapsed="false">
      <c r="A1049" s="55"/>
      <c r="B1049" s="56"/>
      <c r="C1049" s="57" t="str">
        <f aca="false">IF(B1049="","",IFERROR(INDEX(הגדרות!$A$8:$A$53,MATCH(B1049,הגדרות!$B$8:$B$53,0)),"⚠ לא בהגדרות"))</f>
        <v/>
      </c>
      <c r="D1049" s="56"/>
      <c r="E1049" s="58"/>
      <c r="F1049" s="57" t="str">
        <f aca="false">IF(A1049="","",INDEX(הגדרות!$H$16:$H$27,MONTH(A1049)))</f>
        <v/>
      </c>
    </row>
    <row r="1050" customFormat="false" ht="15" hidden="false" customHeight="false" outlineLevel="0" collapsed="false">
      <c r="A1050" s="50"/>
      <c r="B1050" s="51"/>
      <c r="C1050" s="52" t="str">
        <f aca="false">IF(B1050="","",IFERROR(INDEX(הגדרות!$A$8:$A$53,MATCH(B1050,הגדרות!$B$8:$B$53,0)),"⚠ לא בהגדרות"))</f>
        <v/>
      </c>
      <c r="D1050" s="51"/>
      <c r="E1050" s="53"/>
      <c r="F1050" s="52" t="str">
        <f aca="false">IF(A1050="","",INDEX(הגדרות!$H$16:$H$27,MONTH(A1050)))</f>
        <v/>
      </c>
    </row>
    <row r="1051" customFormat="false" ht="15" hidden="false" customHeight="false" outlineLevel="0" collapsed="false">
      <c r="A1051" s="55"/>
      <c r="B1051" s="56"/>
      <c r="C1051" s="57" t="str">
        <f aca="false">IF(B1051="","",IFERROR(INDEX(הגדרות!$A$8:$A$53,MATCH(B1051,הגדרות!$B$8:$B$53,0)),"⚠ לא בהגדרות"))</f>
        <v/>
      </c>
      <c r="D1051" s="56"/>
      <c r="E1051" s="58"/>
      <c r="F1051" s="57" t="str">
        <f aca="false">IF(A1051="","",INDEX(הגדרות!$H$16:$H$27,MONTH(A1051)))</f>
        <v/>
      </c>
    </row>
    <row r="1052" customFormat="false" ht="15" hidden="false" customHeight="false" outlineLevel="0" collapsed="false">
      <c r="A1052" s="50"/>
      <c r="B1052" s="51"/>
      <c r="C1052" s="52" t="str">
        <f aca="false">IF(B1052="","",IFERROR(INDEX(הגדרות!$A$8:$A$53,MATCH(B1052,הגדרות!$B$8:$B$53,0)),"⚠ לא בהגדרות"))</f>
        <v/>
      </c>
      <c r="D1052" s="51"/>
      <c r="E1052" s="53"/>
      <c r="F1052" s="52" t="str">
        <f aca="false">IF(A1052="","",INDEX(הגדרות!$H$16:$H$27,MONTH(A1052)))</f>
        <v/>
      </c>
    </row>
    <row r="1053" customFormat="false" ht="15" hidden="false" customHeight="false" outlineLevel="0" collapsed="false">
      <c r="A1053" s="55"/>
      <c r="B1053" s="56"/>
      <c r="C1053" s="57" t="str">
        <f aca="false">IF(B1053="","",IFERROR(INDEX(הגדרות!$A$8:$A$53,MATCH(B1053,הגדרות!$B$8:$B$53,0)),"⚠ לא בהגדרות"))</f>
        <v/>
      </c>
      <c r="D1053" s="56"/>
      <c r="E1053" s="58"/>
      <c r="F1053" s="57" t="str">
        <f aca="false">IF(A1053="","",INDEX(הגדרות!$H$16:$H$27,MONTH(A1053)))</f>
        <v/>
      </c>
    </row>
    <row r="1054" customFormat="false" ht="15" hidden="false" customHeight="false" outlineLevel="0" collapsed="false">
      <c r="A1054" s="50"/>
      <c r="B1054" s="51"/>
      <c r="C1054" s="52" t="str">
        <f aca="false">IF(B1054="","",IFERROR(INDEX(הגדרות!$A$8:$A$53,MATCH(B1054,הגדרות!$B$8:$B$53,0)),"⚠ לא בהגדרות"))</f>
        <v/>
      </c>
      <c r="D1054" s="51"/>
      <c r="E1054" s="53"/>
      <c r="F1054" s="52" t="str">
        <f aca="false">IF(A1054="","",INDEX(הגדרות!$H$16:$H$27,MONTH(A1054)))</f>
        <v/>
      </c>
    </row>
    <row r="1055" customFormat="false" ht="15" hidden="false" customHeight="false" outlineLevel="0" collapsed="false">
      <c r="A1055" s="55"/>
      <c r="B1055" s="56"/>
      <c r="C1055" s="57" t="str">
        <f aca="false">IF(B1055="","",IFERROR(INDEX(הגדרות!$A$8:$A$53,MATCH(B1055,הגדרות!$B$8:$B$53,0)),"⚠ לא בהגדרות"))</f>
        <v/>
      </c>
      <c r="D1055" s="56"/>
      <c r="E1055" s="58"/>
      <c r="F1055" s="57" t="str">
        <f aca="false">IF(A1055="","",INDEX(הגדרות!$H$16:$H$27,MONTH(A1055)))</f>
        <v/>
      </c>
    </row>
    <row r="1056" customFormat="false" ht="15" hidden="false" customHeight="false" outlineLevel="0" collapsed="false">
      <c r="A1056" s="50"/>
      <c r="B1056" s="51"/>
      <c r="C1056" s="52" t="str">
        <f aca="false">IF(B1056="","",IFERROR(INDEX(הגדרות!$A$8:$A$53,MATCH(B1056,הגדרות!$B$8:$B$53,0)),"⚠ לא בהגדרות"))</f>
        <v/>
      </c>
      <c r="D1056" s="51"/>
      <c r="E1056" s="53"/>
      <c r="F1056" s="52" t="str">
        <f aca="false">IF(A1056="","",INDEX(הגדרות!$H$16:$H$27,MONTH(A1056)))</f>
        <v/>
      </c>
    </row>
    <row r="1057" customFormat="false" ht="15" hidden="false" customHeight="false" outlineLevel="0" collapsed="false">
      <c r="A1057" s="55"/>
      <c r="B1057" s="56"/>
      <c r="C1057" s="57" t="str">
        <f aca="false">IF(B1057="","",IFERROR(INDEX(הגדרות!$A$8:$A$53,MATCH(B1057,הגדרות!$B$8:$B$53,0)),"⚠ לא בהגדרות"))</f>
        <v/>
      </c>
      <c r="D1057" s="56"/>
      <c r="E1057" s="58"/>
      <c r="F1057" s="57" t="str">
        <f aca="false">IF(A1057="","",INDEX(הגדרות!$H$16:$H$27,MONTH(A1057)))</f>
        <v/>
      </c>
    </row>
    <row r="1058" customFormat="false" ht="15" hidden="false" customHeight="false" outlineLevel="0" collapsed="false">
      <c r="A1058" s="50"/>
      <c r="B1058" s="51"/>
      <c r="C1058" s="52" t="str">
        <f aca="false">IF(B1058="","",IFERROR(INDEX(הגדרות!$A$8:$A$53,MATCH(B1058,הגדרות!$B$8:$B$53,0)),"⚠ לא בהגדרות"))</f>
        <v/>
      </c>
      <c r="D1058" s="51"/>
      <c r="E1058" s="53"/>
      <c r="F1058" s="52" t="str">
        <f aca="false">IF(A1058="","",INDEX(הגדרות!$H$16:$H$27,MONTH(A1058)))</f>
        <v/>
      </c>
    </row>
    <row r="1059" customFormat="false" ht="15" hidden="false" customHeight="false" outlineLevel="0" collapsed="false">
      <c r="A1059" s="55"/>
      <c r="B1059" s="56"/>
      <c r="C1059" s="57" t="str">
        <f aca="false">IF(B1059="","",IFERROR(INDEX(הגדרות!$A$8:$A$53,MATCH(B1059,הגדרות!$B$8:$B$53,0)),"⚠ לא בהגדרות"))</f>
        <v/>
      </c>
      <c r="D1059" s="56"/>
      <c r="E1059" s="58"/>
      <c r="F1059" s="57" t="str">
        <f aca="false">IF(A1059="","",INDEX(הגדרות!$H$16:$H$27,MONTH(A1059)))</f>
        <v/>
      </c>
    </row>
    <row r="1060" customFormat="false" ht="15" hidden="false" customHeight="false" outlineLevel="0" collapsed="false">
      <c r="A1060" s="50"/>
      <c r="B1060" s="51"/>
      <c r="C1060" s="52" t="str">
        <f aca="false">IF(B1060="","",IFERROR(INDEX(הגדרות!$A$8:$A$53,MATCH(B1060,הגדרות!$B$8:$B$53,0)),"⚠ לא בהגדרות"))</f>
        <v/>
      </c>
      <c r="D1060" s="51"/>
      <c r="E1060" s="53"/>
      <c r="F1060" s="52" t="str">
        <f aca="false">IF(A1060="","",INDEX(הגדרות!$H$16:$H$27,MONTH(A1060)))</f>
        <v/>
      </c>
    </row>
    <row r="1061" customFormat="false" ht="15" hidden="false" customHeight="false" outlineLevel="0" collapsed="false">
      <c r="A1061" s="55"/>
      <c r="B1061" s="56"/>
      <c r="C1061" s="57" t="str">
        <f aca="false">IF(B1061="","",IFERROR(INDEX(הגדרות!$A$8:$A$53,MATCH(B1061,הגדרות!$B$8:$B$53,0)),"⚠ לא בהגדרות"))</f>
        <v/>
      </c>
      <c r="D1061" s="56"/>
      <c r="E1061" s="58"/>
      <c r="F1061" s="57" t="str">
        <f aca="false">IF(A1061="","",INDEX(הגדרות!$H$16:$H$27,MONTH(A1061)))</f>
        <v/>
      </c>
    </row>
    <row r="1062" customFormat="false" ht="15" hidden="false" customHeight="false" outlineLevel="0" collapsed="false">
      <c r="A1062" s="50"/>
      <c r="B1062" s="51"/>
      <c r="C1062" s="52" t="str">
        <f aca="false">IF(B1062="","",IFERROR(INDEX(הגדרות!$A$8:$A$53,MATCH(B1062,הגדרות!$B$8:$B$53,0)),"⚠ לא בהגדרות"))</f>
        <v/>
      </c>
      <c r="D1062" s="51"/>
      <c r="E1062" s="53"/>
      <c r="F1062" s="52" t="str">
        <f aca="false">IF(A1062="","",INDEX(הגדרות!$H$16:$H$27,MONTH(A1062)))</f>
        <v/>
      </c>
    </row>
    <row r="1063" customFormat="false" ht="15" hidden="false" customHeight="false" outlineLevel="0" collapsed="false">
      <c r="A1063" s="55"/>
      <c r="B1063" s="56"/>
      <c r="C1063" s="57" t="str">
        <f aca="false">IF(B1063="","",IFERROR(INDEX(הגדרות!$A$8:$A$53,MATCH(B1063,הגדרות!$B$8:$B$53,0)),"⚠ לא בהגדרות"))</f>
        <v/>
      </c>
      <c r="D1063" s="56"/>
      <c r="E1063" s="58"/>
      <c r="F1063" s="57" t="str">
        <f aca="false">IF(A1063="","",INDEX(הגדרות!$H$16:$H$27,MONTH(A1063)))</f>
        <v/>
      </c>
    </row>
    <row r="1064" customFormat="false" ht="15" hidden="false" customHeight="false" outlineLevel="0" collapsed="false">
      <c r="A1064" s="50"/>
      <c r="B1064" s="51"/>
      <c r="C1064" s="52" t="str">
        <f aca="false">IF(B1064="","",IFERROR(INDEX(הגדרות!$A$8:$A$53,MATCH(B1064,הגדרות!$B$8:$B$53,0)),"⚠ לא בהגדרות"))</f>
        <v/>
      </c>
      <c r="D1064" s="51"/>
      <c r="E1064" s="53"/>
      <c r="F1064" s="52" t="str">
        <f aca="false">IF(A1064="","",INDEX(הגדרות!$H$16:$H$27,MONTH(A1064)))</f>
        <v/>
      </c>
    </row>
    <row r="1065" customFormat="false" ht="15" hidden="false" customHeight="false" outlineLevel="0" collapsed="false">
      <c r="A1065" s="55"/>
      <c r="B1065" s="56"/>
      <c r="C1065" s="57" t="str">
        <f aca="false">IF(B1065="","",IFERROR(INDEX(הגדרות!$A$8:$A$53,MATCH(B1065,הגדרות!$B$8:$B$53,0)),"⚠ לא בהגדרות"))</f>
        <v/>
      </c>
      <c r="D1065" s="56"/>
      <c r="E1065" s="58"/>
      <c r="F1065" s="57" t="str">
        <f aca="false">IF(A1065="","",INDEX(הגדרות!$H$16:$H$27,MONTH(A1065)))</f>
        <v/>
      </c>
    </row>
    <row r="1066" customFormat="false" ht="15" hidden="false" customHeight="false" outlineLevel="0" collapsed="false">
      <c r="A1066" s="50"/>
      <c r="B1066" s="51"/>
      <c r="C1066" s="52" t="str">
        <f aca="false">IF(B1066="","",IFERROR(INDEX(הגדרות!$A$8:$A$53,MATCH(B1066,הגדרות!$B$8:$B$53,0)),"⚠ לא בהגדרות"))</f>
        <v/>
      </c>
      <c r="D1066" s="51"/>
      <c r="E1066" s="53"/>
      <c r="F1066" s="52" t="str">
        <f aca="false">IF(A1066="","",INDEX(הגדרות!$H$16:$H$27,MONTH(A1066)))</f>
        <v/>
      </c>
    </row>
    <row r="1067" customFormat="false" ht="15" hidden="false" customHeight="false" outlineLevel="0" collapsed="false">
      <c r="A1067" s="55"/>
      <c r="B1067" s="56"/>
      <c r="C1067" s="57" t="str">
        <f aca="false">IF(B1067="","",IFERROR(INDEX(הגדרות!$A$8:$A$53,MATCH(B1067,הגדרות!$B$8:$B$53,0)),"⚠ לא בהגדרות"))</f>
        <v/>
      </c>
      <c r="D1067" s="56"/>
      <c r="E1067" s="58"/>
      <c r="F1067" s="57" t="str">
        <f aca="false">IF(A1067="","",INDEX(הגדרות!$H$16:$H$27,MONTH(A1067)))</f>
        <v/>
      </c>
    </row>
    <row r="1068" customFormat="false" ht="15" hidden="false" customHeight="false" outlineLevel="0" collapsed="false">
      <c r="A1068" s="50"/>
      <c r="B1068" s="51"/>
      <c r="C1068" s="52" t="str">
        <f aca="false">IF(B1068="","",IFERROR(INDEX(הגדרות!$A$8:$A$53,MATCH(B1068,הגדרות!$B$8:$B$53,0)),"⚠ לא בהגדרות"))</f>
        <v/>
      </c>
      <c r="D1068" s="51"/>
      <c r="E1068" s="53"/>
      <c r="F1068" s="52" t="str">
        <f aca="false">IF(A1068="","",INDEX(הגדרות!$H$16:$H$27,MONTH(A1068)))</f>
        <v/>
      </c>
    </row>
    <row r="1069" customFormat="false" ht="15" hidden="false" customHeight="false" outlineLevel="0" collapsed="false">
      <c r="A1069" s="55"/>
      <c r="B1069" s="56"/>
      <c r="C1069" s="57" t="str">
        <f aca="false">IF(B1069="","",IFERROR(INDEX(הגדרות!$A$8:$A$53,MATCH(B1069,הגדרות!$B$8:$B$53,0)),"⚠ לא בהגדרות"))</f>
        <v/>
      </c>
      <c r="D1069" s="56"/>
      <c r="E1069" s="58"/>
      <c r="F1069" s="57" t="str">
        <f aca="false">IF(A1069="","",INDEX(הגדרות!$H$16:$H$27,MONTH(A1069)))</f>
        <v/>
      </c>
    </row>
    <row r="1070" customFormat="false" ht="15" hidden="false" customHeight="false" outlineLevel="0" collapsed="false">
      <c r="A1070" s="50"/>
      <c r="B1070" s="51"/>
      <c r="C1070" s="52" t="str">
        <f aca="false">IF(B1070="","",IFERROR(INDEX(הגדרות!$A$8:$A$53,MATCH(B1070,הגדרות!$B$8:$B$53,0)),"⚠ לא בהגדרות"))</f>
        <v/>
      </c>
      <c r="D1070" s="51"/>
      <c r="E1070" s="53"/>
      <c r="F1070" s="52" t="str">
        <f aca="false">IF(A1070="","",INDEX(הגדרות!$H$16:$H$27,MONTH(A1070)))</f>
        <v/>
      </c>
    </row>
    <row r="1071" customFormat="false" ht="15" hidden="false" customHeight="false" outlineLevel="0" collapsed="false">
      <c r="A1071" s="55"/>
      <c r="B1071" s="56"/>
      <c r="C1071" s="57" t="str">
        <f aca="false">IF(B1071="","",IFERROR(INDEX(הגדרות!$A$8:$A$53,MATCH(B1071,הגדרות!$B$8:$B$53,0)),"⚠ לא בהגדרות"))</f>
        <v/>
      </c>
      <c r="D1071" s="56"/>
      <c r="E1071" s="58"/>
      <c r="F1071" s="57" t="str">
        <f aca="false">IF(A1071="","",INDEX(הגדרות!$H$16:$H$27,MONTH(A1071)))</f>
        <v/>
      </c>
    </row>
    <row r="1072" customFormat="false" ht="15" hidden="false" customHeight="false" outlineLevel="0" collapsed="false">
      <c r="A1072" s="50"/>
      <c r="B1072" s="51"/>
      <c r="C1072" s="52" t="str">
        <f aca="false">IF(B1072="","",IFERROR(INDEX(הגדרות!$A$8:$A$53,MATCH(B1072,הגדרות!$B$8:$B$53,0)),"⚠ לא בהגדרות"))</f>
        <v/>
      </c>
      <c r="D1072" s="51"/>
      <c r="E1072" s="53"/>
      <c r="F1072" s="52" t="str">
        <f aca="false">IF(A1072="","",INDEX(הגדרות!$H$16:$H$27,MONTH(A1072)))</f>
        <v/>
      </c>
    </row>
    <row r="1073" customFormat="false" ht="15" hidden="false" customHeight="false" outlineLevel="0" collapsed="false">
      <c r="A1073" s="55"/>
      <c r="B1073" s="56"/>
      <c r="C1073" s="57" t="str">
        <f aca="false">IF(B1073="","",IFERROR(INDEX(הגדרות!$A$8:$A$53,MATCH(B1073,הגדרות!$B$8:$B$53,0)),"⚠ לא בהגדרות"))</f>
        <v/>
      </c>
      <c r="D1073" s="56"/>
      <c r="E1073" s="58"/>
      <c r="F1073" s="57" t="str">
        <f aca="false">IF(A1073="","",INDEX(הגדרות!$H$16:$H$27,MONTH(A1073)))</f>
        <v/>
      </c>
    </row>
    <row r="1074" customFormat="false" ht="15" hidden="false" customHeight="false" outlineLevel="0" collapsed="false">
      <c r="A1074" s="50"/>
      <c r="B1074" s="51"/>
      <c r="C1074" s="52" t="str">
        <f aca="false">IF(B1074="","",IFERROR(INDEX(הגדרות!$A$8:$A$53,MATCH(B1074,הגדרות!$B$8:$B$53,0)),"⚠ לא בהגדרות"))</f>
        <v/>
      </c>
      <c r="D1074" s="51"/>
      <c r="E1074" s="53"/>
      <c r="F1074" s="52" t="str">
        <f aca="false">IF(A1074="","",INDEX(הגדרות!$H$16:$H$27,MONTH(A1074)))</f>
        <v/>
      </c>
    </row>
    <row r="1075" customFormat="false" ht="15" hidden="false" customHeight="false" outlineLevel="0" collapsed="false">
      <c r="A1075" s="55"/>
      <c r="B1075" s="56"/>
      <c r="C1075" s="57" t="str">
        <f aca="false">IF(B1075="","",IFERROR(INDEX(הגדרות!$A$8:$A$53,MATCH(B1075,הגדרות!$B$8:$B$53,0)),"⚠ לא בהגדרות"))</f>
        <v/>
      </c>
      <c r="D1075" s="56"/>
      <c r="E1075" s="58"/>
      <c r="F1075" s="57" t="str">
        <f aca="false">IF(A1075="","",INDEX(הגדרות!$H$16:$H$27,MONTH(A1075)))</f>
        <v/>
      </c>
    </row>
    <row r="1076" customFormat="false" ht="15" hidden="false" customHeight="false" outlineLevel="0" collapsed="false">
      <c r="A1076" s="50"/>
      <c r="B1076" s="51"/>
      <c r="C1076" s="52" t="str">
        <f aca="false">IF(B1076="","",IFERROR(INDEX(הגדרות!$A$8:$A$53,MATCH(B1076,הגדרות!$B$8:$B$53,0)),"⚠ לא בהגדרות"))</f>
        <v/>
      </c>
      <c r="D1076" s="51"/>
      <c r="E1076" s="53"/>
      <c r="F1076" s="52" t="str">
        <f aca="false">IF(A1076="","",INDEX(הגדרות!$H$16:$H$27,MONTH(A1076)))</f>
        <v/>
      </c>
    </row>
    <row r="1077" customFormat="false" ht="15" hidden="false" customHeight="false" outlineLevel="0" collapsed="false">
      <c r="A1077" s="55"/>
      <c r="B1077" s="56"/>
      <c r="C1077" s="57" t="str">
        <f aca="false">IF(B1077="","",IFERROR(INDEX(הגדרות!$A$8:$A$53,MATCH(B1077,הגדרות!$B$8:$B$53,0)),"⚠ לא בהגדרות"))</f>
        <v/>
      </c>
      <c r="D1077" s="56"/>
      <c r="E1077" s="58"/>
      <c r="F1077" s="57" t="str">
        <f aca="false">IF(A1077="","",INDEX(הגדרות!$H$16:$H$27,MONTH(A1077)))</f>
        <v/>
      </c>
    </row>
    <row r="1078" customFormat="false" ht="15" hidden="false" customHeight="false" outlineLevel="0" collapsed="false">
      <c r="A1078" s="50"/>
      <c r="B1078" s="51"/>
      <c r="C1078" s="52" t="str">
        <f aca="false">IF(B1078="","",IFERROR(INDEX(הגדרות!$A$8:$A$53,MATCH(B1078,הגדרות!$B$8:$B$53,0)),"⚠ לא בהגדרות"))</f>
        <v/>
      </c>
      <c r="D1078" s="51"/>
      <c r="E1078" s="53"/>
      <c r="F1078" s="52" t="str">
        <f aca="false">IF(A1078="","",INDEX(הגדרות!$H$16:$H$27,MONTH(A1078)))</f>
        <v/>
      </c>
    </row>
    <row r="1079" customFormat="false" ht="15" hidden="false" customHeight="false" outlineLevel="0" collapsed="false">
      <c r="A1079" s="55"/>
      <c r="B1079" s="56"/>
      <c r="C1079" s="57" t="str">
        <f aca="false">IF(B1079="","",IFERROR(INDEX(הגדרות!$A$8:$A$53,MATCH(B1079,הגדרות!$B$8:$B$53,0)),"⚠ לא בהגדרות"))</f>
        <v/>
      </c>
      <c r="D1079" s="56"/>
      <c r="E1079" s="58"/>
      <c r="F1079" s="57" t="str">
        <f aca="false">IF(A1079="","",INDEX(הגדרות!$H$16:$H$27,MONTH(A1079)))</f>
        <v/>
      </c>
    </row>
    <row r="1080" customFormat="false" ht="15" hidden="false" customHeight="false" outlineLevel="0" collapsed="false">
      <c r="A1080" s="50"/>
      <c r="B1080" s="51"/>
      <c r="C1080" s="52" t="str">
        <f aca="false">IF(B1080="","",IFERROR(INDEX(הגדרות!$A$8:$A$53,MATCH(B1080,הגדרות!$B$8:$B$53,0)),"⚠ לא בהגדרות"))</f>
        <v/>
      </c>
      <c r="D1080" s="51"/>
      <c r="E1080" s="53"/>
      <c r="F1080" s="52" t="str">
        <f aca="false">IF(A1080="","",INDEX(הגדרות!$H$16:$H$27,MONTH(A1080)))</f>
        <v/>
      </c>
    </row>
    <row r="1081" customFormat="false" ht="15" hidden="false" customHeight="false" outlineLevel="0" collapsed="false">
      <c r="A1081" s="55"/>
      <c r="B1081" s="56"/>
      <c r="C1081" s="57" t="str">
        <f aca="false">IF(B1081="","",IFERROR(INDEX(הגדרות!$A$8:$A$53,MATCH(B1081,הגדרות!$B$8:$B$53,0)),"⚠ לא בהגדרות"))</f>
        <v/>
      </c>
      <c r="D1081" s="56"/>
      <c r="E1081" s="58"/>
      <c r="F1081" s="57" t="str">
        <f aca="false">IF(A1081="","",INDEX(הגדרות!$H$16:$H$27,MONTH(A1081)))</f>
        <v/>
      </c>
    </row>
    <row r="1082" customFormat="false" ht="15" hidden="false" customHeight="false" outlineLevel="0" collapsed="false">
      <c r="A1082" s="50"/>
      <c r="B1082" s="51"/>
      <c r="C1082" s="52" t="str">
        <f aca="false">IF(B1082="","",IFERROR(INDEX(הגדרות!$A$8:$A$53,MATCH(B1082,הגדרות!$B$8:$B$53,0)),"⚠ לא בהגדרות"))</f>
        <v/>
      </c>
      <c r="D1082" s="51"/>
      <c r="E1082" s="53"/>
      <c r="F1082" s="52" t="str">
        <f aca="false">IF(A1082="","",INDEX(הגדרות!$H$16:$H$27,MONTH(A1082)))</f>
        <v/>
      </c>
    </row>
    <row r="1083" customFormat="false" ht="15" hidden="false" customHeight="false" outlineLevel="0" collapsed="false">
      <c r="A1083" s="55"/>
      <c r="B1083" s="56"/>
      <c r="C1083" s="57" t="str">
        <f aca="false">IF(B1083="","",IFERROR(INDEX(הגדרות!$A$8:$A$53,MATCH(B1083,הגדרות!$B$8:$B$53,0)),"⚠ לא בהגדרות"))</f>
        <v/>
      </c>
      <c r="D1083" s="56"/>
      <c r="E1083" s="58"/>
      <c r="F1083" s="57" t="str">
        <f aca="false">IF(A1083="","",INDEX(הגדרות!$H$16:$H$27,MONTH(A1083)))</f>
        <v/>
      </c>
    </row>
    <row r="1084" customFormat="false" ht="15" hidden="false" customHeight="false" outlineLevel="0" collapsed="false">
      <c r="A1084" s="50"/>
      <c r="B1084" s="51"/>
      <c r="C1084" s="52" t="str">
        <f aca="false">IF(B1084="","",IFERROR(INDEX(הגדרות!$A$8:$A$53,MATCH(B1084,הגדרות!$B$8:$B$53,0)),"⚠ לא בהגדרות"))</f>
        <v/>
      </c>
      <c r="D1084" s="51"/>
      <c r="E1084" s="53"/>
      <c r="F1084" s="52" t="str">
        <f aca="false">IF(A1084="","",INDEX(הגדרות!$H$16:$H$27,MONTH(A1084)))</f>
        <v/>
      </c>
    </row>
    <row r="1085" customFormat="false" ht="15" hidden="false" customHeight="false" outlineLevel="0" collapsed="false">
      <c r="A1085" s="55"/>
      <c r="B1085" s="56"/>
      <c r="C1085" s="57" t="str">
        <f aca="false">IF(B1085="","",IFERROR(INDEX(הגדרות!$A$8:$A$53,MATCH(B1085,הגדרות!$B$8:$B$53,0)),"⚠ לא בהגדרות"))</f>
        <v/>
      </c>
      <c r="D1085" s="56"/>
      <c r="E1085" s="58"/>
      <c r="F1085" s="57" t="str">
        <f aca="false">IF(A1085="","",INDEX(הגדרות!$H$16:$H$27,MONTH(A1085)))</f>
        <v/>
      </c>
    </row>
    <row r="1086" customFormat="false" ht="15" hidden="false" customHeight="false" outlineLevel="0" collapsed="false">
      <c r="A1086" s="50"/>
      <c r="B1086" s="51"/>
      <c r="C1086" s="52" t="str">
        <f aca="false">IF(B1086="","",IFERROR(INDEX(הגדרות!$A$8:$A$53,MATCH(B1086,הגדרות!$B$8:$B$53,0)),"⚠ לא בהגדרות"))</f>
        <v/>
      </c>
      <c r="D1086" s="51"/>
      <c r="E1086" s="53"/>
      <c r="F1086" s="52" t="str">
        <f aca="false">IF(A1086="","",INDEX(הגדרות!$H$16:$H$27,MONTH(A1086)))</f>
        <v/>
      </c>
    </row>
    <row r="1087" customFormat="false" ht="15" hidden="false" customHeight="false" outlineLevel="0" collapsed="false">
      <c r="A1087" s="55"/>
      <c r="B1087" s="56"/>
      <c r="C1087" s="57" t="str">
        <f aca="false">IF(B1087="","",IFERROR(INDEX(הגדרות!$A$8:$A$53,MATCH(B1087,הגדרות!$B$8:$B$53,0)),"⚠ לא בהגדרות"))</f>
        <v/>
      </c>
      <c r="D1087" s="56"/>
      <c r="E1087" s="58"/>
      <c r="F1087" s="57" t="str">
        <f aca="false">IF(A1087="","",INDEX(הגדרות!$H$16:$H$27,MONTH(A1087)))</f>
        <v/>
      </c>
    </row>
    <row r="1088" customFormat="false" ht="15" hidden="false" customHeight="false" outlineLevel="0" collapsed="false">
      <c r="A1088" s="50"/>
      <c r="B1088" s="51"/>
      <c r="C1088" s="52" t="str">
        <f aca="false">IF(B1088="","",IFERROR(INDEX(הגדרות!$A$8:$A$53,MATCH(B1088,הגדרות!$B$8:$B$53,0)),"⚠ לא בהגדרות"))</f>
        <v/>
      </c>
      <c r="D1088" s="51"/>
      <c r="E1088" s="53"/>
      <c r="F1088" s="52" t="str">
        <f aca="false">IF(A1088="","",INDEX(הגדרות!$H$16:$H$27,MONTH(A1088)))</f>
        <v/>
      </c>
    </row>
    <row r="1089" customFormat="false" ht="15" hidden="false" customHeight="false" outlineLevel="0" collapsed="false">
      <c r="A1089" s="55"/>
      <c r="B1089" s="56"/>
      <c r="C1089" s="57" t="str">
        <f aca="false">IF(B1089="","",IFERROR(INDEX(הגדרות!$A$8:$A$53,MATCH(B1089,הגדרות!$B$8:$B$53,0)),"⚠ לא בהגדרות"))</f>
        <v/>
      </c>
      <c r="D1089" s="56"/>
      <c r="E1089" s="58"/>
      <c r="F1089" s="57" t="str">
        <f aca="false">IF(A1089="","",INDEX(הגדרות!$H$16:$H$27,MONTH(A1089)))</f>
        <v/>
      </c>
    </row>
    <row r="1090" customFormat="false" ht="15" hidden="false" customHeight="false" outlineLevel="0" collapsed="false">
      <c r="A1090" s="50"/>
      <c r="B1090" s="51"/>
      <c r="C1090" s="52" t="str">
        <f aca="false">IF(B1090="","",IFERROR(INDEX(הגדרות!$A$8:$A$53,MATCH(B1090,הגדרות!$B$8:$B$53,0)),"⚠ לא בהגדרות"))</f>
        <v/>
      </c>
      <c r="D1090" s="51"/>
      <c r="E1090" s="53"/>
      <c r="F1090" s="52" t="str">
        <f aca="false">IF(A1090="","",INDEX(הגדרות!$H$16:$H$27,MONTH(A1090)))</f>
        <v/>
      </c>
    </row>
    <row r="1091" customFormat="false" ht="15" hidden="false" customHeight="false" outlineLevel="0" collapsed="false">
      <c r="A1091" s="55"/>
      <c r="B1091" s="56"/>
      <c r="C1091" s="57" t="str">
        <f aca="false">IF(B1091="","",IFERROR(INDEX(הגדרות!$A$8:$A$53,MATCH(B1091,הגדרות!$B$8:$B$53,0)),"⚠ לא בהגדרות"))</f>
        <v/>
      </c>
      <c r="D1091" s="56"/>
      <c r="E1091" s="58"/>
      <c r="F1091" s="57" t="str">
        <f aca="false">IF(A1091="","",INDEX(הגדרות!$H$16:$H$27,MONTH(A1091)))</f>
        <v/>
      </c>
    </row>
    <row r="1092" customFormat="false" ht="15" hidden="false" customHeight="false" outlineLevel="0" collapsed="false">
      <c r="A1092" s="50"/>
      <c r="B1092" s="51"/>
      <c r="C1092" s="52" t="str">
        <f aca="false">IF(B1092="","",IFERROR(INDEX(הגדרות!$A$8:$A$53,MATCH(B1092,הגדרות!$B$8:$B$53,0)),"⚠ לא בהגדרות"))</f>
        <v/>
      </c>
      <c r="D1092" s="51"/>
      <c r="E1092" s="53"/>
      <c r="F1092" s="52" t="str">
        <f aca="false">IF(A1092="","",INDEX(הגדרות!$H$16:$H$27,MONTH(A1092)))</f>
        <v/>
      </c>
    </row>
    <row r="1093" customFormat="false" ht="15" hidden="false" customHeight="false" outlineLevel="0" collapsed="false">
      <c r="A1093" s="55"/>
      <c r="B1093" s="56"/>
      <c r="C1093" s="57" t="str">
        <f aca="false">IF(B1093="","",IFERROR(INDEX(הגדרות!$A$8:$A$53,MATCH(B1093,הגדרות!$B$8:$B$53,0)),"⚠ לא בהגדרות"))</f>
        <v/>
      </c>
      <c r="D1093" s="56"/>
      <c r="E1093" s="58"/>
      <c r="F1093" s="57" t="str">
        <f aca="false">IF(A1093="","",INDEX(הגדרות!$H$16:$H$27,MONTH(A1093)))</f>
        <v/>
      </c>
    </row>
    <row r="1094" customFormat="false" ht="15" hidden="false" customHeight="false" outlineLevel="0" collapsed="false">
      <c r="A1094" s="50"/>
      <c r="B1094" s="51"/>
      <c r="C1094" s="52" t="str">
        <f aca="false">IF(B1094="","",IFERROR(INDEX(הגדרות!$A$8:$A$53,MATCH(B1094,הגדרות!$B$8:$B$53,0)),"⚠ לא בהגדרות"))</f>
        <v/>
      </c>
      <c r="D1094" s="51"/>
      <c r="E1094" s="53"/>
      <c r="F1094" s="52" t="str">
        <f aca="false">IF(A1094="","",INDEX(הגדרות!$H$16:$H$27,MONTH(A1094)))</f>
        <v/>
      </c>
    </row>
    <row r="1095" customFormat="false" ht="15" hidden="false" customHeight="false" outlineLevel="0" collapsed="false">
      <c r="A1095" s="55"/>
      <c r="B1095" s="56"/>
      <c r="C1095" s="57" t="str">
        <f aca="false">IF(B1095="","",IFERROR(INDEX(הגדרות!$A$8:$A$53,MATCH(B1095,הגדרות!$B$8:$B$53,0)),"⚠ לא בהגדרות"))</f>
        <v/>
      </c>
      <c r="D1095" s="56"/>
      <c r="E1095" s="58"/>
      <c r="F1095" s="57" t="str">
        <f aca="false">IF(A1095="","",INDEX(הגדרות!$H$16:$H$27,MONTH(A1095)))</f>
        <v/>
      </c>
    </row>
    <row r="1096" customFormat="false" ht="15" hidden="false" customHeight="false" outlineLevel="0" collapsed="false">
      <c r="A1096" s="50"/>
      <c r="B1096" s="51"/>
      <c r="C1096" s="52" t="str">
        <f aca="false">IF(B1096="","",IFERROR(INDEX(הגדרות!$A$8:$A$53,MATCH(B1096,הגדרות!$B$8:$B$53,0)),"⚠ לא בהגדרות"))</f>
        <v/>
      </c>
      <c r="D1096" s="51"/>
      <c r="E1096" s="53"/>
      <c r="F1096" s="52" t="str">
        <f aca="false">IF(A1096="","",INDEX(הגדרות!$H$16:$H$27,MONTH(A1096)))</f>
        <v/>
      </c>
    </row>
    <row r="1097" customFormat="false" ht="15" hidden="false" customHeight="false" outlineLevel="0" collapsed="false">
      <c r="A1097" s="55"/>
      <c r="B1097" s="56"/>
      <c r="C1097" s="57" t="str">
        <f aca="false">IF(B1097="","",IFERROR(INDEX(הגדרות!$A$8:$A$53,MATCH(B1097,הגדרות!$B$8:$B$53,0)),"⚠ לא בהגדרות"))</f>
        <v/>
      </c>
      <c r="D1097" s="56"/>
      <c r="E1097" s="58"/>
      <c r="F1097" s="57" t="str">
        <f aca="false">IF(A1097="","",INDEX(הגדרות!$H$16:$H$27,MONTH(A1097)))</f>
        <v/>
      </c>
    </row>
    <row r="1098" customFormat="false" ht="15" hidden="false" customHeight="false" outlineLevel="0" collapsed="false">
      <c r="A1098" s="50"/>
      <c r="B1098" s="51"/>
      <c r="C1098" s="52" t="str">
        <f aca="false">IF(B1098="","",IFERROR(INDEX(הגדרות!$A$8:$A$53,MATCH(B1098,הגדרות!$B$8:$B$53,0)),"⚠ לא בהגדרות"))</f>
        <v/>
      </c>
      <c r="D1098" s="51"/>
      <c r="E1098" s="53"/>
      <c r="F1098" s="52" t="str">
        <f aca="false">IF(A1098="","",INDEX(הגדרות!$H$16:$H$27,MONTH(A1098)))</f>
        <v/>
      </c>
    </row>
    <row r="1099" customFormat="false" ht="15" hidden="false" customHeight="false" outlineLevel="0" collapsed="false">
      <c r="A1099" s="55"/>
      <c r="B1099" s="56"/>
      <c r="C1099" s="57" t="str">
        <f aca="false">IF(B1099="","",IFERROR(INDEX(הגדרות!$A$8:$A$53,MATCH(B1099,הגדרות!$B$8:$B$53,0)),"⚠ לא בהגדרות"))</f>
        <v/>
      </c>
      <c r="D1099" s="56"/>
      <c r="E1099" s="58"/>
      <c r="F1099" s="57" t="str">
        <f aca="false">IF(A1099="","",INDEX(הגדרות!$H$16:$H$27,MONTH(A1099)))</f>
        <v/>
      </c>
    </row>
    <row r="1100" customFormat="false" ht="15" hidden="false" customHeight="false" outlineLevel="0" collapsed="false">
      <c r="A1100" s="50"/>
      <c r="B1100" s="51"/>
      <c r="C1100" s="52" t="str">
        <f aca="false">IF(B1100="","",IFERROR(INDEX(הגדרות!$A$8:$A$53,MATCH(B1100,הגדרות!$B$8:$B$53,0)),"⚠ לא בהגדרות"))</f>
        <v/>
      </c>
      <c r="D1100" s="51"/>
      <c r="E1100" s="53"/>
      <c r="F1100" s="52" t="str">
        <f aca="false">IF(A1100="","",INDEX(הגדרות!$H$16:$H$27,MONTH(A1100)))</f>
        <v/>
      </c>
    </row>
    <row r="1101" customFormat="false" ht="15" hidden="false" customHeight="false" outlineLevel="0" collapsed="false">
      <c r="A1101" s="55"/>
      <c r="B1101" s="56"/>
      <c r="C1101" s="57" t="str">
        <f aca="false">IF(B1101="","",IFERROR(INDEX(הגדרות!$A$8:$A$53,MATCH(B1101,הגדרות!$B$8:$B$53,0)),"⚠ לא בהגדרות"))</f>
        <v/>
      </c>
      <c r="D1101" s="56"/>
      <c r="E1101" s="58"/>
      <c r="F1101" s="57" t="str">
        <f aca="false">IF(A1101="","",INDEX(הגדרות!$H$16:$H$27,MONTH(A1101)))</f>
        <v/>
      </c>
    </row>
    <row r="1102" customFormat="false" ht="15" hidden="false" customHeight="false" outlineLevel="0" collapsed="false">
      <c r="A1102" s="50"/>
      <c r="B1102" s="51"/>
      <c r="C1102" s="52" t="str">
        <f aca="false">IF(B1102="","",IFERROR(INDEX(הגדרות!$A$8:$A$53,MATCH(B1102,הגדרות!$B$8:$B$53,0)),"⚠ לא בהגדרות"))</f>
        <v/>
      </c>
      <c r="D1102" s="51"/>
      <c r="E1102" s="53"/>
      <c r="F1102" s="52" t="str">
        <f aca="false">IF(A1102="","",INDEX(הגדרות!$H$16:$H$27,MONTH(A1102)))</f>
        <v/>
      </c>
    </row>
    <row r="1103" customFormat="false" ht="15" hidden="false" customHeight="false" outlineLevel="0" collapsed="false">
      <c r="A1103" s="55"/>
      <c r="B1103" s="56"/>
      <c r="C1103" s="57" t="str">
        <f aca="false">IF(B1103="","",IFERROR(INDEX(הגדרות!$A$8:$A$53,MATCH(B1103,הגדרות!$B$8:$B$53,0)),"⚠ לא בהגדרות"))</f>
        <v/>
      </c>
      <c r="D1103" s="56"/>
      <c r="E1103" s="58"/>
      <c r="F1103" s="57" t="str">
        <f aca="false">IF(A1103="","",INDEX(הגדרות!$H$16:$H$27,MONTH(A1103)))</f>
        <v/>
      </c>
    </row>
    <row r="1104" customFormat="false" ht="15" hidden="false" customHeight="false" outlineLevel="0" collapsed="false">
      <c r="A1104" s="50"/>
      <c r="B1104" s="51"/>
      <c r="C1104" s="52" t="str">
        <f aca="false">IF(B1104="","",IFERROR(INDEX(הגדרות!$A$8:$A$53,MATCH(B1104,הגדרות!$B$8:$B$53,0)),"⚠ לא בהגדרות"))</f>
        <v/>
      </c>
      <c r="D1104" s="51"/>
      <c r="E1104" s="53"/>
      <c r="F1104" s="52" t="str">
        <f aca="false">IF(A1104="","",INDEX(הגדרות!$H$16:$H$27,MONTH(A1104)))</f>
        <v/>
      </c>
    </row>
    <row r="1105" customFormat="false" ht="15" hidden="false" customHeight="false" outlineLevel="0" collapsed="false">
      <c r="A1105" s="55"/>
      <c r="B1105" s="56"/>
      <c r="C1105" s="57" t="str">
        <f aca="false">IF(B1105="","",IFERROR(INDEX(הגדרות!$A$8:$A$53,MATCH(B1105,הגדרות!$B$8:$B$53,0)),"⚠ לא בהגדרות"))</f>
        <v/>
      </c>
      <c r="D1105" s="56"/>
      <c r="E1105" s="58"/>
      <c r="F1105" s="57" t="str">
        <f aca="false">IF(A1105="","",INDEX(הגדרות!$H$16:$H$27,MONTH(A1105)))</f>
        <v/>
      </c>
    </row>
    <row r="1106" customFormat="false" ht="15" hidden="false" customHeight="false" outlineLevel="0" collapsed="false">
      <c r="A1106" s="50"/>
      <c r="B1106" s="51"/>
      <c r="C1106" s="52" t="str">
        <f aca="false">IF(B1106="","",IFERROR(INDEX(הגדרות!$A$8:$A$53,MATCH(B1106,הגדרות!$B$8:$B$53,0)),"⚠ לא בהגדרות"))</f>
        <v/>
      </c>
      <c r="D1106" s="51"/>
      <c r="E1106" s="53"/>
      <c r="F1106" s="52" t="str">
        <f aca="false">IF(A1106="","",INDEX(הגדרות!$H$16:$H$27,MONTH(A1106)))</f>
        <v/>
      </c>
    </row>
    <row r="1107" customFormat="false" ht="15" hidden="false" customHeight="false" outlineLevel="0" collapsed="false">
      <c r="A1107" s="55"/>
      <c r="B1107" s="56"/>
      <c r="C1107" s="57" t="str">
        <f aca="false">IF(B1107="","",IFERROR(INDEX(הגדרות!$A$8:$A$53,MATCH(B1107,הגדרות!$B$8:$B$53,0)),"⚠ לא בהגדרות"))</f>
        <v/>
      </c>
      <c r="D1107" s="56"/>
      <c r="E1107" s="58"/>
      <c r="F1107" s="57" t="str">
        <f aca="false">IF(A1107="","",INDEX(הגדרות!$H$16:$H$27,MONTH(A1107)))</f>
        <v/>
      </c>
    </row>
    <row r="1108" customFormat="false" ht="15" hidden="false" customHeight="false" outlineLevel="0" collapsed="false">
      <c r="A1108" s="50"/>
      <c r="B1108" s="51"/>
      <c r="C1108" s="52" t="str">
        <f aca="false">IF(B1108="","",IFERROR(INDEX(הגדרות!$A$8:$A$53,MATCH(B1108,הגדרות!$B$8:$B$53,0)),"⚠ לא בהגדרות"))</f>
        <v/>
      </c>
      <c r="D1108" s="51"/>
      <c r="E1108" s="53"/>
      <c r="F1108" s="52" t="str">
        <f aca="false">IF(A1108="","",INDEX(הגדרות!$H$16:$H$27,MONTH(A1108)))</f>
        <v/>
      </c>
    </row>
    <row r="1109" customFormat="false" ht="15" hidden="false" customHeight="false" outlineLevel="0" collapsed="false">
      <c r="A1109" s="55"/>
      <c r="B1109" s="56"/>
      <c r="C1109" s="57" t="str">
        <f aca="false">IF(B1109="","",IFERROR(INDEX(הגדרות!$A$8:$A$53,MATCH(B1109,הגדרות!$B$8:$B$53,0)),"⚠ לא בהגדרות"))</f>
        <v/>
      </c>
      <c r="D1109" s="56"/>
      <c r="E1109" s="58"/>
      <c r="F1109" s="57" t="str">
        <f aca="false">IF(A1109="","",INDEX(הגדרות!$H$16:$H$27,MONTH(A1109)))</f>
        <v/>
      </c>
    </row>
    <row r="1110" customFormat="false" ht="15" hidden="false" customHeight="false" outlineLevel="0" collapsed="false">
      <c r="A1110" s="50"/>
      <c r="B1110" s="51"/>
      <c r="C1110" s="52" t="str">
        <f aca="false">IF(B1110="","",IFERROR(INDEX(הגדרות!$A$8:$A$53,MATCH(B1110,הגדרות!$B$8:$B$53,0)),"⚠ לא בהגדרות"))</f>
        <v/>
      </c>
      <c r="D1110" s="51"/>
      <c r="E1110" s="53"/>
      <c r="F1110" s="52" t="str">
        <f aca="false">IF(A1110="","",INDEX(הגדרות!$H$16:$H$27,MONTH(A1110)))</f>
        <v/>
      </c>
    </row>
    <row r="1111" customFormat="false" ht="15" hidden="false" customHeight="false" outlineLevel="0" collapsed="false">
      <c r="A1111" s="55"/>
      <c r="B1111" s="56"/>
      <c r="C1111" s="57" t="str">
        <f aca="false">IF(B1111="","",IFERROR(INDEX(הגדרות!$A$8:$A$53,MATCH(B1111,הגדרות!$B$8:$B$53,0)),"⚠ לא בהגדרות"))</f>
        <v/>
      </c>
      <c r="D1111" s="56"/>
      <c r="E1111" s="58"/>
      <c r="F1111" s="57" t="str">
        <f aca="false">IF(A1111="","",INDEX(הגדרות!$H$16:$H$27,MONTH(A1111)))</f>
        <v/>
      </c>
    </row>
    <row r="1112" customFormat="false" ht="15" hidden="false" customHeight="false" outlineLevel="0" collapsed="false">
      <c r="A1112" s="50"/>
      <c r="B1112" s="51"/>
      <c r="C1112" s="52" t="str">
        <f aca="false">IF(B1112="","",IFERROR(INDEX(הגדרות!$A$8:$A$53,MATCH(B1112,הגדרות!$B$8:$B$53,0)),"⚠ לא בהגדרות"))</f>
        <v/>
      </c>
      <c r="D1112" s="51"/>
      <c r="E1112" s="53"/>
      <c r="F1112" s="52" t="str">
        <f aca="false">IF(A1112="","",INDEX(הגדרות!$H$16:$H$27,MONTH(A1112)))</f>
        <v/>
      </c>
    </row>
    <row r="1113" customFormat="false" ht="15" hidden="false" customHeight="false" outlineLevel="0" collapsed="false">
      <c r="A1113" s="55"/>
      <c r="B1113" s="56"/>
      <c r="C1113" s="57" t="str">
        <f aca="false">IF(B1113="","",IFERROR(INDEX(הגדרות!$A$8:$A$53,MATCH(B1113,הגדרות!$B$8:$B$53,0)),"⚠ לא בהגדרות"))</f>
        <v/>
      </c>
      <c r="D1113" s="56"/>
      <c r="E1113" s="58"/>
      <c r="F1113" s="57" t="str">
        <f aca="false">IF(A1113="","",INDEX(הגדרות!$H$16:$H$27,MONTH(A1113)))</f>
        <v/>
      </c>
    </row>
    <row r="1114" customFormat="false" ht="15" hidden="false" customHeight="false" outlineLevel="0" collapsed="false">
      <c r="A1114" s="50"/>
      <c r="B1114" s="51"/>
      <c r="C1114" s="52" t="str">
        <f aca="false">IF(B1114="","",IFERROR(INDEX(הגדרות!$A$8:$A$53,MATCH(B1114,הגדרות!$B$8:$B$53,0)),"⚠ לא בהגדרות"))</f>
        <v/>
      </c>
      <c r="D1114" s="51"/>
      <c r="E1114" s="53"/>
      <c r="F1114" s="52" t="str">
        <f aca="false">IF(A1114="","",INDEX(הגדרות!$H$16:$H$27,MONTH(A1114)))</f>
        <v/>
      </c>
    </row>
    <row r="1115" customFormat="false" ht="15" hidden="false" customHeight="false" outlineLevel="0" collapsed="false">
      <c r="A1115" s="55"/>
      <c r="B1115" s="56"/>
      <c r="C1115" s="57" t="str">
        <f aca="false">IF(B1115="","",IFERROR(INDEX(הגדרות!$A$8:$A$53,MATCH(B1115,הגדרות!$B$8:$B$53,0)),"⚠ לא בהגדרות"))</f>
        <v/>
      </c>
      <c r="D1115" s="56"/>
      <c r="E1115" s="58"/>
      <c r="F1115" s="57" t="str">
        <f aca="false">IF(A1115="","",INDEX(הגדרות!$H$16:$H$27,MONTH(A1115)))</f>
        <v/>
      </c>
    </row>
    <row r="1116" customFormat="false" ht="15" hidden="false" customHeight="false" outlineLevel="0" collapsed="false">
      <c r="A1116" s="50"/>
      <c r="B1116" s="51"/>
      <c r="C1116" s="52" t="str">
        <f aca="false">IF(B1116="","",IFERROR(INDEX(הגדרות!$A$8:$A$53,MATCH(B1116,הגדרות!$B$8:$B$53,0)),"⚠ לא בהגדרות"))</f>
        <v/>
      </c>
      <c r="D1116" s="51"/>
      <c r="E1116" s="53"/>
      <c r="F1116" s="52" t="str">
        <f aca="false">IF(A1116="","",INDEX(הגדרות!$H$16:$H$27,MONTH(A1116)))</f>
        <v/>
      </c>
    </row>
    <row r="1117" customFormat="false" ht="15" hidden="false" customHeight="false" outlineLevel="0" collapsed="false">
      <c r="A1117" s="55"/>
      <c r="B1117" s="56"/>
      <c r="C1117" s="57" t="str">
        <f aca="false">IF(B1117="","",IFERROR(INDEX(הגדרות!$A$8:$A$53,MATCH(B1117,הגדרות!$B$8:$B$53,0)),"⚠ לא בהגדרות"))</f>
        <v/>
      </c>
      <c r="D1117" s="56"/>
      <c r="E1117" s="58"/>
      <c r="F1117" s="57" t="str">
        <f aca="false">IF(A1117="","",INDEX(הגדרות!$H$16:$H$27,MONTH(A1117)))</f>
        <v/>
      </c>
    </row>
    <row r="1118" customFormat="false" ht="15" hidden="false" customHeight="false" outlineLevel="0" collapsed="false">
      <c r="A1118" s="50"/>
      <c r="B1118" s="51"/>
      <c r="C1118" s="52" t="str">
        <f aca="false">IF(B1118="","",IFERROR(INDEX(הגדרות!$A$8:$A$53,MATCH(B1118,הגדרות!$B$8:$B$53,0)),"⚠ לא בהגדרות"))</f>
        <v/>
      </c>
      <c r="D1118" s="51"/>
      <c r="E1118" s="53"/>
      <c r="F1118" s="52" t="str">
        <f aca="false">IF(A1118="","",INDEX(הגדרות!$H$16:$H$27,MONTH(A1118)))</f>
        <v/>
      </c>
    </row>
    <row r="1119" customFormat="false" ht="15" hidden="false" customHeight="false" outlineLevel="0" collapsed="false">
      <c r="A1119" s="55"/>
      <c r="B1119" s="56"/>
      <c r="C1119" s="57" t="str">
        <f aca="false">IF(B1119="","",IFERROR(INDEX(הגדרות!$A$8:$A$53,MATCH(B1119,הגדרות!$B$8:$B$53,0)),"⚠ לא בהגדרות"))</f>
        <v/>
      </c>
      <c r="D1119" s="56"/>
      <c r="E1119" s="58"/>
      <c r="F1119" s="57" t="str">
        <f aca="false">IF(A1119="","",INDEX(הגדרות!$H$16:$H$27,MONTH(A1119)))</f>
        <v/>
      </c>
    </row>
    <row r="1120" customFormat="false" ht="15" hidden="false" customHeight="false" outlineLevel="0" collapsed="false">
      <c r="A1120" s="50"/>
      <c r="B1120" s="51"/>
      <c r="C1120" s="52" t="str">
        <f aca="false">IF(B1120="","",IFERROR(INDEX(הגדרות!$A$8:$A$53,MATCH(B1120,הגדרות!$B$8:$B$53,0)),"⚠ לא בהגדרות"))</f>
        <v/>
      </c>
      <c r="D1120" s="51"/>
      <c r="E1120" s="53"/>
      <c r="F1120" s="52" t="str">
        <f aca="false">IF(A1120="","",INDEX(הגדרות!$H$16:$H$27,MONTH(A1120)))</f>
        <v/>
      </c>
    </row>
    <row r="1121" customFormat="false" ht="15" hidden="false" customHeight="false" outlineLevel="0" collapsed="false">
      <c r="A1121" s="55"/>
      <c r="B1121" s="56"/>
      <c r="C1121" s="57" t="str">
        <f aca="false">IF(B1121="","",IFERROR(INDEX(הגדרות!$A$8:$A$53,MATCH(B1121,הגדרות!$B$8:$B$53,0)),"⚠ לא בהגדרות"))</f>
        <v/>
      </c>
      <c r="D1121" s="56"/>
      <c r="E1121" s="58"/>
      <c r="F1121" s="57" t="str">
        <f aca="false">IF(A1121="","",INDEX(הגדרות!$H$16:$H$27,MONTH(A1121)))</f>
        <v/>
      </c>
    </row>
    <row r="1122" customFormat="false" ht="15" hidden="false" customHeight="false" outlineLevel="0" collapsed="false">
      <c r="A1122" s="50"/>
      <c r="B1122" s="51"/>
      <c r="C1122" s="52" t="str">
        <f aca="false">IF(B1122="","",IFERROR(INDEX(הגדרות!$A$8:$A$53,MATCH(B1122,הגדרות!$B$8:$B$53,0)),"⚠ לא בהגדרות"))</f>
        <v/>
      </c>
      <c r="D1122" s="51"/>
      <c r="E1122" s="53"/>
      <c r="F1122" s="52" t="str">
        <f aca="false">IF(A1122="","",INDEX(הגדרות!$H$16:$H$27,MONTH(A1122)))</f>
        <v/>
      </c>
    </row>
    <row r="1123" customFormat="false" ht="15" hidden="false" customHeight="false" outlineLevel="0" collapsed="false">
      <c r="A1123" s="55"/>
      <c r="B1123" s="56"/>
      <c r="C1123" s="57" t="str">
        <f aca="false">IF(B1123="","",IFERROR(INDEX(הגדרות!$A$8:$A$53,MATCH(B1123,הגדרות!$B$8:$B$53,0)),"⚠ לא בהגדרות"))</f>
        <v/>
      </c>
      <c r="D1123" s="56"/>
      <c r="E1123" s="58"/>
      <c r="F1123" s="57" t="str">
        <f aca="false">IF(A1123="","",INDEX(הגדרות!$H$16:$H$27,MONTH(A1123)))</f>
        <v/>
      </c>
    </row>
    <row r="1124" customFormat="false" ht="15" hidden="false" customHeight="false" outlineLevel="0" collapsed="false">
      <c r="A1124" s="50"/>
      <c r="B1124" s="51"/>
      <c r="C1124" s="52" t="str">
        <f aca="false">IF(B1124="","",IFERROR(INDEX(הגדרות!$A$8:$A$53,MATCH(B1124,הגדרות!$B$8:$B$53,0)),"⚠ לא בהגדרות"))</f>
        <v/>
      </c>
      <c r="D1124" s="51"/>
      <c r="E1124" s="53"/>
      <c r="F1124" s="52" t="str">
        <f aca="false">IF(A1124="","",INDEX(הגדרות!$H$16:$H$27,MONTH(A1124)))</f>
        <v/>
      </c>
    </row>
    <row r="1125" customFormat="false" ht="15" hidden="false" customHeight="false" outlineLevel="0" collapsed="false">
      <c r="A1125" s="55"/>
      <c r="B1125" s="56"/>
      <c r="C1125" s="57" t="str">
        <f aca="false">IF(B1125="","",IFERROR(INDEX(הגדרות!$A$8:$A$53,MATCH(B1125,הגדרות!$B$8:$B$53,0)),"⚠ לא בהגדרות"))</f>
        <v/>
      </c>
      <c r="D1125" s="56"/>
      <c r="E1125" s="58"/>
      <c r="F1125" s="57" t="str">
        <f aca="false">IF(A1125="","",INDEX(הגדרות!$H$16:$H$27,MONTH(A1125)))</f>
        <v/>
      </c>
    </row>
    <row r="1126" customFormat="false" ht="15" hidden="false" customHeight="false" outlineLevel="0" collapsed="false">
      <c r="A1126" s="50"/>
      <c r="B1126" s="51"/>
      <c r="C1126" s="52" t="str">
        <f aca="false">IF(B1126="","",IFERROR(INDEX(הגדרות!$A$8:$A$53,MATCH(B1126,הגדרות!$B$8:$B$53,0)),"⚠ לא בהגדרות"))</f>
        <v/>
      </c>
      <c r="D1126" s="51"/>
      <c r="E1126" s="53"/>
      <c r="F1126" s="52" t="str">
        <f aca="false">IF(A1126="","",INDEX(הגדרות!$H$16:$H$27,MONTH(A1126)))</f>
        <v/>
      </c>
    </row>
    <row r="1127" customFormat="false" ht="15" hidden="false" customHeight="false" outlineLevel="0" collapsed="false">
      <c r="A1127" s="55"/>
      <c r="B1127" s="56"/>
      <c r="C1127" s="57" t="str">
        <f aca="false">IF(B1127="","",IFERROR(INDEX(הגדרות!$A$8:$A$53,MATCH(B1127,הגדרות!$B$8:$B$53,0)),"⚠ לא בהגדרות"))</f>
        <v/>
      </c>
      <c r="D1127" s="56"/>
      <c r="E1127" s="58"/>
      <c r="F1127" s="57" t="str">
        <f aca="false">IF(A1127="","",INDEX(הגדרות!$H$16:$H$27,MONTH(A1127)))</f>
        <v/>
      </c>
    </row>
    <row r="1128" customFormat="false" ht="15" hidden="false" customHeight="false" outlineLevel="0" collapsed="false">
      <c r="A1128" s="50"/>
      <c r="B1128" s="51"/>
      <c r="C1128" s="52" t="str">
        <f aca="false">IF(B1128="","",IFERROR(INDEX(הגדרות!$A$8:$A$53,MATCH(B1128,הגדרות!$B$8:$B$53,0)),"⚠ לא בהגדרות"))</f>
        <v/>
      </c>
      <c r="D1128" s="51"/>
      <c r="E1128" s="53"/>
      <c r="F1128" s="52" t="str">
        <f aca="false">IF(A1128="","",INDEX(הגדרות!$H$16:$H$27,MONTH(A1128)))</f>
        <v/>
      </c>
    </row>
    <row r="1129" customFormat="false" ht="15" hidden="false" customHeight="false" outlineLevel="0" collapsed="false">
      <c r="A1129" s="55"/>
      <c r="B1129" s="56"/>
      <c r="C1129" s="57" t="str">
        <f aca="false">IF(B1129="","",IFERROR(INDEX(הגדרות!$A$8:$A$53,MATCH(B1129,הגדרות!$B$8:$B$53,0)),"⚠ לא בהגדרות"))</f>
        <v/>
      </c>
      <c r="D1129" s="56"/>
      <c r="E1129" s="58"/>
      <c r="F1129" s="57" t="str">
        <f aca="false">IF(A1129="","",INDEX(הגדרות!$H$16:$H$27,MONTH(A1129)))</f>
        <v/>
      </c>
    </row>
    <row r="1130" customFormat="false" ht="15" hidden="false" customHeight="false" outlineLevel="0" collapsed="false">
      <c r="A1130" s="50"/>
      <c r="B1130" s="51"/>
      <c r="C1130" s="52" t="str">
        <f aca="false">IF(B1130="","",IFERROR(INDEX(הגדרות!$A$8:$A$53,MATCH(B1130,הגדרות!$B$8:$B$53,0)),"⚠ לא בהגדרות"))</f>
        <v/>
      </c>
      <c r="D1130" s="51"/>
      <c r="E1130" s="53"/>
      <c r="F1130" s="52" t="str">
        <f aca="false">IF(A1130="","",INDEX(הגדרות!$H$16:$H$27,MONTH(A1130)))</f>
        <v/>
      </c>
    </row>
    <row r="1131" customFormat="false" ht="15" hidden="false" customHeight="false" outlineLevel="0" collapsed="false">
      <c r="A1131" s="55"/>
      <c r="B1131" s="56"/>
      <c r="C1131" s="57" t="str">
        <f aca="false">IF(B1131="","",IFERROR(INDEX(הגדרות!$A$8:$A$53,MATCH(B1131,הגדרות!$B$8:$B$53,0)),"⚠ לא בהגדרות"))</f>
        <v/>
      </c>
      <c r="D1131" s="56"/>
      <c r="E1131" s="58"/>
      <c r="F1131" s="57" t="str">
        <f aca="false">IF(A1131="","",INDEX(הגדרות!$H$16:$H$27,MONTH(A1131)))</f>
        <v/>
      </c>
    </row>
    <row r="1132" customFormat="false" ht="15" hidden="false" customHeight="false" outlineLevel="0" collapsed="false">
      <c r="A1132" s="50"/>
      <c r="B1132" s="51"/>
      <c r="C1132" s="52" t="str">
        <f aca="false">IF(B1132="","",IFERROR(INDEX(הגדרות!$A$8:$A$53,MATCH(B1132,הגדרות!$B$8:$B$53,0)),"⚠ לא בהגדרות"))</f>
        <v/>
      </c>
      <c r="D1132" s="51"/>
      <c r="E1132" s="53"/>
      <c r="F1132" s="52" t="str">
        <f aca="false">IF(A1132="","",INDEX(הגדרות!$H$16:$H$27,MONTH(A1132)))</f>
        <v/>
      </c>
    </row>
    <row r="1133" customFormat="false" ht="15" hidden="false" customHeight="false" outlineLevel="0" collapsed="false">
      <c r="A1133" s="55"/>
      <c r="B1133" s="56"/>
      <c r="C1133" s="57" t="str">
        <f aca="false">IF(B1133="","",IFERROR(INDEX(הגדרות!$A$8:$A$53,MATCH(B1133,הגדרות!$B$8:$B$53,0)),"⚠ לא בהגדרות"))</f>
        <v/>
      </c>
      <c r="D1133" s="56"/>
      <c r="E1133" s="58"/>
      <c r="F1133" s="57" t="str">
        <f aca="false">IF(A1133="","",INDEX(הגדרות!$H$16:$H$27,MONTH(A1133)))</f>
        <v/>
      </c>
    </row>
    <row r="1134" customFormat="false" ht="15" hidden="false" customHeight="false" outlineLevel="0" collapsed="false">
      <c r="A1134" s="50"/>
      <c r="B1134" s="51"/>
      <c r="C1134" s="52" t="str">
        <f aca="false">IF(B1134="","",IFERROR(INDEX(הגדרות!$A$8:$A$53,MATCH(B1134,הגדרות!$B$8:$B$53,0)),"⚠ לא בהגדרות"))</f>
        <v/>
      </c>
      <c r="D1134" s="51"/>
      <c r="E1134" s="53"/>
      <c r="F1134" s="52" t="str">
        <f aca="false">IF(A1134="","",INDEX(הגדרות!$H$16:$H$27,MONTH(A1134)))</f>
        <v/>
      </c>
    </row>
    <row r="1135" customFormat="false" ht="15" hidden="false" customHeight="false" outlineLevel="0" collapsed="false">
      <c r="A1135" s="55"/>
      <c r="B1135" s="56"/>
      <c r="C1135" s="57" t="str">
        <f aca="false">IF(B1135="","",IFERROR(INDEX(הגדרות!$A$8:$A$53,MATCH(B1135,הגדרות!$B$8:$B$53,0)),"⚠ לא בהגדרות"))</f>
        <v/>
      </c>
      <c r="D1135" s="56"/>
      <c r="E1135" s="58"/>
      <c r="F1135" s="57" t="str">
        <f aca="false">IF(A1135="","",INDEX(הגדרות!$H$16:$H$27,MONTH(A1135)))</f>
        <v/>
      </c>
    </row>
    <row r="1136" customFormat="false" ht="15" hidden="false" customHeight="false" outlineLevel="0" collapsed="false">
      <c r="A1136" s="50"/>
      <c r="B1136" s="51"/>
      <c r="C1136" s="52" t="str">
        <f aca="false">IF(B1136="","",IFERROR(INDEX(הגדרות!$A$8:$A$53,MATCH(B1136,הגדרות!$B$8:$B$53,0)),"⚠ לא בהגדרות"))</f>
        <v/>
      </c>
      <c r="D1136" s="51"/>
      <c r="E1136" s="53"/>
      <c r="F1136" s="52" t="str">
        <f aca="false">IF(A1136="","",INDEX(הגדרות!$H$16:$H$27,MONTH(A1136)))</f>
        <v/>
      </c>
    </row>
    <row r="1137" customFormat="false" ht="15" hidden="false" customHeight="false" outlineLevel="0" collapsed="false">
      <c r="A1137" s="55"/>
      <c r="B1137" s="56"/>
      <c r="C1137" s="57" t="str">
        <f aca="false">IF(B1137="","",IFERROR(INDEX(הגדרות!$A$8:$A$53,MATCH(B1137,הגדרות!$B$8:$B$53,0)),"⚠ לא בהגדרות"))</f>
        <v/>
      </c>
      <c r="D1137" s="56"/>
      <c r="E1137" s="58"/>
      <c r="F1137" s="57" t="str">
        <f aca="false">IF(A1137="","",INDEX(הגדרות!$H$16:$H$27,MONTH(A1137)))</f>
        <v/>
      </c>
    </row>
    <row r="1138" customFormat="false" ht="15" hidden="false" customHeight="false" outlineLevel="0" collapsed="false">
      <c r="A1138" s="50"/>
      <c r="B1138" s="51"/>
      <c r="C1138" s="52" t="str">
        <f aca="false">IF(B1138="","",IFERROR(INDEX(הגדרות!$A$8:$A$53,MATCH(B1138,הגדרות!$B$8:$B$53,0)),"⚠ לא בהגדרות"))</f>
        <v/>
      </c>
      <c r="D1138" s="51"/>
      <c r="E1138" s="53"/>
      <c r="F1138" s="52" t="str">
        <f aca="false">IF(A1138="","",INDEX(הגדרות!$H$16:$H$27,MONTH(A1138)))</f>
        <v/>
      </c>
    </row>
    <row r="1139" customFormat="false" ht="15" hidden="false" customHeight="false" outlineLevel="0" collapsed="false">
      <c r="A1139" s="55"/>
      <c r="B1139" s="56"/>
      <c r="C1139" s="57" t="str">
        <f aca="false">IF(B1139="","",IFERROR(INDEX(הגדרות!$A$8:$A$53,MATCH(B1139,הגדרות!$B$8:$B$53,0)),"⚠ לא בהגדרות"))</f>
        <v/>
      </c>
      <c r="D1139" s="56"/>
      <c r="E1139" s="58"/>
      <c r="F1139" s="57" t="str">
        <f aca="false">IF(A1139="","",INDEX(הגדרות!$H$16:$H$27,MONTH(A1139)))</f>
        <v/>
      </c>
    </row>
    <row r="1140" customFormat="false" ht="15" hidden="false" customHeight="false" outlineLevel="0" collapsed="false">
      <c r="A1140" s="50"/>
      <c r="B1140" s="51"/>
      <c r="C1140" s="52" t="str">
        <f aca="false">IF(B1140="","",IFERROR(INDEX(הגדרות!$A$8:$A$53,MATCH(B1140,הגדרות!$B$8:$B$53,0)),"⚠ לא בהגדרות"))</f>
        <v/>
      </c>
      <c r="D1140" s="51"/>
      <c r="E1140" s="53"/>
      <c r="F1140" s="52" t="str">
        <f aca="false">IF(A1140="","",INDEX(הגדרות!$H$16:$H$27,MONTH(A1140)))</f>
        <v/>
      </c>
    </row>
    <row r="1141" customFormat="false" ht="15" hidden="false" customHeight="false" outlineLevel="0" collapsed="false">
      <c r="A1141" s="55"/>
      <c r="B1141" s="56"/>
      <c r="C1141" s="57" t="str">
        <f aca="false">IF(B1141="","",IFERROR(INDEX(הגדרות!$A$8:$A$53,MATCH(B1141,הגדרות!$B$8:$B$53,0)),"⚠ לא בהגדרות"))</f>
        <v/>
      </c>
      <c r="D1141" s="56"/>
      <c r="E1141" s="58"/>
      <c r="F1141" s="57" t="str">
        <f aca="false">IF(A1141="","",INDEX(הגדרות!$H$16:$H$27,MONTH(A1141)))</f>
        <v/>
      </c>
    </row>
    <row r="1142" customFormat="false" ht="15" hidden="false" customHeight="false" outlineLevel="0" collapsed="false">
      <c r="A1142" s="50"/>
      <c r="B1142" s="51"/>
      <c r="C1142" s="52" t="str">
        <f aca="false">IF(B1142="","",IFERROR(INDEX(הגדרות!$A$8:$A$53,MATCH(B1142,הגדרות!$B$8:$B$53,0)),"⚠ לא בהגדרות"))</f>
        <v/>
      </c>
      <c r="D1142" s="51"/>
      <c r="E1142" s="53"/>
      <c r="F1142" s="52" t="str">
        <f aca="false">IF(A1142="","",INDEX(הגדרות!$H$16:$H$27,MONTH(A1142)))</f>
        <v/>
      </c>
    </row>
    <row r="1143" customFormat="false" ht="15" hidden="false" customHeight="false" outlineLevel="0" collapsed="false">
      <c r="A1143" s="55"/>
      <c r="B1143" s="56"/>
      <c r="C1143" s="57" t="str">
        <f aca="false">IF(B1143="","",IFERROR(INDEX(הגדרות!$A$8:$A$53,MATCH(B1143,הגדרות!$B$8:$B$53,0)),"⚠ לא בהגדרות"))</f>
        <v/>
      </c>
      <c r="D1143" s="56"/>
      <c r="E1143" s="58"/>
      <c r="F1143" s="57" t="str">
        <f aca="false">IF(A1143="","",INDEX(הגדרות!$H$16:$H$27,MONTH(A1143)))</f>
        <v/>
      </c>
    </row>
    <row r="1144" customFormat="false" ht="15" hidden="false" customHeight="false" outlineLevel="0" collapsed="false">
      <c r="A1144" s="50"/>
      <c r="B1144" s="51"/>
      <c r="C1144" s="52" t="str">
        <f aca="false">IF(B1144="","",IFERROR(INDEX(הגדרות!$A$8:$A$53,MATCH(B1144,הגדרות!$B$8:$B$53,0)),"⚠ לא בהגדרות"))</f>
        <v/>
      </c>
      <c r="D1144" s="51"/>
      <c r="E1144" s="53"/>
      <c r="F1144" s="52" t="str">
        <f aca="false">IF(A1144="","",INDEX(הגדרות!$H$16:$H$27,MONTH(A1144)))</f>
        <v/>
      </c>
    </row>
    <row r="1145" customFormat="false" ht="15" hidden="false" customHeight="false" outlineLevel="0" collapsed="false">
      <c r="A1145" s="55"/>
      <c r="B1145" s="56"/>
      <c r="C1145" s="57" t="str">
        <f aca="false">IF(B1145="","",IFERROR(INDEX(הגדרות!$A$8:$A$53,MATCH(B1145,הגדרות!$B$8:$B$53,0)),"⚠ לא בהגדרות"))</f>
        <v/>
      </c>
      <c r="D1145" s="56"/>
      <c r="E1145" s="58"/>
      <c r="F1145" s="57" t="str">
        <f aca="false">IF(A1145="","",INDEX(הגדרות!$H$16:$H$27,MONTH(A1145)))</f>
        <v/>
      </c>
    </row>
    <row r="1146" customFormat="false" ht="15" hidden="false" customHeight="false" outlineLevel="0" collapsed="false">
      <c r="A1146" s="50"/>
      <c r="B1146" s="51"/>
      <c r="C1146" s="52" t="str">
        <f aca="false">IF(B1146="","",IFERROR(INDEX(הגדרות!$A$8:$A$53,MATCH(B1146,הגדרות!$B$8:$B$53,0)),"⚠ לא בהגדרות"))</f>
        <v/>
      </c>
      <c r="D1146" s="51"/>
      <c r="E1146" s="53"/>
      <c r="F1146" s="52" t="str">
        <f aca="false">IF(A1146="","",INDEX(הגדרות!$H$16:$H$27,MONTH(A1146)))</f>
        <v/>
      </c>
    </row>
    <row r="1147" customFormat="false" ht="15" hidden="false" customHeight="false" outlineLevel="0" collapsed="false">
      <c r="A1147" s="55"/>
      <c r="B1147" s="56"/>
      <c r="C1147" s="57" t="str">
        <f aca="false">IF(B1147="","",IFERROR(INDEX(הגדרות!$A$8:$A$53,MATCH(B1147,הגדרות!$B$8:$B$53,0)),"⚠ לא בהגדרות"))</f>
        <v/>
      </c>
      <c r="D1147" s="56"/>
      <c r="E1147" s="58"/>
      <c r="F1147" s="57" t="str">
        <f aca="false">IF(A1147="","",INDEX(הגדרות!$H$16:$H$27,MONTH(A1147)))</f>
        <v/>
      </c>
    </row>
    <row r="1148" customFormat="false" ht="15" hidden="false" customHeight="false" outlineLevel="0" collapsed="false">
      <c r="A1148" s="50"/>
      <c r="B1148" s="51"/>
      <c r="C1148" s="52" t="str">
        <f aca="false">IF(B1148="","",IFERROR(INDEX(הגדרות!$A$8:$A$53,MATCH(B1148,הגדרות!$B$8:$B$53,0)),"⚠ לא בהגדרות"))</f>
        <v/>
      </c>
      <c r="D1148" s="51"/>
      <c r="E1148" s="53"/>
      <c r="F1148" s="52" t="str">
        <f aca="false">IF(A1148="","",INDEX(הגדרות!$H$16:$H$27,MONTH(A1148)))</f>
        <v/>
      </c>
    </row>
    <row r="1149" customFormat="false" ht="15" hidden="false" customHeight="false" outlineLevel="0" collapsed="false">
      <c r="A1149" s="55"/>
      <c r="B1149" s="56"/>
      <c r="C1149" s="57" t="str">
        <f aca="false">IF(B1149="","",IFERROR(INDEX(הגדרות!$A$8:$A$53,MATCH(B1149,הגדרות!$B$8:$B$53,0)),"⚠ לא בהגדרות"))</f>
        <v/>
      </c>
      <c r="D1149" s="56"/>
      <c r="E1149" s="58"/>
      <c r="F1149" s="57" t="str">
        <f aca="false">IF(A1149="","",INDEX(הגדרות!$H$16:$H$27,MONTH(A1149)))</f>
        <v/>
      </c>
    </row>
    <row r="1150" customFormat="false" ht="15" hidden="false" customHeight="false" outlineLevel="0" collapsed="false">
      <c r="A1150" s="50"/>
      <c r="B1150" s="51"/>
      <c r="C1150" s="52" t="str">
        <f aca="false">IF(B1150="","",IFERROR(INDEX(הגדרות!$A$8:$A$53,MATCH(B1150,הגדרות!$B$8:$B$53,0)),"⚠ לא בהגדרות"))</f>
        <v/>
      </c>
      <c r="D1150" s="51"/>
      <c r="E1150" s="53"/>
      <c r="F1150" s="52" t="str">
        <f aca="false">IF(A1150="","",INDEX(הגדרות!$H$16:$H$27,MONTH(A1150)))</f>
        <v/>
      </c>
    </row>
    <row r="1151" customFormat="false" ht="15" hidden="false" customHeight="false" outlineLevel="0" collapsed="false">
      <c r="A1151" s="55"/>
      <c r="B1151" s="56"/>
      <c r="C1151" s="57" t="str">
        <f aca="false">IF(B1151="","",IFERROR(INDEX(הגדרות!$A$8:$A$53,MATCH(B1151,הגדרות!$B$8:$B$53,0)),"⚠ לא בהגדרות"))</f>
        <v/>
      </c>
      <c r="D1151" s="56"/>
      <c r="E1151" s="58"/>
      <c r="F1151" s="57" t="str">
        <f aca="false">IF(A1151="","",INDEX(הגדרות!$H$16:$H$27,MONTH(A1151)))</f>
        <v/>
      </c>
    </row>
    <row r="1152" customFormat="false" ht="15" hidden="false" customHeight="false" outlineLevel="0" collapsed="false">
      <c r="A1152" s="50"/>
      <c r="B1152" s="51"/>
      <c r="C1152" s="52" t="str">
        <f aca="false">IF(B1152="","",IFERROR(INDEX(הגדרות!$A$8:$A$53,MATCH(B1152,הגדרות!$B$8:$B$53,0)),"⚠ לא בהגדרות"))</f>
        <v/>
      </c>
      <c r="D1152" s="51"/>
      <c r="E1152" s="53"/>
      <c r="F1152" s="52" t="str">
        <f aca="false">IF(A1152="","",INDEX(הגדרות!$H$16:$H$27,MONTH(A1152)))</f>
        <v/>
      </c>
    </row>
    <row r="1153" customFormat="false" ht="15" hidden="false" customHeight="false" outlineLevel="0" collapsed="false">
      <c r="A1153" s="55"/>
      <c r="B1153" s="56"/>
      <c r="C1153" s="57" t="str">
        <f aca="false">IF(B1153="","",IFERROR(INDEX(הגדרות!$A$8:$A$53,MATCH(B1153,הגדרות!$B$8:$B$53,0)),"⚠ לא בהגדרות"))</f>
        <v/>
      </c>
      <c r="D1153" s="56"/>
      <c r="E1153" s="58"/>
      <c r="F1153" s="57" t="str">
        <f aca="false">IF(A1153="","",INDEX(הגדרות!$H$16:$H$27,MONTH(A1153)))</f>
        <v/>
      </c>
    </row>
    <row r="1154" customFormat="false" ht="15" hidden="false" customHeight="false" outlineLevel="0" collapsed="false">
      <c r="A1154" s="50"/>
      <c r="B1154" s="51"/>
      <c r="C1154" s="52" t="str">
        <f aca="false">IF(B1154="","",IFERROR(INDEX(הגדרות!$A$8:$A$53,MATCH(B1154,הגדרות!$B$8:$B$53,0)),"⚠ לא בהגדרות"))</f>
        <v/>
      </c>
      <c r="D1154" s="51"/>
      <c r="E1154" s="53"/>
      <c r="F1154" s="52" t="str">
        <f aca="false">IF(A1154="","",INDEX(הגדרות!$H$16:$H$27,MONTH(A1154)))</f>
        <v/>
      </c>
    </row>
    <row r="1155" customFormat="false" ht="15" hidden="false" customHeight="false" outlineLevel="0" collapsed="false">
      <c r="A1155" s="55"/>
      <c r="B1155" s="56"/>
      <c r="C1155" s="57" t="str">
        <f aca="false">IF(B1155="","",IFERROR(INDEX(הגדרות!$A$8:$A$53,MATCH(B1155,הגדרות!$B$8:$B$53,0)),"⚠ לא בהגדרות"))</f>
        <v/>
      </c>
      <c r="D1155" s="56"/>
      <c r="E1155" s="58"/>
      <c r="F1155" s="57" t="str">
        <f aca="false">IF(A1155="","",INDEX(הגדרות!$H$16:$H$27,MONTH(A1155)))</f>
        <v/>
      </c>
    </row>
    <row r="1156" customFormat="false" ht="15" hidden="false" customHeight="false" outlineLevel="0" collapsed="false">
      <c r="A1156" s="50"/>
      <c r="B1156" s="51"/>
      <c r="C1156" s="52" t="str">
        <f aca="false">IF(B1156="","",IFERROR(INDEX(הגדרות!$A$8:$A$53,MATCH(B1156,הגדרות!$B$8:$B$53,0)),"⚠ לא בהגדרות"))</f>
        <v/>
      </c>
      <c r="D1156" s="51"/>
      <c r="E1156" s="53"/>
      <c r="F1156" s="52" t="str">
        <f aca="false">IF(A1156="","",INDEX(הגדרות!$H$16:$H$27,MONTH(A1156)))</f>
        <v/>
      </c>
    </row>
    <row r="1157" customFormat="false" ht="15" hidden="false" customHeight="false" outlineLevel="0" collapsed="false">
      <c r="A1157" s="55"/>
      <c r="B1157" s="56"/>
      <c r="C1157" s="57" t="str">
        <f aca="false">IF(B1157="","",IFERROR(INDEX(הגדרות!$A$8:$A$53,MATCH(B1157,הגדרות!$B$8:$B$53,0)),"⚠ לא בהגדרות"))</f>
        <v/>
      </c>
      <c r="D1157" s="56"/>
      <c r="E1157" s="58"/>
      <c r="F1157" s="57" t="str">
        <f aca="false">IF(A1157="","",INDEX(הגדרות!$H$16:$H$27,MONTH(A1157)))</f>
        <v/>
      </c>
    </row>
    <row r="1158" customFormat="false" ht="15" hidden="false" customHeight="false" outlineLevel="0" collapsed="false">
      <c r="A1158" s="50"/>
      <c r="B1158" s="51"/>
      <c r="C1158" s="52" t="str">
        <f aca="false">IF(B1158="","",IFERROR(INDEX(הגדרות!$A$8:$A$53,MATCH(B1158,הגדרות!$B$8:$B$53,0)),"⚠ לא בהגדרות"))</f>
        <v/>
      </c>
      <c r="D1158" s="51"/>
      <c r="E1158" s="53"/>
      <c r="F1158" s="52" t="str">
        <f aca="false">IF(A1158="","",INDEX(הגדרות!$H$16:$H$27,MONTH(A1158)))</f>
        <v/>
      </c>
    </row>
    <row r="1159" customFormat="false" ht="15" hidden="false" customHeight="false" outlineLevel="0" collapsed="false">
      <c r="A1159" s="55"/>
      <c r="B1159" s="56"/>
      <c r="C1159" s="57" t="str">
        <f aca="false">IF(B1159="","",IFERROR(INDEX(הגדרות!$A$8:$A$53,MATCH(B1159,הגדרות!$B$8:$B$53,0)),"⚠ לא בהגדרות"))</f>
        <v/>
      </c>
      <c r="D1159" s="56"/>
      <c r="E1159" s="58"/>
      <c r="F1159" s="57" t="str">
        <f aca="false">IF(A1159="","",INDEX(הגדרות!$H$16:$H$27,MONTH(A1159)))</f>
        <v/>
      </c>
    </row>
    <row r="1160" customFormat="false" ht="15" hidden="false" customHeight="false" outlineLevel="0" collapsed="false">
      <c r="A1160" s="50"/>
      <c r="B1160" s="51"/>
      <c r="C1160" s="52" t="str">
        <f aca="false">IF(B1160="","",IFERROR(INDEX(הגדרות!$A$8:$A$53,MATCH(B1160,הגדרות!$B$8:$B$53,0)),"⚠ לא בהגדרות"))</f>
        <v/>
      </c>
      <c r="D1160" s="51"/>
      <c r="E1160" s="53"/>
      <c r="F1160" s="52" t="str">
        <f aca="false">IF(A1160="","",INDEX(הגדרות!$H$16:$H$27,MONTH(A1160)))</f>
        <v/>
      </c>
    </row>
    <row r="1161" customFormat="false" ht="15" hidden="false" customHeight="false" outlineLevel="0" collapsed="false">
      <c r="A1161" s="55"/>
      <c r="B1161" s="56"/>
      <c r="C1161" s="57" t="str">
        <f aca="false">IF(B1161="","",IFERROR(INDEX(הגדרות!$A$8:$A$53,MATCH(B1161,הגדרות!$B$8:$B$53,0)),"⚠ לא בהגדרות"))</f>
        <v/>
      </c>
      <c r="D1161" s="56"/>
      <c r="E1161" s="58"/>
      <c r="F1161" s="57" t="str">
        <f aca="false">IF(A1161="","",INDEX(הגדרות!$H$16:$H$27,MONTH(A1161)))</f>
        <v/>
      </c>
    </row>
    <row r="1162" customFormat="false" ht="15" hidden="false" customHeight="false" outlineLevel="0" collapsed="false">
      <c r="A1162" s="50"/>
      <c r="B1162" s="51"/>
      <c r="C1162" s="52" t="str">
        <f aca="false">IF(B1162="","",IFERROR(INDEX(הגדרות!$A$8:$A$53,MATCH(B1162,הגדרות!$B$8:$B$53,0)),"⚠ לא בהגדרות"))</f>
        <v/>
      </c>
      <c r="D1162" s="51"/>
      <c r="E1162" s="53"/>
      <c r="F1162" s="52" t="str">
        <f aca="false">IF(A1162="","",INDEX(הגדרות!$H$16:$H$27,MONTH(A1162)))</f>
        <v/>
      </c>
    </row>
    <row r="1163" customFormat="false" ht="15" hidden="false" customHeight="false" outlineLevel="0" collapsed="false">
      <c r="A1163" s="55"/>
      <c r="B1163" s="56"/>
      <c r="C1163" s="57" t="str">
        <f aca="false">IF(B1163="","",IFERROR(INDEX(הגדרות!$A$8:$A$53,MATCH(B1163,הגדרות!$B$8:$B$53,0)),"⚠ לא בהגדרות"))</f>
        <v/>
      </c>
      <c r="D1163" s="56"/>
      <c r="E1163" s="58"/>
      <c r="F1163" s="57" t="str">
        <f aca="false">IF(A1163="","",INDEX(הגדרות!$H$16:$H$27,MONTH(A1163)))</f>
        <v/>
      </c>
    </row>
    <row r="1164" customFormat="false" ht="15" hidden="false" customHeight="false" outlineLevel="0" collapsed="false">
      <c r="A1164" s="50"/>
      <c r="B1164" s="51"/>
      <c r="C1164" s="52" t="str">
        <f aca="false">IF(B1164="","",IFERROR(INDEX(הגדרות!$A$8:$A$53,MATCH(B1164,הגדרות!$B$8:$B$53,0)),"⚠ לא בהגדרות"))</f>
        <v/>
      </c>
      <c r="D1164" s="51"/>
      <c r="E1164" s="53"/>
      <c r="F1164" s="52" t="str">
        <f aca="false">IF(A1164="","",INDEX(הגדרות!$H$16:$H$27,MONTH(A1164)))</f>
        <v/>
      </c>
    </row>
    <row r="1165" customFormat="false" ht="15" hidden="false" customHeight="false" outlineLevel="0" collapsed="false">
      <c r="A1165" s="55"/>
      <c r="B1165" s="56"/>
      <c r="C1165" s="57" t="str">
        <f aca="false">IF(B1165="","",IFERROR(INDEX(הגדרות!$A$8:$A$53,MATCH(B1165,הגדרות!$B$8:$B$53,0)),"⚠ לא בהגדרות"))</f>
        <v/>
      </c>
      <c r="D1165" s="56"/>
      <c r="E1165" s="58"/>
      <c r="F1165" s="57" t="str">
        <f aca="false">IF(A1165="","",INDEX(הגדרות!$H$16:$H$27,MONTH(A1165)))</f>
        <v/>
      </c>
    </row>
    <row r="1166" customFormat="false" ht="15" hidden="false" customHeight="false" outlineLevel="0" collapsed="false">
      <c r="A1166" s="50"/>
      <c r="B1166" s="51"/>
      <c r="C1166" s="52" t="str">
        <f aca="false">IF(B1166="","",IFERROR(INDEX(הגדרות!$A$8:$A$53,MATCH(B1166,הגדרות!$B$8:$B$53,0)),"⚠ לא בהגדרות"))</f>
        <v/>
      </c>
      <c r="D1166" s="51"/>
      <c r="E1166" s="53"/>
      <c r="F1166" s="52" t="str">
        <f aca="false">IF(A1166="","",INDEX(הגדרות!$H$16:$H$27,MONTH(A1166)))</f>
        <v/>
      </c>
    </row>
    <row r="1167" customFormat="false" ht="15" hidden="false" customHeight="false" outlineLevel="0" collapsed="false">
      <c r="A1167" s="55"/>
      <c r="B1167" s="56"/>
      <c r="C1167" s="57" t="str">
        <f aca="false">IF(B1167="","",IFERROR(INDEX(הגדרות!$A$8:$A$53,MATCH(B1167,הגדרות!$B$8:$B$53,0)),"⚠ לא בהגדרות"))</f>
        <v/>
      </c>
      <c r="D1167" s="56"/>
      <c r="E1167" s="58"/>
      <c r="F1167" s="57" t="str">
        <f aca="false">IF(A1167="","",INDEX(הגדרות!$H$16:$H$27,MONTH(A1167)))</f>
        <v/>
      </c>
    </row>
    <row r="1168" customFormat="false" ht="15" hidden="false" customHeight="false" outlineLevel="0" collapsed="false">
      <c r="A1168" s="50"/>
      <c r="B1168" s="51"/>
      <c r="C1168" s="52" t="str">
        <f aca="false">IF(B1168="","",IFERROR(INDEX(הגדרות!$A$8:$A$53,MATCH(B1168,הגדרות!$B$8:$B$53,0)),"⚠ לא בהגדרות"))</f>
        <v/>
      </c>
      <c r="D1168" s="51"/>
      <c r="E1168" s="53"/>
      <c r="F1168" s="52" t="str">
        <f aca="false">IF(A1168="","",INDEX(הגדרות!$H$16:$H$27,MONTH(A1168)))</f>
        <v/>
      </c>
    </row>
    <row r="1169" customFormat="false" ht="15" hidden="false" customHeight="false" outlineLevel="0" collapsed="false">
      <c r="A1169" s="55"/>
      <c r="B1169" s="56"/>
      <c r="C1169" s="57" t="str">
        <f aca="false">IF(B1169="","",IFERROR(INDEX(הגדרות!$A$8:$A$53,MATCH(B1169,הגדרות!$B$8:$B$53,0)),"⚠ לא בהגדרות"))</f>
        <v/>
      </c>
      <c r="D1169" s="56"/>
      <c r="E1169" s="58"/>
      <c r="F1169" s="57" t="str">
        <f aca="false">IF(A1169="","",INDEX(הגדרות!$H$16:$H$27,MONTH(A1169)))</f>
        <v/>
      </c>
    </row>
    <row r="1170" customFormat="false" ht="15" hidden="false" customHeight="false" outlineLevel="0" collapsed="false">
      <c r="A1170" s="50"/>
      <c r="B1170" s="51"/>
      <c r="C1170" s="52" t="str">
        <f aca="false">IF(B1170="","",IFERROR(INDEX(הגדרות!$A$8:$A$53,MATCH(B1170,הגדרות!$B$8:$B$53,0)),"⚠ לא בהגדרות"))</f>
        <v/>
      </c>
      <c r="D1170" s="51"/>
      <c r="E1170" s="53"/>
      <c r="F1170" s="52" t="str">
        <f aca="false">IF(A1170="","",INDEX(הגדרות!$H$16:$H$27,MONTH(A1170)))</f>
        <v/>
      </c>
    </row>
    <row r="1171" customFormat="false" ht="15" hidden="false" customHeight="false" outlineLevel="0" collapsed="false">
      <c r="A1171" s="55"/>
      <c r="B1171" s="56"/>
      <c r="C1171" s="57" t="str">
        <f aca="false">IF(B1171="","",IFERROR(INDEX(הגדרות!$A$8:$A$53,MATCH(B1171,הגדרות!$B$8:$B$53,0)),"⚠ לא בהגדרות"))</f>
        <v/>
      </c>
      <c r="D1171" s="56"/>
      <c r="E1171" s="58"/>
      <c r="F1171" s="57" t="str">
        <f aca="false">IF(A1171="","",INDEX(הגדרות!$H$16:$H$27,MONTH(A1171)))</f>
        <v/>
      </c>
    </row>
    <row r="1172" customFormat="false" ht="15" hidden="false" customHeight="false" outlineLevel="0" collapsed="false">
      <c r="A1172" s="50"/>
      <c r="B1172" s="51"/>
      <c r="C1172" s="52" t="str">
        <f aca="false">IF(B1172="","",IFERROR(INDEX(הגדרות!$A$8:$A$53,MATCH(B1172,הגדרות!$B$8:$B$53,0)),"⚠ לא בהגדרות"))</f>
        <v/>
      </c>
      <c r="D1172" s="51"/>
      <c r="E1172" s="53"/>
      <c r="F1172" s="52" t="str">
        <f aca="false">IF(A1172="","",INDEX(הגדרות!$H$16:$H$27,MONTH(A1172)))</f>
        <v/>
      </c>
    </row>
    <row r="1173" customFormat="false" ht="15" hidden="false" customHeight="false" outlineLevel="0" collapsed="false">
      <c r="A1173" s="55"/>
      <c r="B1173" s="56"/>
      <c r="C1173" s="57" t="str">
        <f aca="false">IF(B1173="","",IFERROR(INDEX(הגדרות!$A$8:$A$53,MATCH(B1173,הגדרות!$B$8:$B$53,0)),"⚠ לא בהגדרות"))</f>
        <v/>
      </c>
      <c r="D1173" s="56"/>
      <c r="E1173" s="58"/>
      <c r="F1173" s="57" t="str">
        <f aca="false">IF(A1173="","",INDEX(הגדרות!$H$16:$H$27,MONTH(A1173)))</f>
        <v/>
      </c>
    </row>
    <row r="1174" customFormat="false" ht="15" hidden="false" customHeight="false" outlineLevel="0" collapsed="false">
      <c r="A1174" s="50"/>
      <c r="B1174" s="51"/>
      <c r="C1174" s="52" t="str">
        <f aca="false">IF(B1174="","",IFERROR(INDEX(הגדרות!$A$8:$A$53,MATCH(B1174,הגדרות!$B$8:$B$53,0)),"⚠ לא בהגדרות"))</f>
        <v/>
      </c>
      <c r="D1174" s="51"/>
      <c r="E1174" s="53"/>
      <c r="F1174" s="52" t="str">
        <f aca="false">IF(A1174="","",INDEX(הגדרות!$H$16:$H$27,MONTH(A1174)))</f>
        <v/>
      </c>
    </row>
    <row r="1175" customFormat="false" ht="15" hidden="false" customHeight="false" outlineLevel="0" collapsed="false">
      <c r="A1175" s="55"/>
      <c r="B1175" s="56"/>
      <c r="C1175" s="57" t="str">
        <f aca="false">IF(B1175="","",IFERROR(INDEX(הגדרות!$A$8:$A$53,MATCH(B1175,הגדרות!$B$8:$B$53,0)),"⚠ לא בהגדרות"))</f>
        <v/>
      </c>
      <c r="D1175" s="56"/>
      <c r="E1175" s="58"/>
      <c r="F1175" s="57" t="str">
        <f aca="false">IF(A1175="","",INDEX(הגדרות!$H$16:$H$27,MONTH(A1175)))</f>
        <v/>
      </c>
    </row>
    <row r="1176" customFormat="false" ht="15" hidden="false" customHeight="false" outlineLevel="0" collapsed="false">
      <c r="A1176" s="50"/>
      <c r="B1176" s="51"/>
      <c r="C1176" s="52" t="str">
        <f aca="false">IF(B1176="","",IFERROR(INDEX(הגדרות!$A$8:$A$53,MATCH(B1176,הגדרות!$B$8:$B$53,0)),"⚠ לא בהגדרות"))</f>
        <v/>
      </c>
      <c r="D1176" s="51"/>
      <c r="E1176" s="53"/>
      <c r="F1176" s="52" t="str">
        <f aca="false">IF(A1176="","",INDEX(הגדרות!$H$16:$H$27,MONTH(A1176)))</f>
        <v/>
      </c>
    </row>
    <row r="1177" customFormat="false" ht="15" hidden="false" customHeight="false" outlineLevel="0" collapsed="false">
      <c r="A1177" s="55"/>
      <c r="B1177" s="56"/>
      <c r="C1177" s="57" t="str">
        <f aca="false">IF(B1177="","",IFERROR(INDEX(הגדרות!$A$8:$A$53,MATCH(B1177,הגדרות!$B$8:$B$53,0)),"⚠ לא בהגדרות"))</f>
        <v/>
      </c>
      <c r="D1177" s="56"/>
      <c r="E1177" s="58"/>
      <c r="F1177" s="57" t="str">
        <f aca="false">IF(A1177="","",INDEX(הגדרות!$H$16:$H$27,MONTH(A1177)))</f>
        <v/>
      </c>
    </row>
    <row r="1178" customFormat="false" ht="15" hidden="false" customHeight="false" outlineLevel="0" collapsed="false">
      <c r="A1178" s="50"/>
      <c r="B1178" s="51"/>
      <c r="C1178" s="52" t="str">
        <f aca="false">IF(B1178="","",IFERROR(INDEX(הגדרות!$A$8:$A$53,MATCH(B1178,הגדרות!$B$8:$B$53,0)),"⚠ לא בהגדרות"))</f>
        <v/>
      </c>
      <c r="D1178" s="51"/>
      <c r="E1178" s="53"/>
      <c r="F1178" s="52" t="str">
        <f aca="false">IF(A1178="","",INDEX(הגדרות!$H$16:$H$27,MONTH(A1178)))</f>
        <v/>
      </c>
    </row>
    <row r="1179" customFormat="false" ht="15" hidden="false" customHeight="false" outlineLevel="0" collapsed="false">
      <c r="A1179" s="55"/>
      <c r="B1179" s="56"/>
      <c r="C1179" s="57" t="str">
        <f aca="false">IF(B1179="","",IFERROR(INDEX(הגדרות!$A$8:$A$53,MATCH(B1179,הגדרות!$B$8:$B$53,0)),"⚠ לא בהגדרות"))</f>
        <v/>
      </c>
      <c r="D1179" s="56"/>
      <c r="E1179" s="58"/>
      <c r="F1179" s="57" t="str">
        <f aca="false">IF(A1179="","",INDEX(הגדרות!$H$16:$H$27,MONTH(A1179)))</f>
        <v/>
      </c>
    </row>
    <row r="1180" customFormat="false" ht="15" hidden="false" customHeight="false" outlineLevel="0" collapsed="false">
      <c r="A1180" s="50"/>
      <c r="B1180" s="51"/>
      <c r="C1180" s="52" t="str">
        <f aca="false">IF(B1180="","",IFERROR(INDEX(הגדרות!$A$8:$A$53,MATCH(B1180,הגדרות!$B$8:$B$53,0)),"⚠ לא בהגדרות"))</f>
        <v/>
      </c>
      <c r="D1180" s="51"/>
      <c r="E1180" s="53"/>
      <c r="F1180" s="52" t="str">
        <f aca="false">IF(A1180="","",INDEX(הגדרות!$H$16:$H$27,MONTH(A1180)))</f>
        <v/>
      </c>
    </row>
    <row r="1181" customFormat="false" ht="15" hidden="false" customHeight="false" outlineLevel="0" collapsed="false">
      <c r="A1181" s="55"/>
      <c r="B1181" s="56"/>
      <c r="C1181" s="57" t="str">
        <f aca="false">IF(B1181="","",IFERROR(INDEX(הגדרות!$A$8:$A$53,MATCH(B1181,הגדרות!$B$8:$B$53,0)),"⚠ לא בהגדרות"))</f>
        <v/>
      </c>
      <c r="D1181" s="56"/>
      <c r="E1181" s="58"/>
      <c r="F1181" s="57" t="str">
        <f aca="false">IF(A1181="","",INDEX(הגדרות!$H$16:$H$27,MONTH(A1181)))</f>
        <v/>
      </c>
    </row>
    <row r="1182" customFormat="false" ht="15" hidden="false" customHeight="false" outlineLevel="0" collapsed="false">
      <c r="A1182" s="50"/>
      <c r="B1182" s="51"/>
      <c r="C1182" s="52" t="str">
        <f aca="false">IF(B1182="","",IFERROR(INDEX(הגדרות!$A$8:$A$53,MATCH(B1182,הגדרות!$B$8:$B$53,0)),"⚠ לא בהגדרות"))</f>
        <v/>
      </c>
      <c r="D1182" s="51"/>
      <c r="E1182" s="53"/>
      <c r="F1182" s="52" t="str">
        <f aca="false">IF(A1182="","",INDEX(הגדרות!$H$16:$H$27,MONTH(A1182)))</f>
        <v/>
      </c>
    </row>
    <row r="1183" customFormat="false" ht="15" hidden="false" customHeight="false" outlineLevel="0" collapsed="false">
      <c r="A1183" s="55"/>
      <c r="B1183" s="56"/>
      <c r="C1183" s="57" t="str">
        <f aca="false">IF(B1183="","",IFERROR(INDEX(הגדרות!$A$8:$A$53,MATCH(B1183,הגדרות!$B$8:$B$53,0)),"⚠ לא בהגדרות"))</f>
        <v/>
      </c>
      <c r="D1183" s="56"/>
      <c r="E1183" s="58"/>
      <c r="F1183" s="57" t="str">
        <f aca="false">IF(A1183="","",INDEX(הגדרות!$H$16:$H$27,MONTH(A1183)))</f>
        <v/>
      </c>
    </row>
    <row r="1184" customFormat="false" ht="15" hidden="false" customHeight="false" outlineLevel="0" collapsed="false">
      <c r="A1184" s="50"/>
      <c r="B1184" s="51"/>
      <c r="C1184" s="52" t="str">
        <f aca="false">IF(B1184="","",IFERROR(INDEX(הגדרות!$A$8:$A$53,MATCH(B1184,הגדרות!$B$8:$B$53,0)),"⚠ לא בהגדרות"))</f>
        <v/>
      </c>
      <c r="D1184" s="51"/>
      <c r="E1184" s="53"/>
      <c r="F1184" s="52" t="str">
        <f aca="false">IF(A1184="","",INDEX(הגדרות!$H$16:$H$27,MONTH(A1184)))</f>
        <v/>
      </c>
    </row>
    <row r="1185" customFormat="false" ht="15" hidden="false" customHeight="false" outlineLevel="0" collapsed="false">
      <c r="A1185" s="55"/>
      <c r="B1185" s="56"/>
      <c r="C1185" s="57" t="str">
        <f aca="false">IF(B1185="","",IFERROR(INDEX(הגדרות!$A$8:$A$53,MATCH(B1185,הגדרות!$B$8:$B$53,0)),"⚠ לא בהגדרות"))</f>
        <v/>
      </c>
      <c r="D1185" s="56"/>
      <c r="E1185" s="58"/>
      <c r="F1185" s="57" t="str">
        <f aca="false">IF(A1185="","",INDEX(הגדרות!$H$16:$H$27,MONTH(A1185)))</f>
        <v/>
      </c>
    </row>
    <row r="1186" customFormat="false" ht="15" hidden="false" customHeight="false" outlineLevel="0" collapsed="false">
      <c r="A1186" s="50"/>
      <c r="B1186" s="51"/>
      <c r="C1186" s="52" t="str">
        <f aca="false">IF(B1186="","",IFERROR(INDEX(הגדרות!$A$8:$A$53,MATCH(B1186,הגדרות!$B$8:$B$53,0)),"⚠ לא בהגדרות"))</f>
        <v/>
      </c>
      <c r="D1186" s="51"/>
      <c r="E1186" s="53"/>
      <c r="F1186" s="52" t="str">
        <f aca="false">IF(A1186="","",INDEX(הגדרות!$H$16:$H$27,MONTH(A1186)))</f>
        <v/>
      </c>
    </row>
    <row r="1187" customFormat="false" ht="15" hidden="false" customHeight="false" outlineLevel="0" collapsed="false">
      <c r="A1187" s="55"/>
      <c r="B1187" s="56"/>
      <c r="C1187" s="57" t="str">
        <f aca="false">IF(B1187="","",IFERROR(INDEX(הגדרות!$A$8:$A$53,MATCH(B1187,הגדרות!$B$8:$B$53,0)),"⚠ לא בהגדרות"))</f>
        <v/>
      </c>
      <c r="D1187" s="56"/>
      <c r="E1187" s="58"/>
      <c r="F1187" s="57" t="str">
        <f aca="false">IF(A1187="","",INDEX(הגדרות!$H$16:$H$27,MONTH(A1187)))</f>
        <v/>
      </c>
    </row>
    <row r="1188" customFormat="false" ht="15" hidden="false" customHeight="false" outlineLevel="0" collapsed="false">
      <c r="A1188" s="50"/>
      <c r="B1188" s="51"/>
      <c r="C1188" s="52" t="str">
        <f aca="false">IF(B1188="","",IFERROR(INDEX(הגדרות!$A$8:$A$53,MATCH(B1188,הגדרות!$B$8:$B$53,0)),"⚠ לא בהגדרות"))</f>
        <v/>
      </c>
      <c r="D1188" s="51"/>
      <c r="E1188" s="53"/>
      <c r="F1188" s="52" t="str">
        <f aca="false">IF(A1188="","",INDEX(הגדרות!$H$16:$H$27,MONTH(A1188)))</f>
        <v/>
      </c>
    </row>
    <row r="1189" customFormat="false" ht="15" hidden="false" customHeight="false" outlineLevel="0" collapsed="false">
      <c r="A1189" s="55"/>
      <c r="B1189" s="56"/>
      <c r="C1189" s="57" t="str">
        <f aca="false">IF(B1189="","",IFERROR(INDEX(הגדרות!$A$8:$A$53,MATCH(B1189,הגדרות!$B$8:$B$53,0)),"⚠ לא בהגדרות"))</f>
        <v/>
      </c>
      <c r="D1189" s="56"/>
      <c r="E1189" s="58"/>
      <c r="F1189" s="57" t="str">
        <f aca="false">IF(A1189="","",INDEX(הגדרות!$H$16:$H$27,MONTH(A1189)))</f>
        <v/>
      </c>
    </row>
    <row r="1190" customFormat="false" ht="15" hidden="false" customHeight="false" outlineLevel="0" collapsed="false">
      <c r="A1190" s="50"/>
      <c r="B1190" s="51"/>
      <c r="C1190" s="52" t="str">
        <f aca="false">IF(B1190="","",IFERROR(INDEX(הגדרות!$A$8:$A$53,MATCH(B1190,הגדרות!$B$8:$B$53,0)),"⚠ לא בהגדרות"))</f>
        <v/>
      </c>
      <c r="D1190" s="51"/>
      <c r="E1190" s="53"/>
      <c r="F1190" s="52" t="str">
        <f aca="false">IF(A1190="","",INDEX(הגדרות!$H$16:$H$27,MONTH(A1190)))</f>
        <v/>
      </c>
    </row>
    <row r="1191" customFormat="false" ht="15" hidden="false" customHeight="false" outlineLevel="0" collapsed="false">
      <c r="A1191" s="55"/>
      <c r="B1191" s="56"/>
      <c r="C1191" s="57" t="str">
        <f aca="false">IF(B1191="","",IFERROR(INDEX(הגדרות!$A$8:$A$53,MATCH(B1191,הגדרות!$B$8:$B$53,0)),"⚠ לא בהגדרות"))</f>
        <v/>
      </c>
      <c r="D1191" s="56"/>
      <c r="E1191" s="58"/>
      <c r="F1191" s="57" t="str">
        <f aca="false">IF(A1191="","",INDEX(הגדרות!$H$16:$H$27,MONTH(A1191)))</f>
        <v/>
      </c>
    </row>
    <row r="1192" customFormat="false" ht="15" hidden="false" customHeight="false" outlineLevel="0" collapsed="false">
      <c r="A1192" s="50"/>
      <c r="B1192" s="51"/>
      <c r="C1192" s="52" t="str">
        <f aca="false">IF(B1192="","",IFERROR(INDEX(הגדרות!$A$8:$A$53,MATCH(B1192,הגדרות!$B$8:$B$53,0)),"⚠ לא בהגדרות"))</f>
        <v/>
      </c>
      <c r="D1192" s="51"/>
      <c r="E1192" s="53"/>
      <c r="F1192" s="52" t="str">
        <f aca="false">IF(A1192="","",INDEX(הגדרות!$H$16:$H$27,MONTH(A1192)))</f>
        <v/>
      </c>
    </row>
    <row r="1193" customFormat="false" ht="15" hidden="false" customHeight="false" outlineLevel="0" collapsed="false">
      <c r="A1193" s="55"/>
      <c r="B1193" s="56"/>
      <c r="C1193" s="57" t="str">
        <f aca="false">IF(B1193="","",IFERROR(INDEX(הגדרות!$A$8:$A$53,MATCH(B1193,הגדרות!$B$8:$B$53,0)),"⚠ לא בהגדרות"))</f>
        <v/>
      </c>
      <c r="D1193" s="56"/>
      <c r="E1193" s="58"/>
      <c r="F1193" s="57" t="str">
        <f aca="false">IF(A1193="","",INDEX(הגדרות!$H$16:$H$27,MONTH(A1193)))</f>
        <v/>
      </c>
    </row>
    <row r="1194" customFormat="false" ht="15" hidden="false" customHeight="false" outlineLevel="0" collapsed="false">
      <c r="A1194" s="50"/>
      <c r="B1194" s="51"/>
      <c r="C1194" s="52" t="str">
        <f aca="false">IF(B1194="","",IFERROR(INDEX(הגדרות!$A$8:$A$53,MATCH(B1194,הגדרות!$B$8:$B$53,0)),"⚠ לא בהגדרות"))</f>
        <v/>
      </c>
      <c r="D1194" s="51"/>
      <c r="E1194" s="53"/>
      <c r="F1194" s="52" t="str">
        <f aca="false">IF(A1194="","",INDEX(הגדרות!$H$16:$H$27,MONTH(A1194)))</f>
        <v/>
      </c>
    </row>
    <row r="1195" customFormat="false" ht="15" hidden="false" customHeight="false" outlineLevel="0" collapsed="false">
      <c r="A1195" s="55"/>
      <c r="B1195" s="56"/>
      <c r="C1195" s="57" t="str">
        <f aca="false">IF(B1195="","",IFERROR(INDEX(הגדרות!$A$8:$A$53,MATCH(B1195,הגדרות!$B$8:$B$53,0)),"⚠ לא בהגדרות"))</f>
        <v/>
      </c>
      <c r="D1195" s="56"/>
      <c r="E1195" s="58"/>
      <c r="F1195" s="57" t="str">
        <f aca="false">IF(A1195="","",INDEX(הגדרות!$H$16:$H$27,MONTH(A1195)))</f>
        <v/>
      </c>
    </row>
    <row r="1196" customFormat="false" ht="15" hidden="false" customHeight="false" outlineLevel="0" collapsed="false">
      <c r="A1196" s="50"/>
      <c r="B1196" s="51"/>
      <c r="C1196" s="52" t="str">
        <f aca="false">IF(B1196="","",IFERROR(INDEX(הגדרות!$A$8:$A$53,MATCH(B1196,הגדרות!$B$8:$B$53,0)),"⚠ לא בהגדרות"))</f>
        <v/>
      </c>
      <c r="D1196" s="51"/>
      <c r="E1196" s="53"/>
      <c r="F1196" s="52" t="str">
        <f aca="false">IF(A1196="","",INDEX(הגדרות!$H$16:$H$27,MONTH(A1196)))</f>
        <v/>
      </c>
    </row>
    <row r="1197" customFormat="false" ht="15" hidden="false" customHeight="false" outlineLevel="0" collapsed="false">
      <c r="A1197" s="55"/>
      <c r="B1197" s="56"/>
      <c r="C1197" s="57" t="str">
        <f aca="false">IF(B1197="","",IFERROR(INDEX(הגדרות!$A$8:$A$53,MATCH(B1197,הגדרות!$B$8:$B$53,0)),"⚠ לא בהגדרות"))</f>
        <v/>
      </c>
      <c r="D1197" s="56"/>
      <c r="E1197" s="58"/>
      <c r="F1197" s="57" t="str">
        <f aca="false">IF(A1197="","",INDEX(הגדרות!$H$16:$H$27,MONTH(A1197)))</f>
        <v/>
      </c>
    </row>
    <row r="1198" customFormat="false" ht="15" hidden="false" customHeight="false" outlineLevel="0" collapsed="false">
      <c r="A1198" s="50"/>
      <c r="B1198" s="51"/>
      <c r="C1198" s="52" t="str">
        <f aca="false">IF(B1198="","",IFERROR(INDEX(הגדרות!$A$8:$A$53,MATCH(B1198,הגדרות!$B$8:$B$53,0)),"⚠ לא בהגדרות"))</f>
        <v/>
      </c>
      <c r="D1198" s="51"/>
      <c r="E1198" s="53"/>
      <c r="F1198" s="52" t="str">
        <f aca="false">IF(A1198="","",INDEX(הגדרות!$H$16:$H$27,MONTH(A1198)))</f>
        <v/>
      </c>
    </row>
    <row r="1199" customFormat="false" ht="15" hidden="false" customHeight="false" outlineLevel="0" collapsed="false">
      <c r="A1199" s="55"/>
      <c r="B1199" s="56"/>
      <c r="C1199" s="57" t="str">
        <f aca="false">IF(B1199="","",IFERROR(INDEX(הגדרות!$A$8:$A$53,MATCH(B1199,הגדרות!$B$8:$B$53,0)),"⚠ לא בהגדרות"))</f>
        <v/>
      </c>
      <c r="D1199" s="56"/>
      <c r="E1199" s="58"/>
      <c r="F1199" s="57" t="str">
        <f aca="false">IF(A1199="","",INDEX(הגדרות!$H$16:$H$27,MONTH(A1199)))</f>
        <v/>
      </c>
    </row>
    <row r="1200" customFormat="false" ht="15" hidden="false" customHeight="false" outlineLevel="0" collapsed="false">
      <c r="A1200" s="50"/>
      <c r="B1200" s="51"/>
      <c r="C1200" s="52" t="str">
        <f aca="false">IF(B1200="","",IFERROR(INDEX(הגדרות!$A$8:$A$53,MATCH(B1200,הגדרות!$B$8:$B$53,0)),"⚠ לא בהגדרות"))</f>
        <v/>
      </c>
      <c r="D1200" s="51"/>
      <c r="E1200" s="53"/>
      <c r="F1200" s="52" t="str">
        <f aca="false">IF(A1200="","",INDEX(הגדרות!$H$16:$H$27,MONTH(A1200)))</f>
        <v/>
      </c>
    </row>
    <row r="1201" customFormat="false" ht="15" hidden="false" customHeight="false" outlineLevel="0" collapsed="false">
      <c r="A1201" s="55"/>
      <c r="B1201" s="56"/>
      <c r="C1201" s="57" t="str">
        <f aca="false">IF(B1201="","",IFERROR(INDEX(הגדרות!$A$8:$A$53,MATCH(B1201,הגדרות!$B$8:$B$53,0)),"⚠ לא בהגדרות"))</f>
        <v/>
      </c>
      <c r="D1201" s="56"/>
      <c r="E1201" s="58"/>
      <c r="F1201" s="57" t="str">
        <f aca="false">IF(A1201="","",INDEX(הגדרות!$H$16:$H$27,MONTH(A1201)))</f>
        <v/>
      </c>
    </row>
    <row r="1202" customFormat="false" ht="15" hidden="false" customHeight="false" outlineLevel="0" collapsed="false">
      <c r="A1202" s="50"/>
      <c r="B1202" s="51"/>
      <c r="C1202" s="52" t="str">
        <f aca="false">IF(B1202="","",IFERROR(INDEX(הגדרות!$A$8:$A$53,MATCH(B1202,הגדרות!$B$8:$B$53,0)),"⚠ לא בהגדרות"))</f>
        <v/>
      </c>
      <c r="D1202" s="51"/>
      <c r="E1202" s="53"/>
      <c r="F1202" s="52" t="str">
        <f aca="false">IF(A1202="","",INDEX(הגדרות!$H$16:$H$27,MONTH(A1202)))</f>
        <v/>
      </c>
    </row>
    <row r="1203" customFormat="false" ht="15" hidden="false" customHeight="false" outlineLevel="0" collapsed="false">
      <c r="A1203" s="55"/>
      <c r="B1203" s="56"/>
      <c r="C1203" s="57" t="str">
        <f aca="false">IF(B1203="","",IFERROR(INDEX(הגדרות!$A$8:$A$53,MATCH(B1203,הגדרות!$B$8:$B$53,0)),"⚠ לא בהגדרות"))</f>
        <v/>
      </c>
      <c r="D1203" s="56"/>
      <c r="E1203" s="58"/>
      <c r="F1203" s="57" t="str">
        <f aca="false">IF(A1203="","",INDEX(הגדרות!$H$16:$H$27,MONTH(A1203)))</f>
        <v/>
      </c>
    </row>
    <row r="1204" customFormat="false" ht="15" hidden="false" customHeight="false" outlineLevel="0" collapsed="false">
      <c r="A1204" s="50"/>
      <c r="B1204" s="51"/>
      <c r="C1204" s="52" t="str">
        <f aca="false">IF(B1204="","",IFERROR(INDEX(הגדרות!$A$8:$A$53,MATCH(B1204,הגדרות!$B$8:$B$53,0)),"⚠ לא בהגדרות"))</f>
        <v/>
      </c>
      <c r="D1204" s="51"/>
      <c r="E1204" s="53"/>
      <c r="F1204" s="52" t="str">
        <f aca="false">IF(A1204="","",INDEX(הגדרות!$H$16:$H$27,MONTH(A1204)))</f>
        <v/>
      </c>
    </row>
    <row r="1205" customFormat="false" ht="15" hidden="false" customHeight="false" outlineLevel="0" collapsed="false">
      <c r="A1205" s="55"/>
      <c r="B1205" s="56"/>
      <c r="C1205" s="57" t="str">
        <f aca="false">IF(B1205="","",IFERROR(INDEX(הגדרות!$A$8:$A$53,MATCH(B1205,הגדרות!$B$8:$B$53,0)),"⚠ לא בהגדרות"))</f>
        <v/>
      </c>
      <c r="D1205" s="56"/>
      <c r="E1205" s="58"/>
      <c r="F1205" s="57" t="str">
        <f aca="false">IF(A1205="","",INDEX(הגדרות!$H$16:$H$27,MONTH(A1205)))</f>
        <v/>
      </c>
    </row>
    <row r="1206" customFormat="false" ht="15" hidden="false" customHeight="false" outlineLevel="0" collapsed="false">
      <c r="A1206" s="50"/>
      <c r="B1206" s="51"/>
      <c r="C1206" s="52" t="str">
        <f aca="false">IF(B1206="","",IFERROR(INDEX(הגדרות!$A$8:$A$53,MATCH(B1206,הגדרות!$B$8:$B$53,0)),"⚠ לא בהגדרות"))</f>
        <v/>
      </c>
      <c r="D1206" s="51"/>
      <c r="E1206" s="53"/>
      <c r="F1206" s="52" t="str">
        <f aca="false">IF(A1206="","",INDEX(הגדרות!$H$16:$H$27,MONTH(A1206)))</f>
        <v/>
      </c>
    </row>
    <row r="1207" customFormat="false" ht="15" hidden="false" customHeight="false" outlineLevel="0" collapsed="false">
      <c r="A1207" s="55"/>
      <c r="B1207" s="56"/>
      <c r="C1207" s="57" t="str">
        <f aca="false">IF(B1207="","",IFERROR(INDEX(הגדרות!$A$8:$A$53,MATCH(B1207,הגדרות!$B$8:$B$53,0)),"⚠ לא בהגדרות"))</f>
        <v/>
      </c>
      <c r="D1207" s="56"/>
      <c r="E1207" s="58"/>
      <c r="F1207" s="57" t="str">
        <f aca="false">IF(A1207="","",INDEX(הגדרות!$H$16:$H$27,MONTH(A1207)))</f>
        <v/>
      </c>
    </row>
    <row r="1208" customFormat="false" ht="15" hidden="false" customHeight="false" outlineLevel="0" collapsed="false">
      <c r="A1208" s="50"/>
      <c r="B1208" s="51"/>
      <c r="C1208" s="52" t="str">
        <f aca="false">IF(B1208="","",IFERROR(INDEX(הגדרות!$A$8:$A$53,MATCH(B1208,הגדרות!$B$8:$B$53,0)),"⚠ לא בהגדרות"))</f>
        <v/>
      </c>
      <c r="D1208" s="51"/>
      <c r="E1208" s="53"/>
      <c r="F1208" s="52" t="str">
        <f aca="false">IF(A1208="","",INDEX(הגדרות!$H$16:$H$27,MONTH(A1208)))</f>
        <v/>
      </c>
    </row>
    <row r="1209" customFormat="false" ht="15" hidden="false" customHeight="false" outlineLevel="0" collapsed="false">
      <c r="A1209" s="55"/>
      <c r="B1209" s="56"/>
      <c r="C1209" s="57" t="str">
        <f aca="false">IF(B1209="","",IFERROR(INDEX(הגדרות!$A$8:$A$53,MATCH(B1209,הגדרות!$B$8:$B$53,0)),"⚠ לא בהגדרות"))</f>
        <v/>
      </c>
      <c r="D1209" s="56"/>
      <c r="E1209" s="58"/>
      <c r="F1209" s="57" t="str">
        <f aca="false">IF(A1209="","",INDEX(הגדרות!$H$16:$H$27,MONTH(A1209)))</f>
        <v/>
      </c>
    </row>
    <row r="1210" customFormat="false" ht="15" hidden="false" customHeight="false" outlineLevel="0" collapsed="false">
      <c r="A1210" s="50"/>
      <c r="B1210" s="51"/>
      <c r="C1210" s="52" t="str">
        <f aca="false">IF(B1210="","",IFERROR(INDEX(הגדרות!$A$8:$A$53,MATCH(B1210,הגדרות!$B$8:$B$53,0)),"⚠ לא בהגדרות"))</f>
        <v/>
      </c>
      <c r="D1210" s="51"/>
      <c r="E1210" s="53"/>
      <c r="F1210" s="52" t="str">
        <f aca="false">IF(A1210="","",INDEX(הגדרות!$H$16:$H$27,MONTH(A1210)))</f>
        <v/>
      </c>
    </row>
    <row r="1211" customFormat="false" ht="15" hidden="false" customHeight="false" outlineLevel="0" collapsed="false">
      <c r="A1211" s="55"/>
      <c r="B1211" s="56"/>
      <c r="C1211" s="57" t="str">
        <f aca="false">IF(B1211="","",IFERROR(INDEX(הגדרות!$A$8:$A$53,MATCH(B1211,הגדרות!$B$8:$B$53,0)),"⚠ לא בהגדרות"))</f>
        <v/>
      </c>
      <c r="D1211" s="56"/>
      <c r="E1211" s="58"/>
      <c r="F1211" s="57" t="str">
        <f aca="false">IF(A1211="","",INDEX(הגדרות!$H$16:$H$27,MONTH(A1211)))</f>
        <v/>
      </c>
    </row>
    <row r="1212" customFormat="false" ht="15" hidden="false" customHeight="false" outlineLevel="0" collapsed="false">
      <c r="A1212" s="50"/>
      <c r="B1212" s="51"/>
      <c r="C1212" s="52" t="str">
        <f aca="false">IF(B1212="","",IFERROR(INDEX(הגדרות!$A$8:$A$53,MATCH(B1212,הגדרות!$B$8:$B$53,0)),"⚠ לא בהגדרות"))</f>
        <v/>
      </c>
      <c r="D1212" s="51"/>
      <c r="E1212" s="53"/>
      <c r="F1212" s="52" t="str">
        <f aca="false">IF(A1212="","",INDEX(הגדרות!$H$16:$H$27,MONTH(A1212)))</f>
        <v/>
      </c>
    </row>
    <row r="1213" customFormat="false" ht="15" hidden="false" customHeight="false" outlineLevel="0" collapsed="false">
      <c r="A1213" s="55"/>
      <c r="B1213" s="56"/>
      <c r="C1213" s="57" t="str">
        <f aca="false">IF(B1213="","",IFERROR(INDEX(הגדרות!$A$8:$A$53,MATCH(B1213,הגדרות!$B$8:$B$53,0)),"⚠ לא בהגדרות"))</f>
        <v/>
      </c>
      <c r="D1213" s="56"/>
      <c r="E1213" s="58"/>
      <c r="F1213" s="57" t="str">
        <f aca="false">IF(A1213="","",INDEX(הגדרות!$H$16:$H$27,MONTH(A1213)))</f>
        <v/>
      </c>
    </row>
    <row r="1214" customFormat="false" ht="15" hidden="false" customHeight="false" outlineLevel="0" collapsed="false">
      <c r="A1214" s="50"/>
      <c r="B1214" s="51"/>
      <c r="C1214" s="52" t="str">
        <f aca="false">IF(B1214="","",IFERROR(INDEX(הגדרות!$A$8:$A$53,MATCH(B1214,הגדרות!$B$8:$B$53,0)),"⚠ לא בהגדרות"))</f>
        <v/>
      </c>
      <c r="D1214" s="51"/>
      <c r="E1214" s="53"/>
      <c r="F1214" s="52" t="str">
        <f aca="false">IF(A1214="","",INDEX(הגדרות!$H$16:$H$27,MONTH(A1214)))</f>
        <v/>
      </c>
    </row>
    <row r="1215" customFormat="false" ht="15" hidden="false" customHeight="false" outlineLevel="0" collapsed="false">
      <c r="A1215" s="55"/>
      <c r="B1215" s="56"/>
      <c r="C1215" s="57" t="str">
        <f aca="false">IF(B1215="","",IFERROR(INDEX(הגדרות!$A$8:$A$53,MATCH(B1215,הגדרות!$B$8:$B$53,0)),"⚠ לא בהגדרות"))</f>
        <v/>
      </c>
      <c r="D1215" s="56"/>
      <c r="E1215" s="58"/>
      <c r="F1215" s="57" t="str">
        <f aca="false">IF(A1215="","",INDEX(הגדרות!$H$16:$H$27,MONTH(A1215)))</f>
        <v/>
      </c>
    </row>
    <row r="1216" customFormat="false" ht="15" hidden="false" customHeight="false" outlineLevel="0" collapsed="false">
      <c r="A1216" s="50"/>
      <c r="B1216" s="51"/>
      <c r="C1216" s="52" t="str">
        <f aca="false">IF(B1216="","",IFERROR(INDEX(הגדרות!$A$8:$A$53,MATCH(B1216,הגדרות!$B$8:$B$53,0)),"⚠ לא בהגדרות"))</f>
        <v/>
      </c>
      <c r="D1216" s="51"/>
      <c r="E1216" s="53"/>
      <c r="F1216" s="52" t="str">
        <f aca="false">IF(A1216="","",INDEX(הגדרות!$H$16:$H$27,MONTH(A1216)))</f>
        <v/>
      </c>
    </row>
    <row r="1217" customFormat="false" ht="15" hidden="false" customHeight="false" outlineLevel="0" collapsed="false">
      <c r="A1217" s="55"/>
      <c r="B1217" s="56"/>
      <c r="C1217" s="57" t="str">
        <f aca="false">IF(B1217="","",IFERROR(INDEX(הגדרות!$A$8:$A$53,MATCH(B1217,הגדרות!$B$8:$B$53,0)),"⚠ לא בהגדרות"))</f>
        <v/>
      </c>
      <c r="D1217" s="56"/>
      <c r="E1217" s="58"/>
      <c r="F1217" s="57" t="str">
        <f aca="false">IF(A1217="","",INDEX(הגדרות!$H$16:$H$27,MONTH(A1217)))</f>
        <v/>
      </c>
    </row>
    <row r="1218" customFormat="false" ht="15" hidden="false" customHeight="false" outlineLevel="0" collapsed="false">
      <c r="A1218" s="50"/>
      <c r="B1218" s="51"/>
      <c r="C1218" s="52" t="str">
        <f aca="false">IF(B1218="","",IFERROR(INDEX(הגדרות!$A$8:$A$53,MATCH(B1218,הגדרות!$B$8:$B$53,0)),"⚠ לא בהגדרות"))</f>
        <v/>
      </c>
      <c r="D1218" s="51"/>
      <c r="E1218" s="53"/>
      <c r="F1218" s="52" t="str">
        <f aca="false">IF(A1218="","",INDEX(הגדרות!$H$16:$H$27,MONTH(A1218)))</f>
        <v/>
      </c>
    </row>
    <row r="1219" customFormat="false" ht="15" hidden="false" customHeight="false" outlineLevel="0" collapsed="false">
      <c r="A1219" s="55"/>
      <c r="B1219" s="56"/>
      <c r="C1219" s="57" t="str">
        <f aca="false">IF(B1219="","",IFERROR(INDEX(הגדרות!$A$8:$A$53,MATCH(B1219,הגדרות!$B$8:$B$53,0)),"⚠ לא בהגדרות"))</f>
        <v/>
      </c>
      <c r="D1219" s="56"/>
      <c r="E1219" s="58"/>
      <c r="F1219" s="57" t="str">
        <f aca="false">IF(A1219="","",INDEX(הגדרות!$H$16:$H$27,MONTH(A1219)))</f>
        <v/>
      </c>
    </row>
    <row r="1220" customFormat="false" ht="15" hidden="false" customHeight="false" outlineLevel="0" collapsed="false">
      <c r="A1220" s="50"/>
      <c r="B1220" s="51"/>
      <c r="C1220" s="52" t="str">
        <f aca="false">IF(B1220="","",IFERROR(INDEX(הגדרות!$A$8:$A$53,MATCH(B1220,הגדרות!$B$8:$B$53,0)),"⚠ לא בהגדרות"))</f>
        <v/>
      </c>
      <c r="D1220" s="51"/>
      <c r="E1220" s="53"/>
      <c r="F1220" s="52" t="str">
        <f aca="false">IF(A1220="","",INDEX(הגדרות!$H$16:$H$27,MONTH(A1220)))</f>
        <v/>
      </c>
    </row>
    <row r="1221" customFormat="false" ht="15" hidden="false" customHeight="false" outlineLevel="0" collapsed="false">
      <c r="A1221" s="55"/>
      <c r="B1221" s="56"/>
      <c r="C1221" s="57" t="str">
        <f aca="false">IF(B1221="","",IFERROR(INDEX(הגדרות!$A$8:$A$53,MATCH(B1221,הגדרות!$B$8:$B$53,0)),"⚠ לא בהגדרות"))</f>
        <v/>
      </c>
      <c r="D1221" s="56"/>
      <c r="E1221" s="58"/>
      <c r="F1221" s="57" t="str">
        <f aca="false">IF(A1221="","",INDEX(הגדרות!$H$16:$H$27,MONTH(A1221)))</f>
        <v/>
      </c>
    </row>
    <row r="1222" customFormat="false" ht="15" hidden="false" customHeight="false" outlineLevel="0" collapsed="false">
      <c r="A1222" s="50"/>
      <c r="B1222" s="51"/>
      <c r="C1222" s="52" t="str">
        <f aca="false">IF(B1222="","",IFERROR(INDEX(הגדרות!$A$8:$A$53,MATCH(B1222,הגדרות!$B$8:$B$53,0)),"⚠ לא בהגדרות"))</f>
        <v/>
      </c>
      <c r="D1222" s="51"/>
      <c r="E1222" s="53"/>
      <c r="F1222" s="52" t="str">
        <f aca="false">IF(A1222="","",INDEX(הגדרות!$H$16:$H$27,MONTH(A1222)))</f>
        <v/>
      </c>
    </row>
    <row r="1223" customFormat="false" ht="15" hidden="false" customHeight="false" outlineLevel="0" collapsed="false">
      <c r="A1223" s="55"/>
      <c r="B1223" s="56"/>
      <c r="C1223" s="57" t="str">
        <f aca="false">IF(B1223="","",IFERROR(INDEX(הגדרות!$A$8:$A$53,MATCH(B1223,הגדרות!$B$8:$B$53,0)),"⚠ לא בהגדרות"))</f>
        <v/>
      </c>
      <c r="D1223" s="56"/>
      <c r="E1223" s="58"/>
      <c r="F1223" s="57" t="str">
        <f aca="false">IF(A1223="","",INDEX(הגדרות!$H$16:$H$27,MONTH(A1223)))</f>
        <v/>
      </c>
    </row>
    <row r="1224" customFormat="false" ht="15" hidden="false" customHeight="false" outlineLevel="0" collapsed="false">
      <c r="A1224" s="50"/>
      <c r="B1224" s="51"/>
      <c r="C1224" s="52" t="str">
        <f aca="false">IF(B1224="","",IFERROR(INDEX(הגדרות!$A$8:$A$53,MATCH(B1224,הגדרות!$B$8:$B$53,0)),"⚠ לא בהגדרות"))</f>
        <v/>
      </c>
      <c r="D1224" s="51"/>
      <c r="E1224" s="53"/>
      <c r="F1224" s="52" t="str">
        <f aca="false">IF(A1224="","",INDEX(הגדרות!$H$16:$H$27,MONTH(A1224)))</f>
        <v/>
      </c>
    </row>
    <row r="1225" customFormat="false" ht="15" hidden="false" customHeight="false" outlineLevel="0" collapsed="false">
      <c r="A1225" s="55"/>
      <c r="B1225" s="56"/>
      <c r="C1225" s="57" t="str">
        <f aca="false">IF(B1225="","",IFERROR(INDEX(הגדרות!$A$8:$A$53,MATCH(B1225,הגדרות!$B$8:$B$53,0)),"⚠ לא בהגדרות"))</f>
        <v/>
      </c>
      <c r="D1225" s="56"/>
      <c r="E1225" s="58"/>
      <c r="F1225" s="57" t="str">
        <f aca="false">IF(A1225="","",INDEX(הגדרות!$H$16:$H$27,MONTH(A1225)))</f>
        <v/>
      </c>
    </row>
    <row r="1226" customFormat="false" ht="15" hidden="false" customHeight="false" outlineLevel="0" collapsed="false">
      <c r="A1226" s="50"/>
      <c r="B1226" s="51"/>
      <c r="C1226" s="52" t="str">
        <f aca="false">IF(B1226="","",IFERROR(INDEX(הגדרות!$A$8:$A$53,MATCH(B1226,הגדרות!$B$8:$B$53,0)),"⚠ לא בהגדרות"))</f>
        <v/>
      </c>
      <c r="D1226" s="51"/>
      <c r="E1226" s="53"/>
      <c r="F1226" s="52" t="str">
        <f aca="false">IF(A1226="","",INDEX(הגדרות!$H$16:$H$27,MONTH(A1226)))</f>
        <v/>
      </c>
    </row>
    <row r="1227" customFormat="false" ht="15" hidden="false" customHeight="false" outlineLevel="0" collapsed="false">
      <c r="A1227" s="55"/>
      <c r="B1227" s="56"/>
      <c r="C1227" s="57" t="str">
        <f aca="false">IF(B1227="","",IFERROR(INDEX(הגדרות!$A$8:$A$53,MATCH(B1227,הגדרות!$B$8:$B$53,0)),"⚠ לא בהגדרות"))</f>
        <v/>
      </c>
      <c r="D1227" s="56"/>
      <c r="E1227" s="58"/>
      <c r="F1227" s="57" t="str">
        <f aca="false">IF(A1227="","",INDEX(הגדרות!$H$16:$H$27,MONTH(A1227)))</f>
        <v/>
      </c>
    </row>
    <row r="1228" customFormat="false" ht="15" hidden="false" customHeight="false" outlineLevel="0" collapsed="false">
      <c r="A1228" s="50"/>
      <c r="B1228" s="51"/>
      <c r="C1228" s="52" t="str">
        <f aca="false">IF(B1228="","",IFERROR(INDEX(הגדרות!$A$8:$A$53,MATCH(B1228,הגדרות!$B$8:$B$53,0)),"⚠ לא בהגדרות"))</f>
        <v/>
      </c>
      <c r="D1228" s="51"/>
      <c r="E1228" s="53"/>
      <c r="F1228" s="52" t="str">
        <f aca="false">IF(A1228="","",INDEX(הגדרות!$H$16:$H$27,MONTH(A1228)))</f>
        <v/>
      </c>
    </row>
    <row r="1229" customFormat="false" ht="15" hidden="false" customHeight="false" outlineLevel="0" collapsed="false">
      <c r="A1229" s="55"/>
      <c r="B1229" s="56"/>
      <c r="C1229" s="57" t="str">
        <f aca="false">IF(B1229="","",IFERROR(INDEX(הגדרות!$A$8:$A$53,MATCH(B1229,הגדרות!$B$8:$B$53,0)),"⚠ לא בהגדרות"))</f>
        <v/>
      </c>
      <c r="D1229" s="56"/>
      <c r="E1229" s="58"/>
      <c r="F1229" s="57" t="str">
        <f aca="false">IF(A1229="","",INDEX(הגדרות!$H$16:$H$27,MONTH(A1229)))</f>
        <v/>
      </c>
    </row>
    <row r="1230" customFormat="false" ht="15" hidden="false" customHeight="false" outlineLevel="0" collapsed="false">
      <c r="A1230" s="50"/>
      <c r="B1230" s="51"/>
      <c r="C1230" s="52" t="str">
        <f aca="false">IF(B1230="","",IFERROR(INDEX(הגדרות!$A$8:$A$53,MATCH(B1230,הגדרות!$B$8:$B$53,0)),"⚠ לא בהגדרות"))</f>
        <v/>
      </c>
      <c r="D1230" s="51"/>
      <c r="E1230" s="53"/>
      <c r="F1230" s="52" t="str">
        <f aca="false">IF(A1230="","",INDEX(הגדרות!$H$16:$H$27,MONTH(A1230)))</f>
        <v/>
      </c>
    </row>
    <row r="1231" customFormat="false" ht="15" hidden="false" customHeight="false" outlineLevel="0" collapsed="false">
      <c r="A1231" s="55"/>
      <c r="B1231" s="56"/>
      <c r="C1231" s="57" t="str">
        <f aca="false">IF(B1231="","",IFERROR(INDEX(הגדרות!$A$8:$A$53,MATCH(B1231,הגדרות!$B$8:$B$53,0)),"⚠ לא בהגדרות"))</f>
        <v/>
      </c>
      <c r="D1231" s="56"/>
      <c r="E1231" s="58"/>
      <c r="F1231" s="57" t="str">
        <f aca="false">IF(A1231="","",INDEX(הגדרות!$H$16:$H$27,MONTH(A1231)))</f>
        <v/>
      </c>
    </row>
    <row r="1232" customFormat="false" ht="15" hidden="false" customHeight="false" outlineLevel="0" collapsed="false">
      <c r="A1232" s="50"/>
      <c r="B1232" s="51"/>
      <c r="C1232" s="52" t="str">
        <f aca="false">IF(B1232="","",IFERROR(INDEX(הגדרות!$A$8:$A$53,MATCH(B1232,הגדרות!$B$8:$B$53,0)),"⚠ לא בהגדרות"))</f>
        <v/>
      </c>
      <c r="D1232" s="51"/>
      <c r="E1232" s="53"/>
      <c r="F1232" s="52" t="str">
        <f aca="false">IF(A1232="","",INDEX(הגדרות!$H$16:$H$27,MONTH(A1232)))</f>
        <v/>
      </c>
    </row>
    <row r="1233" customFormat="false" ht="15" hidden="false" customHeight="false" outlineLevel="0" collapsed="false">
      <c r="A1233" s="55"/>
      <c r="B1233" s="56"/>
      <c r="C1233" s="57" t="str">
        <f aca="false">IF(B1233="","",IFERROR(INDEX(הגדרות!$A$8:$A$53,MATCH(B1233,הגדרות!$B$8:$B$53,0)),"⚠ לא בהגדרות"))</f>
        <v/>
      </c>
      <c r="D1233" s="56"/>
      <c r="E1233" s="58"/>
      <c r="F1233" s="57" t="str">
        <f aca="false">IF(A1233="","",INDEX(הגדרות!$H$16:$H$27,MONTH(A1233)))</f>
        <v/>
      </c>
    </row>
    <row r="1234" customFormat="false" ht="15" hidden="false" customHeight="false" outlineLevel="0" collapsed="false">
      <c r="A1234" s="50"/>
      <c r="B1234" s="51"/>
      <c r="C1234" s="52" t="str">
        <f aca="false">IF(B1234="","",IFERROR(INDEX(הגדרות!$A$8:$A$53,MATCH(B1234,הגדרות!$B$8:$B$53,0)),"⚠ לא בהגדרות"))</f>
        <v/>
      </c>
      <c r="D1234" s="51"/>
      <c r="E1234" s="53"/>
      <c r="F1234" s="52" t="str">
        <f aca="false">IF(A1234="","",INDEX(הגדרות!$H$16:$H$27,MONTH(A1234)))</f>
        <v/>
      </c>
    </row>
    <row r="1235" customFormat="false" ht="15" hidden="false" customHeight="false" outlineLevel="0" collapsed="false">
      <c r="A1235" s="55"/>
      <c r="B1235" s="56"/>
      <c r="C1235" s="57" t="str">
        <f aca="false">IF(B1235="","",IFERROR(INDEX(הגדרות!$A$8:$A$53,MATCH(B1235,הגדרות!$B$8:$B$53,0)),"⚠ לא בהגדרות"))</f>
        <v/>
      </c>
      <c r="D1235" s="56"/>
      <c r="E1235" s="58"/>
      <c r="F1235" s="57" t="str">
        <f aca="false">IF(A1235="","",INDEX(הגדרות!$H$16:$H$27,MONTH(A1235)))</f>
        <v/>
      </c>
    </row>
    <row r="1236" customFormat="false" ht="15" hidden="false" customHeight="false" outlineLevel="0" collapsed="false">
      <c r="A1236" s="50"/>
      <c r="B1236" s="51"/>
      <c r="C1236" s="52" t="str">
        <f aca="false">IF(B1236="","",IFERROR(INDEX(הגדרות!$A$8:$A$53,MATCH(B1236,הגדרות!$B$8:$B$53,0)),"⚠ לא בהגדרות"))</f>
        <v/>
      </c>
      <c r="D1236" s="51"/>
      <c r="E1236" s="53"/>
      <c r="F1236" s="52" t="str">
        <f aca="false">IF(A1236="","",INDEX(הגדרות!$H$16:$H$27,MONTH(A1236)))</f>
        <v/>
      </c>
    </row>
    <row r="1237" customFormat="false" ht="15" hidden="false" customHeight="false" outlineLevel="0" collapsed="false">
      <c r="A1237" s="55"/>
      <c r="B1237" s="56"/>
      <c r="C1237" s="57" t="str">
        <f aca="false">IF(B1237="","",IFERROR(INDEX(הגדרות!$A$8:$A$53,MATCH(B1237,הגדרות!$B$8:$B$53,0)),"⚠ לא בהגדרות"))</f>
        <v/>
      </c>
      <c r="D1237" s="56"/>
      <c r="E1237" s="58"/>
      <c r="F1237" s="57" t="str">
        <f aca="false">IF(A1237="","",INDEX(הגדרות!$H$16:$H$27,MONTH(A1237)))</f>
        <v/>
      </c>
    </row>
    <row r="1238" customFormat="false" ht="15" hidden="false" customHeight="false" outlineLevel="0" collapsed="false">
      <c r="A1238" s="50"/>
      <c r="B1238" s="51"/>
      <c r="C1238" s="52" t="str">
        <f aca="false">IF(B1238="","",IFERROR(INDEX(הגדרות!$A$8:$A$53,MATCH(B1238,הגדרות!$B$8:$B$53,0)),"⚠ לא בהגדרות"))</f>
        <v/>
      </c>
      <c r="D1238" s="51"/>
      <c r="E1238" s="53"/>
      <c r="F1238" s="52" t="str">
        <f aca="false">IF(A1238="","",INDEX(הגדרות!$H$16:$H$27,MONTH(A1238)))</f>
        <v/>
      </c>
    </row>
    <row r="1239" customFormat="false" ht="15" hidden="false" customHeight="false" outlineLevel="0" collapsed="false">
      <c r="A1239" s="55"/>
      <c r="B1239" s="56"/>
      <c r="C1239" s="57" t="str">
        <f aca="false">IF(B1239="","",IFERROR(INDEX(הגדרות!$A$8:$A$53,MATCH(B1239,הגדרות!$B$8:$B$53,0)),"⚠ לא בהגדרות"))</f>
        <v/>
      </c>
      <c r="D1239" s="56"/>
      <c r="E1239" s="58"/>
      <c r="F1239" s="57" t="str">
        <f aca="false">IF(A1239="","",INDEX(הגדרות!$H$16:$H$27,MONTH(A1239)))</f>
        <v/>
      </c>
    </row>
    <row r="1240" customFormat="false" ht="15" hidden="false" customHeight="false" outlineLevel="0" collapsed="false">
      <c r="A1240" s="50"/>
      <c r="B1240" s="51"/>
      <c r="C1240" s="52" t="str">
        <f aca="false">IF(B1240="","",IFERROR(INDEX(הגדרות!$A$8:$A$53,MATCH(B1240,הגדרות!$B$8:$B$53,0)),"⚠ לא בהגדרות"))</f>
        <v/>
      </c>
      <c r="D1240" s="51"/>
      <c r="E1240" s="53"/>
      <c r="F1240" s="52" t="str">
        <f aca="false">IF(A1240="","",INDEX(הגדרות!$H$16:$H$27,MONTH(A1240)))</f>
        <v/>
      </c>
    </row>
    <row r="1241" customFormat="false" ht="15" hidden="false" customHeight="false" outlineLevel="0" collapsed="false">
      <c r="A1241" s="55"/>
      <c r="B1241" s="56"/>
      <c r="C1241" s="57" t="str">
        <f aca="false">IF(B1241="","",IFERROR(INDEX(הגדרות!$A$8:$A$53,MATCH(B1241,הגדרות!$B$8:$B$53,0)),"⚠ לא בהגדרות"))</f>
        <v/>
      </c>
      <c r="D1241" s="56"/>
      <c r="E1241" s="58"/>
      <c r="F1241" s="57" t="str">
        <f aca="false">IF(A1241="","",INDEX(הגדרות!$H$16:$H$27,MONTH(A1241)))</f>
        <v/>
      </c>
    </row>
    <row r="1242" customFormat="false" ht="15" hidden="false" customHeight="false" outlineLevel="0" collapsed="false">
      <c r="A1242" s="50"/>
      <c r="B1242" s="51"/>
      <c r="C1242" s="52" t="str">
        <f aca="false">IF(B1242="","",IFERROR(INDEX(הגדרות!$A$8:$A$53,MATCH(B1242,הגדרות!$B$8:$B$53,0)),"⚠ לא בהגדרות"))</f>
        <v/>
      </c>
      <c r="D1242" s="51"/>
      <c r="E1242" s="53"/>
      <c r="F1242" s="52" t="str">
        <f aca="false">IF(A1242="","",INDEX(הגדרות!$H$16:$H$27,MONTH(A1242)))</f>
        <v/>
      </c>
    </row>
    <row r="1243" customFormat="false" ht="15" hidden="false" customHeight="false" outlineLevel="0" collapsed="false">
      <c r="A1243" s="55"/>
      <c r="B1243" s="56"/>
      <c r="C1243" s="57" t="str">
        <f aca="false">IF(B1243="","",IFERROR(INDEX(הגדרות!$A$8:$A$53,MATCH(B1243,הגדרות!$B$8:$B$53,0)),"⚠ לא בהגדרות"))</f>
        <v/>
      </c>
      <c r="D1243" s="56"/>
      <c r="E1243" s="58"/>
      <c r="F1243" s="57" t="str">
        <f aca="false">IF(A1243="","",INDEX(הגדרות!$H$16:$H$27,MONTH(A1243)))</f>
        <v/>
      </c>
    </row>
    <row r="1244" customFormat="false" ht="15" hidden="false" customHeight="false" outlineLevel="0" collapsed="false">
      <c r="A1244" s="50"/>
      <c r="B1244" s="51"/>
      <c r="C1244" s="52" t="str">
        <f aca="false">IF(B1244="","",IFERROR(INDEX(הגדרות!$A$8:$A$53,MATCH(B1244,הגדרות!$B$8:$B$53,0)),"⚠ לא בהגדרות"))</f>
        <v/>
      </c>
      <c r="D1244" s="51"/>
      <c r="E1244" s="53"/>
      <c r="F1244" s="52" t="str">
        <f aca="false">IF(A1244="","",INDEX(הגדרות!$H$16:$H$27,MONTH(A1244)))</f>
        <v/>
      </c>
    </row>
    <row r="1245" customFormat="false" ht="15" hidden="false" customHeight="false" outlineLevel="0" collapsed="false">
      <c r="A1245" s="55"/>
      <c r="B1245" s="56"/>
      <c r="C1245" s="57" t="str">
        <f aca="false">IF(B1245="","",IFERROR(INDEX(הגדרות!$A$8:$A$53,MATCH(B1245,הגדרות!$B$8:$B$53,0)),"⚠ לא בהגדרות"))</f>
        <v/>
      </c>
      <c r="D1245" s="56"/>
      <c r="E1245" s="58"/>
      <c r="F1245" s="57" t="str">
        <f aca="false">IF(A1245="","",INDEX(הגדרות!$H$16:$H$27,MONTH(A1245)))</f>
        <v/>
      </c>
    </row>
    <row r="1246" customFormat="false" ht="15" hidden="false" customHeight="false" outlineLevel="0" collapsed="false">
      <c r="A1246" s="50"/>
      <c r="B1246" s="51"/>
      <c r="C1246" s="52" t="str">
        <f aca="false">IF(B1246="","",IFERROR(INDEX(הגדרות!$A$8:$A$53,MATCH(B1246,הגדרות!$B$8:$B$53,0)),"⚠ לא בהגדרות"))</f>
        <v/>
      </c>
      <c r="D1246" s="51"/>
      <c r="E1246" s="53"/>
      <c r="F1246" s="52" t="str">
        <f aca="false">IF(A1246="","",INDEX(הגדרות!$H$16:$H$27,MONTH(A1246)))</f>
        <v/>
      </c>
    </row>
    <row r="1247" customFormat="false" ht="15" hidden="false" customHeight="false" outlineLevel="0" collapsed="false">
      <c r="A1247" s="55"/>
      <c r="B1247" s="56"/>
      <c r="C1247" s="57" t="str">
        <f aca="false">IF(B1247="","",IFERROR(INDEX(הגדרות!$A$8:$A$53,MATCH(B1247,הגדרות!$B$8:$B$53,0)),"⚠ לא בהגדרות"))</f>
        <v/>
      </c>
      <c r="D1247" s="56"/>
      <c r="E1247" s="58"/>
      <c r="F1247" s="57" t="str">
        <f aca="false">IF(A1247="","",INDEX(הגדרות!$H$16:$H$27,MONTH(A1247)))</f>
        <v/>
      </c>
    </row>
    <row r="1248" customFormat="false" ht="15" hidden="false" customHeight="false" outlineLevel="0" collapsed="false">
      <c r="A1248" s="50"/>
      <c r="B1248" s="51"/>
      <c r="C1248" s="52" t="str">
        <f aca="false">IF(B1248="","",IFERROR(INDEX(הגדרות!$A$8:$A$53,MATCH(B1248,הגדרות!$B$8:$B$53,0)),"⚠ לא בהגדרות"))</f>
        <v/>
      </c>
      <c r="D1248" s="51"/>
      <c r="E1248" s="53"/>
      <c r="F1248" s="52" t="str">
        <f aca="false">IF(A1248="","",INDEX(הגדרות!$H$16:$H$27,MONTH(A1248)))</f>
        <v/>
      </c>
    </row>
    <row r="1249" customFormat="false" ht="15" hidden="false" customHeight="false" outlineLevel="0" collapsed="false">
      <c r="A1249" s="55"/>
      <c r="B1249" s="56"/>
      <c r="C1249" s="57" t="str">
        <f aca="false">IF(B1249="","",IFERROR(INDEX(הגדרות!$A$8:$A$53,MATCH(B1249,הגדרות!$B$8:$B$53,0)),"⚠ לא בהגדרות"))</f>
        <v/>
      </c>
      <c r="D1249" s="56"/>
      <c r="E1249" s="58"/>
      <c r="F1249" s="57" t="str">
        <f aca="false">IF(A1249="","",INDEX(הגדרות!$H$16:$H$27,MONTH(A1249)))</f>
        <v/>
      </c>
    </row>
    <row r="1250" customFormat="false" ht="15" hidden="false" customHeight="false" outlineLevel="0" collapsed="false">
      <c r="A1250" s="50"/>
      <c r="B1250" s="51"/>
      <c r="C1250" s="52" t="str">
        <f aca="false">IF(B1250="","",IFERROR(INDEX(הגדרות!$A$8:$A$53,MATCH(B1250,הגדרות!$B$8:$B$53,0)),"⚠ לא בהגדרות"))</f>
        <v/>
      </c>
      <c r="D1250" s="51"/>
      <c r="E1250" s="53"/>
      <c r="F1250" s="52" t="str">
        <f aca="false">IF(A1250="","",INDEX(הגדרות!$H$16:$H$27,MONTH(A1250)))</f>
        <v/>
      </c>
    </row>
    <row r="1251" customFormat="false" ht="15" hidden="false" customHeight="false" outlineLevel="0" collapsed="false">
      <c r="A1251" s="55"/>
      <c r="B1251" s="56"/>
      <c r="C1251" s="57" t="str">
        <f aca="false">IF(B1251="","",IFERROR(INDEX(הגדרות!$A$8:$A$53,MATCH(B1251,הגדרות!$B$8:$B$53,0)),"⚠ לא בהגדרות"))</f>
        <v/>
      </c>
      <c r="D1251" s="56"/>
      <c r="E1251" s="58"/>
      <c r="F1251" s="57" t="str">
        <f aca="false">IF(A1251="","",INDEX(הגדרות!$H$16:$H$27,MONTH(A1251)))</f>
        <v/>
      </c>
    </row>
    <row r="1252" customFormat="false" ht="15" hidden="false" customHeight="false" outlineLevel="0" collapsed="false">
      <c r="A1252" s="50"/>
      <c r="B1252" s="51"/>
      <c r="C1252" s="52" t="str">
        <f aca="false">IF(B1252="","",IFERROR(INDEX(הגדרות!$A$8:$A$53,MATCH(B1252,הגדרות!$B$8:$B$53,0)),"⚠ לא בהגדרות"))</f>
        <v/>
      </c>
      <c r="D1252" s="51"/>
      <c r="E1252" s="53"/>
      <c r="F1252" s="52" t="str">
        <f aca="false">IF(A1252="","",INDEX(הגדרות!$H$16:$H$27,MONTH(A1252)))</f>
        <v/>
      </c>
    </row>
    <row r="1253" customFormat="false" ht="15" hidden="false" customHeight="false" outlineLevel="0" collapsed="false">
      <c r="A1253" s="55"/>
      <c r="B1253" s="56"/>
      <c r="C1253" s="57" t="str">
        <f aca="false">IF(B1253="","",IFERROR(INDEX(הגדרות!$A$8:$A$53,MATCH(B1253,הגדרות!$B$8:$B$53,0)),"⚠ לא בהגדרות"))</f>
        <v/>
      </c>
      <c r="D1253" s="56"/>
      <c r="E1253" s="58"/>
      <c r="F1253" s="57" t="str">
        <f aca="false">IF(A1253="","",INDEX(הגדרות!$H$16:$H$27,MONTH(A1253)))</f>
        <v/>
      </c>
    </row>
    <row r="1254" customFormat="false" ht="15" hidden="false" customHeight="false" outlineLevel="0" collapsed="false">
      <c r="A1254" s="50"/>
      <c r="B1254" s="51"/>
      <c r="C1254" s="52" t="str">
        <f aca="false">IF(B1254="","",IFERROR(INDEX(הגדרות!$A$8:$A$53,MATCH(B1254,הגדרות!$B$8:$B$53,0)),"⚠ לא בהגדרות"))</f>
        <v/>
      </c>
      <c r="D1254" s="51"/>
      <c r="E1254" s="53"/>
      <c r="F1254" s="52" t="str">
        <f aca="false">IF(A1254="","",INDEX(הגדרות!$H$16:$H$27,MONTH(A1254)))</f>
        <v/>
      </c>
    </row>
    <row r="1255" customFormat="false" ht="15" hidden="false" customHeight="false" outlineLevel="0" collapsed="false">
      <c r="A1255" s="55"/>
      <c r="B1255" s="56"/>
      <c r="C1255" s="57" t="str">
        <f aca="false">IF(B1255="","",IFERROR(INDEX(הגדרות!$A$8:$A$53,MATCH(B1255,הגדרות!$B$8:$B$53,0)),"⚠ לא בהגדרות"))</f>
        <v/>
      </c>
      <c r="D1255" s="56"/>
      <c r="E1255" s="58"/>
      <c r="F1255" s="57" t="str">
        <f aca="false">IF(A1255="","",INDEX(הגדרות!$H$16:$H$27,MONTH(A1255)))</f>
        <v/>
      </c>
    </row>
    <row r="1256" customFormat="false" ht="15" hidden="false" customHeight="false" outlineLevel="0" collapsed="false">
      <c r="A1256" s="50"/>
      <c r="B1256" s="51"/>
      <c r="C1256" s="52" t="str">
        <f aca="false">IF(B1256="","",IFERROR(INDEX(הגדרות!$A$8:$A$53,MATCH(B1256,הגדרות!$B$8:$B$53,0)),"⚠ לא בהגדרות"))</f>
        <v/>
      </c>
      <c r="D1256" s="51"/>
      <c r="E1256" s="53"/>
      <c r="F1256" s="52" t="str">
        <f aca="false">IF(A1256="","",INDEX(הגדרות!$H$16:$H$27,MONTH(A1256)))</f>
        <v/>
      </c>
    </row>
    <row r="1257" customFormat="false" ht="15" hidden="false" customHeight="false" outlineLevel="0" collapsed="false">
      <c r="A1257" s="55"/>
      <c r="B1257" s="56"/>
      <c r="C1257" s="57" t="str">
        <f aca="false">IF(B1257="","",IFERROR(INDEX(הגדרות!$A$8:$A$53,MATCH(B1257,הגדרות!$B$8:$B$53,0)),"⚠ לא בהגדרות"))</f>
        <v/>
      </c>
      <c r="D1257" s="56"/>
      <c r="E1257" s="58"/>
      <c r="F1257" s="57" t="str">
        <f aca="false">IF(A1257="","",INDEX(הגדרות!$H$16:$H$27,MONTH(A1257)))</f>
        <v/>
      </c>
    </row>
    <row r="1258" customFormat="false" ht="15" hidden="false" customHeight="false" outlineLevel="0" collapsed="false">
      <c r="A1258" s="50"/>
      <c r="B1258" s="51"/>
      <c r="C1258" s="52" t="str">
        <f aca="false">IF(B1258="","",IFERROR(INDEX(הגדרות!$A$8:$A$53,MATCH(B1258,הגדרות!$B$8:$B$53,0)),"⚠ לא בהגדרות"))</f>
        <v/>
      </c>
      <c r="D1258" s="51"/>
      <c r="E1258" s="53"/>
      <c r="F1258" s="52" t="str">
        <f aca="false">IF(A1258="","",INDEX(הגדרות!$H$16:$H$27,MONTH(A1258)))</f>
        <v/>
      </c>
    </row>
    <row r="1259" customFormat="false" ht="15" hidden="false" customHeight="false" outlineLevel="0" collapsed="false">
      <c r="A1259" s="55"/>
      <c r="B1259" s="56"/>
      <c r="C1259" s="57" t="str">
        <f aca="false">IF(B1259="","",IFERROR(INDEX(הגדרות!$A$8:$A$53,MATCH(B1259,הגדרות!$B$8:$B$53,0)),"⚠ לא בהגדרות"))</f>
        <v/>
      </c>
      <c r="D1259" s="56"/>
      <c r="E1259" s="58"/>
      <c r="F1259" s="57" t="str">
        <f aca="false">IF(A1259="","",INDEX(הגדרות!$H$16:$H$27,MONTH(A1259)))</f>
        <v/>
      </c>
    </row>
    <row r="1260" customFormat="false" ht="15" hidden="false" customHeight="false" outlineLevel="0" collapsed="false">
      <c r="A1260" s="50"/>
      <c r="B1260" s="51"/>
      <c r="C1260" s="52" t="str">
        <f aca="false">IF(B1260="","",IFERROR(INDEX(הגדרות!$A$8:$A$53,MATCH(B1260,הגדרות!$B$8:$B$53,0)),"⚠ לא בהגדרות"))</f>
        <v/>
      </c>
      <c r="D1260" s="51"/>
      <c r="E1260" s="53"/>
      <c r="F1260" s="52" t="str">
        <f aca="false">IF(A1260="","",INDEX(הגדרות!$H$16:$H$27,MONTH(A1260)))</f>
        <v/>
      </c>
    </row>
    <row r="1261" customFormat="false" ht="15" hidden="false" customHeight="false" outlineLevel="0" collapsed="false">
      <c r="A1261" s="55"/>
      <c r="B1261" s="56"/>
      <c r="C1261" s="57" t="str">
        <f aca="false">IF(B1261="","",IFERROR(INDEX(הגדרות!$A$8:$A$53,MATCH(B1261,הגדרות!$B$8:$B$53,0)),"⚠ לא בהגדרות"))</f>
        <v/>
      </c>
      <c r="D1261" s="56"/>
      <c r="E1261" s="58"/>
      <c r="F1261" s="57" t="str">
        <f aca="false">IF(A1261="","",INDEX(הגדרות!$H$16:$H$27,MONTH(A1261)))</f>
        <v/>
      </c>
    </row>
    <row r="1262" customFormat="false" ht="15" hidden="false" customHeight="false" outlineLevel="0" collapsed="false">
      <c r="A1262" s="50"/>
      <c r="B1262" s="51"/>
      <c r="C1262" s="52" t="str">
        <f aca="false">IF(B1262="","",IFERROR(INDEX(הגדרות!$A$8:$A$53,MATCH(B1262,הגדרות!$B$8:$B$53,0)),"⚠ לא בהגדרות"))</f>
        <v/>
      </c>
      <c r="D1262" s="51"/>
      <c r="E1262" s="53"/>
      <c r="F1262" s="52" t="str">
        <f aca="false">IF(A1262="","",INDEX(הגדרות!$H$16:$H$27,MONTH(A1262)))</f>
        <v/>
      </c>
    </row>
    <row r="1263" customFormat="false" ht="15" hidden="false" customHeight="false" outlineLevel="0" collapsed="false">
      <c r="A1263" s="55"/>
      <c r="B1263" s="56"/>
      <c r="C1263" s="57" t="str">
        <f aca="false">IF(B1263="","",IFERROR(INDEX(הגדרות!$A$8:$A$53,MATCH(B1263,הגדרות!$B$8:$B$53,0)),"⚠ לא בהגדרות"))</f>
        <v/>
      </c>
      <c r="D1263" s="56"/>
      <c r="E1263" s="58"/>
      <c r="F1263" s="57" t="str">
        <f aca="false">IF(A1263="","",INDEX(הגדרות!$H$16:$H$27,MONTH(A1263)))</f>
        <v/>
      </c>
    </row>
    <row r="1264" customFormat="false" ht="15" hidden="false" customHeight="false" outlineLevel="0" collapsed="false">
      <c r="A1264" s="50"/>
      <c r="B1264" s="51"/>
      <c r="C1264" s="52" t="str">
        <f aca="false">IF(B1264="","",IFERROR(INDEX(הגדרות!$A$8:$A$53,MATCH(B1264,הגדרות!$B$8:$B$53,0)),"⚠ לא בהגדרות"))</f>
        <v/>
      </c>
      <c r="D1264" s="51"/>
      <c r="E1264" s="53"/>
      <c r="F1264" s="52" t="str">
        <f aca="false">IF(A1264="","",INDEX(הגדרות!$H$16:$H$27,MONTH(A1264)))</f>
        <v/>
      </c>
    </row>
    <row r="1265" customFormat="false" ht="15" hidden="false" customHeight="false" outlineLevel="0" collapsed="false">
      <c r="A1265" s="55"/>
      <c r="B1265" s="56"/>
      <c r="C1265" s="57" t="str">
        <f aca="false">IF(B1265="","",IFERROR(INDEX(הגדרות!$A$8:$A$53,MATCH(B1265,הגדרות!$B$8:$B$53,0)),"⚠ לא בהגדרות"))</f>
        <v/>
      </c>
      <c r="D1265" s="56"/>
      <c r="E1265" s="58"/>
      <c r="F1265" s="57" t="str">
        <f aca="false">IF(A1265="","",INDEX(הגדרות!$H$16:$H$27,MONTH(A1265)))</f>
        <v/>
      </c>
    </row>
    <row r="1266" customFormat="false" ht="15" hidden="false" customHeight="false" outlineLevel="0" collapsed="false">
      <c r="A1266" s="50"/>
      <c r="B1266" s="51"/>
      <c r="C1266" s="52" t="str">
        <f aca="false">IF(B1266="","",IFERROR(INDEX(הגדרות!$A$8:$A$53,MATCH(B1266,הגדרות!$B$8:$B$53,0)),"⚠ לא בהגדרות"))</f>
        <v/>
      </c>
      <c r="D1266" s="51"/>
      <c r="E1266" s="53"/>
      <c r="F1266" s="52" t="str">
        <f aca="false">IF(A1266="","",INDEX(הגדרות!$H$16:$H$27,MONTH(A1266)))</f>
        <v/>
      </c>
    </row>
    <row r="1267" customFormat="false" ht="15" hidden="false" customHeight="false" outlineLevel="0" collapsed="false">
      <c r="A1267" s="55"/>
      <c r="B1267" s="56"/>
      <c r="C1267" s="57" t="str">
        <f aca="false">IF(B1267="","",IFERROR(INDEX(הגדרות!$A$8:$A$53,MATCH(B1267,הגדרות!$B$8:$B$53,0)),"⚠ לא בהגדרות"))</f>
        <v/>
      </c>
      <c r="D1267" s="56"/>
      <c r="E1267" s="58"/>
      <c r="F1267" s="57" t="str">
        <f aca="false">IF(A1267="","",INDEX(הגדרות!$H$16:$H$27,MONTH(A1267)))</f>
        <v/>
      </c>
    </row>
    <row r="1268" customFormat="false" ht="15" hidden="false" customHeight="false" outlineLevel="0" collapsed="false">
      <c r="A1268" s="50"/>
      <c r="B1268" s="51"/>
      <c r="C1268" s="52" t="str">
        <f aca="false">IF(B1268="","",IFERROR(INDEX(הגדרות!$A$8:$A$53,MATCH(B1268,הגדרות!$B$8:$B$53,0)),"⚠ לא בהגדרות"))</f>
        <v/>
      </c>
      <c r="D1268" s="51"/>
      <c r="E1268" s="53"/>
      <c r="F1268" s="52" t="str">
        <f aca="false">IF(A1268="","",INDEX(הגדרות!$H$16:$H$27,MONTH(A1268)))</f>
        <v/>
      </c>
    </row>
    <row r="1269" customFormat="false" ht="15" hidden="false" customHeight="false" outlineLevel="0" collapsed="false">
      <c r="A1269" s="55"/>
      <c r="B1269" s="56"/>
      <c r="C1269" s="57" t="str">
        <f aca="false">IF(B1269="","",IFERROR(INDEX(הגדרות!$A$8:$A$53,MATCH(B1269,הגדרות!$B$8:$B$53,0)),"⚠ לא בהגדרות"))</f>
        <v/>
      </c>
      <c r="D1269" s="56"/>
      <c r="E1269" s="58"/>
      <c r="F1269" s="57" t="str">
        <f aca="false">IF(A1269="","",INDEX(הגדרות!$H$16:$H$27,MONTH(A1269)))</f>
        <v/>
      </c>
    </row>
    <row r="1270" customFormat="false" ht="15" hidden="false" customHeight="false" outlineLevel="0" collapsed="false">
      <c r="A1270" s="50"/>
      <c r="B1270" s="51"/>
      <c r="C1270" s="52" t="str">
        <f aca="false">IF(B1270="","",IFERROR(INDEX(הגדרות!$A$8:$A$53,MATCH(B1270,הגדרות!$B$8:$B$53,0)),"⚠ לא בהגדרות"))</f>
        <v/>
      </c>
      <c r="D1270" s="51"/>
      <c r="E1270" s="53"/>
      <c r="F1270" s="52" t="str">
        <f aca="false">IF(A1270="","",INDEX(הגדרות!$H$16:$H$27,MONTH(A1270)))</f>
        <v/>
      </c>
    </row>
    <row r="1271" customFormat="false" ht="15" hidden="false" customHeight="false" outlineLevel="0" collapsed="false">
      <c r="A1271" s="55"/>
      <c r="B1271" s="56"/>
      <c r="C1271" s="57" t="str">
        <f aca="false">IF(B1271="","",IFERROR(INDEX(הגדרות!$A$8:$A$53,MATCH(B1271,הגדרות!$B$8:$B$53,0)),"⚠ לא בהגדרות"))</f>
        <v/>
      </c>
      <c r="D1271" s="56"/>
      <c r="E1271" s="58"/>
      <c r="F1271" s="57" t="str">
        <f aca="false">IF(A1271="","",INDEX(הגדרות!$H$16:$H$27,MONTH(A1271)))</f>
        <v/>
      </c>
    </row>
    <row r="1272" customFormat="false" ht="15" hidden="false" customHeight="false" outlineLevel="0" collapsed="false">
      <c r="A1272" s="50"/>
      <c r="B1272" s="51"/>
      <c r="C1272" s="52" t="str">
        <f aca="false">IF(B1272="","",IFERROR(INDEX(הגדרות!$A$8:$A$53,MATCH(B1272,הגדרות!$B$8:$B$53,0)),"⚠ לא בהגדרות"))</f>
        <v/>
      </c>
      <c r="D1272" s="51"/>
      <c r="E1272" s="53"/>
      <c r="F1272" s="52" t="str">
        <f aca="false">IF(A1272="","",INDEX(הגדרות!$H$16:$H$27,MONTH(A1272)))</f>
        <v/>
      </c>
    </row>
    <row r="1273" customFormat="false" ht="15" hidden="false" customHeight="false" outlineLevel="0" collapsed="false">
      <c r="A1273" s="55"/>
      <c r="B1273" s="56"/>
      <c r="C1273" s="57" t="str">
        <f aca="false">IF(B1273="","",IFERROR(INDEX(הגדרות!$A$8:$A$53,MATCH(B1273,הגדרות!$B$8:$B$53,0)),"⚠ לא בהגדרות"))</f>
        <v/>
      </c>
      <c r="D1273" s="56"/>
      <c r="E1273" s="58"/>
      <c r="F1273" s="57" t="str">
        <f aca="false">IF(A1273="","",INDEX(הגדרות!$H$16:$H$27,MONTH(A1273)))</f>
        <v/>
      </c>
    </row>
    <row r="1274" customFormat="false" ht="15" hidden="false" customHeight="false" outlineLevel="0" collapsed="false">
      <c r="A1274" s="50"/>
      <c r="B1274" s="51"/>
      <c r="C1274" s="52" t="str">
        <f aca="false">IF(B1274="","",IFERROR(INDEX(הגדרות!$A$8:$A$53,MATCH(B1274,הגדרות!$B$8:$B$53,0)),"⚠ לא בהגדרות"))</f>
        <v/>
      </c>
      <c r="D1274" s="51"/>
      <c r="E1274" s="53"/>
      <c r="F1274" s="52" t="str">
        <f aca="false">IF(A1274="","",INDEX(הגדרות!$H$16:$H$27,MONTH(A1274)))</f>
        <v/>
      </c>
    </row>
    <row r="1275" customFormat="false" ht="15" hidden="false" customHeight="false" outlineLevel="0" collapsed="false">
      <c r="A1275" s="55"/>
      <c r="B1275" s="56"/>
      <c r="C1275" s="57" t="str">
        <f aca="false">IF(B1275="","",IFERROR(INDEX(הגדרות!$A$8:$A$53,MATCH(B1275,הגדרות!$B$8:$B$53,0)),"⚠ לא בהגדרות"))</f>
        <v/>
      </c>
      <c r="D1275" s="56"/>
      <c r="E1275" s="58"/>
      <c r="F1275" s="57" t="str">
        <f aca="false">IF(A1275="","",INDEX(הגדרות!$H$16:$H$27,MONTH(A1275)))</f>
        <v/>
      </c>
    </row>
    <row r="1276" customFormat="false" ht="15" hidden="false" customHeight="false" outlineLevel="0" collapsed="false">
      <c r="A1276" s="50"/>
      <c r="B1276" s="51"/>
      <c r="C1276" s="52" t="str">
        <f aca="false">IF(B1276="","",IFERROR(INDEX(הגדרות!$A$8:$A$53,MATCH(B1276,הגדרות!$B$8:$B$53,0)),"⚠ לא בהגדרות"))</f>
        <v/>
      </c>
      <c r="D1276" s="51"/>
      <c r="E1276" s="53"/>
      <c r="F1276" s="52" t="str">
        <f aca="false">IF(A1276="","",INDEX(הגדרות!$H$16:$H$27,MONTH(A1276)))</f>
        <v/>
      </c>
    </row>
    <row r="1277" customFormat="false" ht="15" hidden="false" customHeight="false" outlineLevel="0" collapsed="false">
      <c r="A1277" s="55"/>
      <c r="B1277" s="56"/>
      <c r="C1277" s="57" t="str">
        <f aca="false">IF(B1277="","",IFERROR(INDEX(הגדרות!$A$8:$A$53,MATCH(B1277,הגדרות!$B$8:$B$53,0)),"⚠ לא בהגדרות"))</f>
        <v/>
      </c>
      <c r="D1277" s="56"/>
      <c r="E1277" s="58"/>
      <c r="F1277" s="57" t="str">
        <f aca="false">IF(A1277="","",INDEX(הגדרות!$H$16:$H$27,MONTH(A1277)))</f>
        <v/>
      </c>
    </row>
    <row r="1278" customFormat="false" ht="15" hidden="false" customHeight="false" outlineLevel="0" collapsed="false">
      <c r="A1278" s="50"/>
      <c r="B1278" s="51"/>
      <c r="C1278" s="52" t="str">
        <f aca="false">IF(B1278="","",IFERROR(INDEX(הגדרות!$A$8:$A$53,MATCH(B1278,הגדרות!$B$8:$B$53,0)),"⚠ לא בהגדרות"))</f>
        <v/>
      </c>
      <c r="D1278" s="51"/>
      <c r="E1278" s="53"/>
      <c r="F1278" s="52" t="str">
        <f aca="false">IF(A1278="","",INDEX(הגדרות!$H$16:$H$27,MONTH(A1278)))</f>
        <v/>
      </c>
    </row>
    <row r="1279" customFormat="false" ht="15" hidden="false" customHeight="false" outlineLevel="0" collapsed="false">
      <c r="A1279" s="55"/>
      <c r="B1279" s="56"/>
      <c r="C1279" s="57" t="str">
        <f aca="false">IF(B1279="","",IFERROR(INDEX(הגדרות!$A$8:$A$53,MATCH(B1279,הגדרות!$B$8:$B$53,0)),"⚠ לא בהגדרות"))</f>
        <v/>
      </c>
      <c r="D1279" s="56"/>
      <c r="E1279" s="58"/>
      <c r="F1279" s="57" t="str">
        <f aca="false">IF(A1279="","",INDEX(הגדרות!$H$16:$H$27,MONTH(A1279)))</f>
        <v/>
      </c>
    </row>
    <row r="1280" customFormat="false" ht="15" hidden="false" customHeight="false" outlineLevel="0" collapsed="false">
      <c r="A1280" s="50"/>
      <c r="B1280" s="51"/>
      <c r="C1280" s="52" t="str">
        <f aca="false">IF(B1280="","",IFERROR(INDEX(הגדרות!$A$8:$A$53,MATCH(B1280,הגדרות!$B$8:$B$53,0)),"⚠ לא בהגדרות"))</f>
        <v/>
      </c>
      <c r="D1280" s="51"/>
      <c r="E1280" s="53"/>
      <c r="F1280" s="52" t="str">
        <f aca="false">IF(A1280="","",INDEX(הגדרות!$H$16:$H$27,MONTH(A1280)))</f>
        <v/>
      </c>
    </row>
    <row r="1281" customFormat="false" ht="15" hidden="false" customHeight="false" outlineLevel="0" collapsed="false">
      <c r="A1281" s="55"/>
      <c r="B1281" s="56"/>
      <c r="C1281" s="57" t="str">
        <f aca="false">IF(B1281="","",IFERROR(INDEX(הגדרות!$A$8:$A$53,MATCH(B1281,הגדרות!$B$8:$B$53,0)),"⚠ לא בהגדרות"))</f>
        <v/>
      </c>
      <c r="D1281" s="56"/>
      <c r="E1281" s="58"/>
      <c r="F1281" s="57" t="str">
        <f aca="false">IF(A1281="","",INDEX(הגדרות!$H$16:$H$27,MONTH(A1281)))</f>
        <v/>
      </c>
    </row>
    <row r="1282" customFormat="false" ht="15" hidden="false" customHeight="false" outlineLevel="0" collapsed="false">
      <c r="A1282" s="50"/>
      <c r="B1282" s="51"/>
      <c r="C1282" s="52" t="str">
        <f aca="false">IF(B1282="","",IFERROR(INDEX(הגדרות!$A$8:$A$53,MATCH(B1282,הגדרות!$B$8:$B$53,0)),"⚠ לא בהגדרות"))</f>
        <v/>
      </c>
      <c r="D1282" s="51"/>
      <c r="E1282" s="53"/>
      <c r="F1282" s="52" t="str">
        <f aca="false">IF(A1282="","",INDEX(הגדרות!$H$16:$H$27,MONTH(A1282)))</f>
        <v/>
      </c>
    </row>
    <row r="1283" customFormat="false" ht="15" hidden="false" customHeight="false" outlineLevel="0" collapsed="false">
      <c r="A1283" s="55"/>
      <c r="B1283" s="56"/>
      <c r="C1283" s="57" t="str">
        <f aca="false">IF(B1283="","",IFERROR(INDEX(הגדרות!$A$8:$A$53,MATCH(B1283,הגדרות!$B$8:$B$53,0)),"⚠ לא בהגדרות"))</f>
        <v/>
      </c>
      <c r="D1283" s="56"/>
      <c r="E1283" s="58"/>
      <c r="F1283" s="57" t="str">
        <f aca="false">IF(A1283="","",INDEX(הגדרות!$H$16:$H$27,MONTH(A1283)))</f>
        <v/>
      </c>
    </row>
    <row r="1284" customFormat="false" ht="15" hidden="false" customHeight="false" outlineLevel="0" collapsed="false">
      <c r="A1284" s="50"/>
      <c r="B1284" s="51"/>
      <c r="C1284" s="52" t="str">
        <f aca="false">IF(B1284="","",IFERROR(INDEX(הגדרות!$A$8:$A$53,MATCH(B1284,הגדרות!$B$8:$B$53,0)),"⚠ לא בהגדרות"))</f>
        <v/>
      </c>
      <c r="D1284" s="51"/>
      <c r="E1284" s="53"/>
      <c r="F1284" s="52" t="str">
        <f aca="false">IF(A1284="","",INDEX(הגדרות!$H$16:$H$27,MONTH(A1284)))</f>
        <v/>
      </c>
    </row>
    <row r="1285" customFormat="false" ht="15" hidden="false" customHeight="false" outlineLevel="0" collapsed="false">
      <c r="A1285" s="55"/>
      <c r="B1285" s="56"/>
      <c r="C1285" s="57" t="str">
        <f aca="false">IF(B1285="","",IFERROR(INDEX(הגדרות!$A$8:$A$53,MATCH(B1285,הגדרות!$B$8:$B$53,0)),"⚠ לא בהגדרות"))</f>
        <v/>
      </c>
      <c r="D1285" s="56"/>
      <c r="E1285" s="58"/>
      <c r="F1285" s="57" t="str">
        <f aca="false">IF(A1285="","",INDEX(הגדרות!$H$16:$H$27,MONTH(A1285)))</f>
        <v/>
      </c>
    </row>
    <row r="1286" customFormat="false" ht="15" hidden="false" customHeight="false" outlineLevel="0" collapsed="false">
      <c r="A1286" s="50"/>
      <c r="B1286" s="51"/>
      <c r="C1286" s="52" t="str">
        <f aca="false">IF(B1286="","",IFERROR(INDEX(הגדרות!$A$8:$A$53,MATCH(B1286,הגדרות!$B$8:$B$53,0)),"⚠ לא בהגדרות"))</f>
        <v/>
      </c>
      <c r="D1286" s="51"/>
      <c r="E1286" s="53"/>
      <c r="F1286" s="52" t="str">
        <f aca="false">IF(A1286="","",INDEX(הגדרות!$H$16:$H$27,MONTH(A1286)))</f>
        <v/>
      </c>
    </row>
    <row r="1287" customFormat="false" ht="15" hidden="false" customHeight="false" outlineLevel="0" collapsed="false">
      <c r="A1287" s="55"/>
      <c r="B1287" s="56"/>
      <c r="C1287" s="57" t="str">
        <f aca="false">IF(B1287="","",IFERROR(INDEX(הגדרות!$A$8:$A$53,MATCH(B1287,הגדרות!$B$8:$B$53,0)),"⚠ לא בהגדרות"))</f>
        <v/>
      </c>
      <c r="D1287" s="56"/>
      <c r="E1287" s="58"/>
      <c r="F1287" s="57" t="str">
        <f aca="false">IF(A1287="","",INDEX(הגדרות!$H$16:$H$27,MONTH(A1287)))</f>
        <v/>
      </c>
    </row>
    <row r="1288" customFormat="false" ht="15" hidden="false" customHeight="false" outlineLevel="0" collapsed="false">
      <c r="A1288" s="50"/>
      <c r="B1288" s="51"/>
      <c r="C1288" s="52" t="str">
        <f aca="false">IF(B1288="","",IFERROR(INDEX(הגדרות!$A$8:$A$53,MATCH(B1288,הגדרות!$B$8:$B$53,0)),"⚠ לא בהגדרות"))</f>
        <v/>
      </c>
      <c r="D1288" s="51"/>
      <c r="E1288" s="53"/>
      <c r="F1288" s="52" t="str">
        <f aca="false">IF(A1288="","",INDEX(הגדרות!$H$16:$H$27,MONTH(A1288)))</f>
        <v/>
      </c>
    </row>
    <row r="1289" customFormat="false" ht="15" hidden="false" customHeight="false" outlineLevel="0" collapsed="false">
      <c r="A1289" s="55"/>
      <c r="B1289" s="56"/>
      <c r="C1289" s="57" t="str">
        <f aca="false">IF(B1289="","",IFERROR(INDEX(הגדרות!$A$8:$A$53,MATCH(B1289,הגדרות!$B$8:$B$53,0)),"⚠ לא בהגדרות"))</f>
        <v/>
      </c>
      <c r="D1289" s="56"/>
      <c r="E1289" s="58"/>
      <c r="F1289" s="57" t="str">
        <f aca="false">IF(A1289="","",INDEX(הגדרות!$H$16:$H$27,MONTH(A1289)))</f>
        <v/>
      </c>
    </row>
    <row r="1290" customFormat="false" ht="15" hidden="false" customHeight="false" outlineLevel="0" collapsed="false">
      <c r="A1290" s="50"/>
      <c r="B1290" s="51"/>
      <c r="C1290" s="52" t="str">
        <f aca="false">IF(B1290="","",IFERROR(INDEX(הגדרות!$A$8:$A$53,MATCH(B1290,הגדרות!$B$8:$B$53,0)),"⚠ לא בהגדרות"))</f>
        <v/>
      </c>
      <c r="D1290" s="51"/>
      <c r="E1290" s="53"/>
      <c r="F1290" s="52" t="str">
        <f aca="false">IF(A1290="","",INDEX(הגדרות!$H$16:$H$27,MONTH(A1290)))</f>
        <v/>
      </c>
    </row>
    <row r="1291" customFormat="false" ht="15" hidden="false" customHeight="false" outlineLevel="0" collapsed="false">
      <c r="A1291" s="55"/>
      <c r="B1291" s="56"/>
      <c r="C1291" s="57" t="str">
        <f aca="false">IF(B1291="","",IFERROR(INDEX(הגדרות!$A$8:$A$53,MATCH(B1291,הגדרות!$B$8:$B$53,0)),"⚠ לא בהגדרות"))</f>
        <v/>
      </c>
      <c r="D1291" s="56"/>
      <c r="E1291" s="58"/>
      <c r="F1291" s="57" t="str">
        <f aca="false">IF(A1291="","",INDEX(הגדרות!$H$16:$H$27,MONTH(A1291)))</f>
        <v/>
      </c>
    </row>
    <row r="1292" customFormat="false" ht="15" hidden="false" customHeight="false" outlineLevel="0" collapsed="false">
      <c r="A1292" s="50"/>
      <c r="B1292" s="51"/>
      <c r="C1292" s="52" t="str">
        <f aca="false">IF(B1292="","",IFERROR(INDEX(הגדרות!$A$8:$A$53,MATCH(B1292,הגדרות!$B$8:$B$53,0)),"⚠ לא בהגדרות"))</f>
        <v/>
      </c>
      <c r="D1292" s="51"/>
      <c r="E1292" s="53"/>
      <c r="F1292" s="52" t="str">
        <f aca="false">IF(A1292="","",INDEX(הגדרות!$H$16:$H$27,MONTH(A1292)))</f>
        <v/>
      </c>
    </row>
    <row r="1293" customFormat="false" ht="15" hidden="false" customHeight="false" outlineLevel="0" collapsed="false">
      <c r="A1293" s="55"/>
      <c r="B1293" s="56"/>
      <c r="C1293" s="57" t="str">
        <f aca="false">IF(B1293="","",IFERROR(INDEX(הגדרות!$A$8:$A$53,MATCH(B1293,הגדרות!$B$8:$B$53,0)),"⚠ לא בהגדרות"))</f>
        <v/>
      </c>
      <c r="D1293" s="56"/>
      <c r="E1293" s="58"/>
      <c r="F1293" s="57" t="str">
        <f aca="false">IF(A1293="","",INDEX(הגדרות!$H$16:$H$27,MONTH(A1293)))</f>
        <v/>
      </c>
    </row>
    <row r="1294" customFormat="false" ht="15" hidden="false" customHeight="false" outlineLevel="0" collapsed="false">
      <c r="A1294" s="50"/>
      <c r="B1294" s="51"/>
      <c r="C1294" s="52" t="str">
        <f aca="false">IF(B1294="","",IFERROR(INDEX(הגדרות!$A$8:$A$53,MATCH(B1294,הגדרות!$B$8:$B$53,0)),"⚠ לא בהגדרות"))</f>
        <v/>
      </c>
      <c r="D1294" s="51"/>
      <c r="E1294" s="53"/>
      <c r="F1294" s="52" t="str">
        <f aca="false">IF(A1294="","",INDEX(הגדרות!$H$16:$H$27,MONTH(A1294)))</f>
        <v/>
      </c>
    </row>
    <row r="1295" customFormat="false" ht="15" hidden="false" customHeight="false" outlineLevel="0" collapsed="false">
      <c r="A1295" s="55"/>
      <c r="B1295" s="56"/>
      <c r="C1295" s="57" t="str">
        <f aca="false">IF(B1295="","",IFERROR(INDEX(הגדרות!$A$8:$A$53,MATCH(B1295,הגדרות!$B$8:$B$53,0)),"⚠ לא בהגדרות"))</f>
        <v/>
      </c>
      <c r="D1295" s="56"/>
      <c r="E1295" s="58"/>
      <c r="F1295" s="57" t="str">
        <f aca="false">IF(A1295="","",INDEX(הגדרות!$H$16:$H$27,MONTH(A1295)))</f>
        <v/>
      </c>
    </row>
    <row r="1296" customFormat="false" ht="15" hidden="false" customHeight="false" outlineLevel="0" collapsed="false">
      <c r="A1296" s="50"/>
      <c r="B1296" s="51"/>
      <c r="C1296" s="52" t="str">
        <f aca="false">IF(B1296="","",IFERROR(INDEX(הגדרות!$A$8:$A$53,MATCH(B1296,הגדרות!$B$8:$B$53,0)),"⚠ לא בהגדרות"))</f>
        <v/>
      </c>
      <c r="D1296" s="51"/>
      <c r="E1296" s="53"/>
      <c r="F1296" s="52" t="str">
        <f aca="false">IF(A1296="","",INDEX(הגדרות!$H$16:$H$27,MONTH(A1296)))</f>
        <v/>
      </c>
    </row>
    <row r="1297" customFormat="false" ht="15" hidden="false" customHeight="false" outlineLevel="0" collapsed="false">
      <c r="A1297" s="55"/>
      <c r="B1297" s="56"/>
      <c r="C1297" s="57" t="str">
        <f aca="false">IF(B1297="","",IFERROR(INDEX(הגדרות!$A$8:$A$53,MATCH(B1297,הגדרות!$B$8:$B$53,0)),"⚠ לא בהגדרות"))</f>
        <v/>
      </c>
      <c r="D1297" s="56"/>
      <c r="E1297" s="58"/>
      <c r="F1297" s="57" t="str">
        <f aca="false">IF(A1297="","",INDEX(הגדרות!$H$16:$H$27,MONTH(A1297)))</f>
        <v/>
      </c>
    </row>
    <row r="1298" customFormat="false" ht="15" hidden="false" customHeight="false" outlineLevel="0" collapsed="false">
      <c r="A1298" s="50"/>
      <c r="B1298" s="51"/>
      <c r="C1298" s="52" t="str">
        <f aca="false">IF(B1298="","",IFERROR(INDEX(הגדרות!$A$8:$A$53,MATCH(B1298,הגדרות!$B$8:$B$53,0)),"⚠ לא בהגדרות"))</f>
        <v/>
      </c>
      <c r="D1298" s="51"/>
      <c r="E1298" s="53"/>
      <c r="F1298" s="52" t="str">
        <f aca="false">IF(A1298="","",INDEX(הגדרות!$H$16:$H$27,MONTH(A1298)))</f>
        <v/>
      </c>
    </row>
    <row r="1299" customFormat="false" ht="15" hidden="false" customHeight="false" outlineLevel="0" collapsed="false">
      <c r="A1299" s="55"/>
      <c r="B1299" s="56"/>
      <c r="C1299" s="57" t="str">
        <f aca="false">IF(B1299="","",IFERROR(INDEX(הגדרות!$A$8:$A$53,MATCH(B1299,הגדרות!$B$8:$B$53,0)),"⚠ לא בהגדרות"))</f>
        <v/>
      </c>
      <c r="D1299" s="56"/>
      <c r="E1299" s="58"/>
      <c r="F1299" s="57" t="str">
        <f aca="false">IF(A1299="","",INDEX(הגדרות!$H$16:$H$27,MONTH(A1299)))</f>
        <v/>
      </c>
    </row>
    <row r="1300" customFormat="false" ht="15" hidden="false" customHeight="false" outlineLevel="0" collapsed="false">
      <c r="A1300" s="50"/>
      <c r="B1300" s="51"/>
      <c r="C1300" s="52" t="str">
        <f aca="false">IF(B1300="","",IFERROR(INDEX(הגדרות!$A$8:$A$53,MATCH(B1300,הגדרות!$B$8:$B$53,0)),"⚠ לא בהגדרות"))</f>
        <v/>
      </c>
      <c r="D1300" s="51"/>
      <c r="E1300" s="53"/>
      <c r="F1300" s="52" t="str">
        <f aca="false">IF(A1300="","",INDEX(הגדרות!$H$16:$H$27,MONTH(A1300)))</f>
        <v/>
      </c>
    </row>
    <row r="1301" customFormat="false" ht="15" hidden="false" customHeight="false" outlineLevel="0" collapsed="false">
      <c r="A1301" s="55"/>
      <c r="B1301" s="56"/>
      <c r="C1301" s="57" t="str">
        <f aca="false">IF(B1301="","",IFERROR(INDEX(הגדרות!$A$8:$A$53,MATCH(B1301,הגדרות!$B$8:$B$53,0)),"⚠ לא בהגדרות"))</f>
        <v/>
      </c>
      <c r="D1301" s="56"/>
      <c r="E1301" s="58"/>
      <c r="F1301" s="57" t="str">
        <f aca="false">IF(A1301="","",INDEX(הגדרות!$H$16:$H$27,MONTH(A1301)))</f>
        <v/>
      </c>
    </row>
    <row r="1302" customFormat="false" ht="15" hidden="false" customHeight="false" outlineLevel="0" collapsed="false">
      <c r="A1302" s="50"/>
      <c r="B1302" s="51"/>
      <c r="C1302" s="52" t="str">
        <f aca="false">IF(B1302="","",IFERROR(INDEX(הגדרות!$A$8:$A$53,MATCH(B1302,הגדרות!$B$8:$B$53,0)),"⚠ לא בהגדרות"))</f>
        <v/>
      </c>
      <c r="D1302" s="51"/>
      <c r="E1302" s="53"/>
      <c r="F1302" s="52" t="str">
        <f aca="false">IF(A1302="","",INDEX(הגדרות!$H$16:$H$27,MONTH(A1302)))</f>
        <v/>
      </c>
    </row>
    <row r="1303" customFormat="false" ht="15" hidden="false" customHeight="false" outlineLevel="0" collapsed="false">
      <c r="A1303" s="55"/>
      <c r="B1303" s="56"/>
      <c r="C1303" s="57" t="str">
        <f aca="false">IF(B1303="","",IFERROR(INDEX(הגדרות!$A$8:$A$53,MATCH(B1303,הגדרות!$B$8:$B$53,0)),"⚠ לא בהגדרות"))</f>
        <v/>
      </c>
      <c r="D1303" s="56"/>
      <c r="E1303" s="58"/>
      <c r="F1303" s="57" t="str">
        <f aca="false">IF(A1303="","",INDEX(הגדרות!$H$16:$H$27,MONTH(A1303)))</f>
        <v/>
      </c>
    </row>
    <row r="1304" customFormat="false" ht="15" hidden="false" customHeight="false" outlineLevel="0" collapsed="false">
      <c r="A1304" s="50"/>
      <c r="B1304" s="51"/>
      <c r="C1304" s="52" t="str">
        <f aca="false">IF(B1304="","",IFERROR(INDEX(הגדרות!$A$8:$A$53,MATCH(B1304,הגדרות!$B$8:$B$53,0)),"⚠ לא בהגדרות"))</f>
        <v/>
      </c>
      <c r="D1304" s="51"/>
      <c r="E1304" s="53"/>
      <c r="F1304" s="52" t="str">
        <f aca="false">IF(A1304="","",INDEX(הגדרות!$H$16:$H$27,MONTH(A1304)))</f>
        <v/>
      </c>
    </row>
    <row r="1305" customFormat="false" ht="15" hidden="false" customHeight="false" outlineLevel="0" collapsed="false">
      <c r="A1305" s="55"/>
      <c r="B1305" s="56"/>
      <c r="C1305" s="57" t="str">
        <f aca="false">IF(B1305="","",IFERROR(INDEX(הגדרות!$A$8:$A$53,MATCH(B1305,הגדרות!$B$8:$B$53,0)),"⚠ לא בהגדרות"))</f>
        <v/>
      </c>
      <c r="D1305" s="56"/>
      <c r="E1305" s="58"/>
      <c r="F1305" s="57" t="str">
        <f aca="false">IF(A1305="","",INDEX(הגדרות!$H$16:$H$27,MONTH(A1305)))</f>
        <v/>
      </c>
    </row>
    <row r="1306" customFormat="false" ht="15" hidden="false" customHeight="false" outlineLevel="0" collapsed="false">
      <c r="A1306" s="50"/>
      <c r="B1306" s="51"/>
      <c r="C1306" s="52" t="str">
        <f aca="false">IF(B1306="","",IFERROR(INDEX(הגדרות!$A$8:$A$53,MATCH(B1306,הגדרות!$B$8:$B$53,0)),"⚠ לא בהגדרות"))</f>
        <v/>
      </c>
      <c r="D1306" s="51"/>
      <c r="E1306" s="53"/>
      <c r="F1306" s="52" t="str">
        <f aca="false">IF(A1306="","",INDEX(הגדרות!$H$16:$H$27,MONTH(A1306)))</f>
        <v/>
      </c>
    </row>
    <row r="1307" customFormat="false" ht="15" hidden="false" customHeight="false" outlineLevel="0" collapsed="false">
      <c r="A1307" s="55"/>
      <c r="B1307" s="56"/>
      <c r="C1307" s="57" t="str">
        <f aca="false">IF(B1307="","",IFERROR(INDEX(הגדרות!$A$8:$A$53,MATCH(B1307,הגדרות!$B$8:$B$53,0)),"⚠ לא בהגדרות"))</f>
        <v/>
      </c>
      <c r="D1307" s="56"/>
      <c r="E1307" s="58"/>
      <c r="F1307" s="57" t="str">
        <f aca="false">IF(A1307="","",INDEX(הגדרות!$H$16:$H$27,MONTH(A1307)))</f>
        <v/>
      </c>
    </row>
    <row r="1308" customFormat="false" ht="15" hidden="false" customHeight="false" outlineLevel="0" collapsed="false">
      <c r="A1308" s="50"/>
      <c r="B1308" s="51"/>
      <c r="C1308" s="52" t="str">
        <f aca="false">IF(B1308="","",IFERROR(INDEX(הגדרות!$A$8:$A$53,MATCH(B1308,הגדרות!$B$8:$B$53,0)),"⚠ לא בהגדרות"))</f>
        <v/>
      </c>
      <c r="D1308" s="51"/>
      <c r="E1308" s="53"/>
      <c r="F1308" s="52" t="str">
        <f aca="false">IF(A1308="","",INDEX(הגדרות!$H$16:$H$27,MONTH(A1308)))</f>
        <v/>
      </c>
    </row>
    <row r="1309" customFormat="false" ht="15" hidden="false" customHeight="false" outlineLevel="0" collapsed="false">
      <c r="A1309" s="55"/>
      <c r="B1309" s="56"/>
      <c r="C1309" s="57" t="str">
        <f aca="false">IF(B1309="","",IFERROR(INDEX(הגדרות!$A$8:$A$53,MATCH(B1309,הגדרות!$B$8:$B$53,0)),"⚠ לא בהגדרות"))</f>
        <v/>
      </c>
      <c r="D1309" s="56"/>
      <c r="E1309" s="58"/>
      <c r="F1309" s="57" t="str">
        <f aca="false">IF(A1309="","",INDEX(הגדרות!$H$16:$H$27,MONTH(A1309)))</f>
        <v/>
      </c>
    </row>
    <row r="1310" customFormat="false" ht="15" hidden="false" customHeight="false" outlineLevel="0" collapsed="false">
      <c r="A1310" s="50"/>
      <c r="B1310" s="51"/>
      <c r="C1310" s="52" t="str">
        <f aca="false">IF(B1310="","",IFERROR(INDEX(הגדרות!$A$8:$A$53,MATCH(B1310,הגדרות!$B$8:$B$53,0)),"⚠ לא בהגדרות"))</f>
        <v/>
      </c>
      <c r="D1310" s="51"/>
      <c r="E1310" s="53"/>
      <c r="F1310" s="52" t="str">
        <f aca="false">IF(A1310="","",INDEX(הגדרות!$H$16:$H$27,MONTH(A1310)))</f>
        <v/>
      </c>
    </row>
    <row r="1311" customFormat="false" ht="15" hidden="false" customHeight="false" outlineLevel="0" collapsed="false">
      <c r="A1311" s="55"/>
      <c r="B1311" s="56"/>
      <c r="C1311" s="57" t="str">
        <f aca="false">IF(B1311="","",IFERROR(INDEX(הגדרות!$A$8:$A$53,MATCH(B1311,הגדרות!$B$8:$B$53,0)),"⚠ לא בהגדרות"))</f>
        <v/>
      </c>
      <c r="D1311" s="56"/>
      <c r="E1311" s="58"/>
      <c r="F1311" s="57" t="str">
        <f aca="false">IF(A1311="","",INDEX(הגדרות!$H$16:$H$27,MONTH(A1311)))</f>
        <v/>
      </c>
    </row>
    <row r="1312" customFormat="false" ht="15" hidden="false" customHeight="false" outlineLevel="0" collapsed="false">
      <c r="A1312" s="50"/>
      <c r="B1312" s="51"/>
      <c r="C1312" s="52" t="str">
        <f aca="false">IF(B1312="","",IFERROR(INDEX(הגדרות!$A$8:$A$53,MATCH(B1312,הגדרות!$B$8:$B$53,0)),"⚠ לא בהגדרות"))</f>
        <v/>
      </c>
      <c r="D1312" s="51"/>
      <c r="E1312" s="53"/>
      <c r="F1312" s="52" t="str">
        <f aca="false">IF(A1312="","",INDEX(הגדרות!$H$16:$H$27,MONTH(A1312)))</f>
        <v/>
      </c>
    </row>
    <row r="1313" customFormat="false" ht="15" hidden="false" customHeight="false" outlineLevel="0" collapsed="false">
      <c r="A1313" s="55"/>
      <c r="B1313" s="56"/>
      <c r="C1313" s="57" t="str">
        <f aca="false">IF(B1313="","",IFERROR(INDEX(הגדרות!$A$8:$A$53,MATCH(B1313,הגדרות!$B$8:$B$53,0)),"⚠ לא בהגדרות"))</f>
        <v/>
      </c>
      <c r="D1313" s="56"/>
      <c r="E1313" s="58"/>
      <c r="F1313" s="57" t="str">
        <f aca="false">IF(A1313="","",INDEX(הגדרות!$H$16:$H$27,MONTH(A1313)))</f>
        <v/>
      </c>
    </row>
    <row r="1314" customFormat="false" ht="15" hidden="false" customHeight="false" outlineLevel="0" collapsed="false">
      <c r="A1314" s="50"/>
      <c r="B1314" s="51"/>
      <c r="C1314" s="52" t="str">
        <f aca="false">IF(B1314="","",IFERROR(INDEX(הגדרות!$A$8:$A$53,MATCH(B1314,הגדרות!$B$8:$B$53,0)),"⚠ לא בהגדרות"))</f>
        <v/>
      </c>
      <c r="D1314" s="51"/>
      <c r="E1314" s="53"/>
      <c r="F1314" s="52" t="str">
        <f aca="false">IF(A1314="","",INDEX(הגדרות!$H$16:$H$27,MONTH(A1314)))</f>
        <v/>
      </c>
    </row>
    <row r="1315" customFormat="false" ht="15" hidden="false" customHeight="false" outlineLevel="0" collapsed="false">
      <c r="A1315" s="55"/>
      <c r="B1315" s="56"/>
      <c r="C1315" s="57" t="str">
        <f aca="false">IF(B1315="","",IFERROR(INDEX(הגדרות!$A$8:$A$53,MATCH(B1315,הגדרות!$B$8:$B$53,0)),"⚠ לא בהגדרות"))</f>
        <v/>
      </c>
      <c r="D1315" s="56"/>
      <c r="E1315" s="58"/>
      <c r="F1315" s="57" t="str">
        <f aca="false">IF(A1315="","",INDEX(הגדרות!$H$16:$H$27,MONTH(A1315)))</f>
        <v/>
      </c>
    </row>
    <row r="1316" customFormat="false" ht="15" hidden="false" customHeight="false" outlineLevel="0" collapsed="false">
      <c r="A1316" s="50"/>
      <c r="B1316" s="51"/>
      <c r="C1316" s="52" t="str">
        <f aca="false">IF(B1316="","",IFERROR(INDEX(הגדרות!$A$8:$A$53,MATCH(B1316,הגדרות!$B$8:$B$53,0)),"⚠ לא בהגדרות"))</f>
        <v/>
      </c>
      <c r="D1316" s="51"/>
      <c r="E1316" s="53"/>
      <c r="F1316" s="52" t="str">
        <f aca="false">IF(A1316="","",INDEX(הגדרות!$H$16:$H$27,MONTH(A1316)))</f>
        <v/>
      </c>
    </row>
    <row r="1317" customFormat="false" ht="15" hidden="false" customHeight="false" outlineLevel="0" collapsed="false">
      <c r="A1317" s="55"/>
      <c r="B1317" s="56"/>
      <c r="C1317" s="57" t="str">
        <f aca="false">IF(B1317="","",IFERROR(INDEX(הגדרות!$A$8:$A$53,MATCH(B1317,הגדרות!$B$8:$B$53,0)),"⚠ לא בהגדרות"))</f>
        <v/>
      </c>
      <c r="D1317" s="56"/>
      <c r="E1317" s="58"/>
      <c r="F1317" s="57" t="str">
        <f aca="false">IF(A1317="","",INDEX(הגדרות!$H$16:$H$27,MONTH(A1317)))</f>
        <v/>
      </c>
    </row>
    <row r="1318" customFormat="false" ht="15" hidden="false" customHeight="false" outlineLevel="0" collapsed="false">
      <c r="A1318" s="50"/>
      <c r="B1318" s="51"/>
      <c r="C1318" s="52" t="str">
        <f aca="false">IF(B1318="","",IFERROR(INDEX(הגדרות!$A$8:$A$53,MATCH(B1318,הגדרות!$B$8:$B$53,0)),"⚠ לא בהגדרות"))</f>
        <v/>
      </c>
      <c r="D1318" s="51"/>
      <c r="E1318" s="53"/>
      <c r="F1318" s="52" t="str">
        <f aca="false">IF(A1318="","",INDEX(הגדרות!$H$16:$H$27,MONTH(A1318)))</f>
        <v/>
      </c>
    </row>
    <row r="1319" customFormat="false" ht="15" hidden="false" customHeight="false" outlineLevel="0" collapsed="false">
      <c r="A1319" s="55"/>
      <c r="B1319" s="56"/>
      <c r="C1319" s="57" t="str">
        <f aca="false">IF(B1319="","",IFERROR(INDEX(הגדרות!$A$8:$A$53,MATCH(B1319,הגדרות!$B$8:$B$53,0)),"⚠ לא בהגדרות"))</f>
        <v/>
      </c>
      <c r="D1319" s="56"/>
      <c r="E1319" s="58"/>
      <c r="F1319" s="57" t="str">
        <f aca="false">IF(A1319="","",INDEX(הגדרות!$H$16:$H$27,MONTH(A1319)))</f>
        <v/>
      </c>
    </row>
    <row r="1320" customFormat="false" ht="15" hidden="false" customHeight="false" outlineLevel="0" collapsed="false">
      <c r="A1320" s="50"/>
      <c r="B1320" s="51"/>
      <c r="C1320" s="52" t="str">
        <f aca="false">IF(B1320="","",IFERROR(INDEX(הגדרות!$A$8:$A$53,MATCH(B1320,הגדרות!$B$8:$B$53,0)),"⚠ לא בהגדרות"))</f>
        <v/>
      </c>
      <c r="D1320" s="51"/>
      <c r="E1320" s="53"/>
      <c r="F1320" s="52" t="str">
        <f aca="false">IF(A1320="","",INDEX(הגדרות!$H$16:$H$27,MONTH(A1320)))</f>
        <v/>
      </c>
    </row>
    <row r="1321" customFormat="false" ht="15" hidden="false" customHeight="false" outlineLevel="0" collapsed="false">
      <c r="A1321" s="55"/>
      <c r="B1321" s="56"/>
      <c r="C1321" s="57" t="str">
        <f aca="false">IF(B1321="","",IFERROR(INDEX(הגדרות!$A$8:$A$53,MATCH(B1321,הגדרות!$B$8:$B$53,0)),"⚠ לא בהגדרות"))</f>
        <v/>
      </c>
      <c r="D1321" s="56"/>
      <c r="E1321" s="58"/>
      <c r="F1321" s="57" t="str">
        <f aca="false">IF(A1321="","",INDEX(הגדרות!$H$16:$H$27,MONTH(A1321)))</f>
        <v/>
      </c>
    </row>
    <row r="1322" customFormat="false" ht="15" hidden="false" customHeight="false" outlineLevel="0" collapsed="false">
      <c r="A1322" s="50"/>
      <c r="B1322" s="51"/>
      <c r="C1322" s="52" t="str">
        <f aca="false">IF(B1322="","",IFERROR(INDEX(הגדרות!$A$8:$A$53,MATCH(B1322,הגדרות!$B$8:$B$53,0)),"⚠ לא בהגדרות"))</f>
        <v/>
      </c>
      <c r="D1322" s="51"/>
      <c r="E1322" s="53"/>
      <c r="F1322" s="52" t="str">
        <f aca="false">IF(A1322="","",INDEX(הגדרות!$H$16:$H$27,MONTH(A1322)))</f>
        <v/>
      </c>
    </row>
    <row r="1323" customFormat="false" ht="15" hidden="false" customHeight="false" outlineLevel="0" collapsed="false">
      <c r="A1323" s="55"/>
      <c r="B1323" s="56"/>
      <c r="C1323" s="57" t="str">
        <f aca="false">IF(B1323="","",IFERROR(INDEX(הגדרות!$A$8:$A$53,MATCH(B1323,הגדרות!$B$8:$B$53,0)),"⚠ לא בהגדרות"))</f>
        <v/>
      </c>
      <c r="D1323" s="56"/>
      <c r="E1323" s="58"/>
      <c r="F1323" s="57" t="str">
        <f aca="false">IF(A1323="","",INDEX(הגדרות!$H$16:$H$27,MONTH(A1323)))</f>
        <v/>
      </c>
    </row>
    <row r="1324" customFormat="false" ht="15" hidden="false" customHeight="false" outlineLevel="0" collapsed="false">
      <c r="A1324" s="50"/>
      <c r="B1324" s="51"/>
      <c r="C1324" s="52" t="str">
        <f aca="false">IF(B1324="","",IFERROR(INDEX(הגדרות!$A$8:$A$53,MATCH(B1324,הגדרות!$B$8:$B$53,0)),"⚠ לא בהגדרות"))</f>
        <v/>
      </c>
      <c r="D1324" s="51"/>
      <c r="E1324" s="53"/>
      <c r="F1324" s="52" t="str">
        <f aca="false">IF(A1324="","",INDEX(הגדרות!$H$16:$H$27,MONTH(A1324)))</f>
        <v/>
      </c>
    </row>
    <row r="1325" customFormat="false" ht="15" hidden="false" customHeight="false" outlineLevel="0" collapsed="false">
      <c r="A1325" s="55"/>
      <c r="B1325" s="56"/>
      <c r="C1325" s="57" t="str">
        <f aca="false">IF(B1325="","",IFERROR(INDEX(הגדרות!$A$8:$A$53,MATCH(B1325,הגדרות!$B$8:$B$53,0)),"⚠ לא בהגדרות"))</f>
        <v/>
      </c>
      <c r="D1325" s="56"/>
      <c r="E1325" s="58"/>
      <c r="F1325" s="57" t="str">
        <f aca="false">IF(A1325="","",INDEX(הגדרות!$H$16:$H$27,MONTH(A1325)))</f>
        <v/>
      </c>
    </row>
    <row r="1326" customFormat="false" ht="15" hidden="false" customHeight="false" outlineLevel="0" collapsed="false">
      <c r="A1326" s="50"/>
      <c r="B1326" s="51"/>
      <c r="C1326" s="52" t="str">
        <f aca="false">IF(B1326="","",IFERROR(INDEX(הגדרות!$A$8:$A$53,MATCH(B1326,הגדרות!$B$8:$B$53,0)),"⚠ לא בהגדרות"))</f>
        <v/>
      </c>
      <c r="D1326" s="51"/>
      <c r="E1326" s="53"/>
      <c r="F1326" s="52" t="str">
        <f aca="false">IF(A1326="","",INDEX(הגדרות!$H$16:$H$27,MONTH(A1326)))</f>
        <v/>
      </c>
    </row>
    <row r="1327" customFormat="false" ht="15" hidden="false" customHeight="false" outlineLevel="0" collapsed="false">
      <c r="A1327" s="55"/>
      <c r="B1327" s="56"/>
      <c r="C1327" s="57" t="str">
        <f aca="false">IF(B1327="","",IFERROR(INDEX(הגדרות!$A$8:$A$53,MATCH(B1327,הגדרות!$B$8:$B$53,0)),"⚠ לא בהגדרות"))</f>
        <v/>
      </c>
      <c r="D1327" s="56"/>
      <c r="E1327" s="58"/>
      <c r="F1327" s="57" t="str">
        <f aca="false">IF(A1327="","",INDEX(הגדרות!$H$16:$H$27,MONTH(A1327)))</f>
        <v/>
      </c>
    </row>
    <row r="1328" customFormat="false" ht="15" hidden="false" customHeight="false" outlineLevel="0" collapsed="false">
      <c r="A1328" s="50"/>
      <c r="B1328" s="51"/>
      <c r="C1328" s="52" t="str">
        <f aca="false">IF(B1328="","",IFERROR(INDEX(הגדרות!$A$8:$A$53,MATCH(B1328,הגדרות!$B$8:$B$53,0)),"⚠ לא בהגדרות"))</f>
        <v/>
      </c>
      <c r="D1328" s="51"/>
      <c r="E1328" s="53"/>
      <c r="F1328" s="52" t="str">
        <f aca="false">IF(A1328="","",INDEX(הגדרות!$H$16:$H$27,MONTH(A1328)))</f>
        <v/>
      </c>
    </row>
    <row r="1329" customFormat="false" ht="15" hidden="false" customHeight="false" outlineLevel="0" collapsed="false">
      <c r="A1329" s="55"/>
      <c r="B1329" s="56"/>
      <c r="C1329" s="57" t="str">
        <f aca="false">IF(B1329="","",IFERROR(INDEX(הגדרות!$A$8:$A$53,MATCH(B1329,הגדרות!$B$8:$B$53,0)),"⚠ לא בהגדרות"))</f>
        <v/>
      </c>
      <c r="D1329" s="56"/>
      <c r="E1329" s="58"/>
      <c r="F1329" s="57" t="str">
        <f aca="false">IF(A1329="","",INDEX(הגדרות!$H$16:$H$27,MONTH(A1329)))</f>
        <v/>
      </c>
    </row>
    <row r="1330" customFormat="false" ht="15" hidden="false" customHeight="false" outlineLevel="0" collapsed="false">
      <c r="A1330" s="50"/>
      <c r="B1330" s="51"/>
      <c r="C1330" s="52" t="str">
        <f aca="false">IF(B1330="","",IFERROR(INDEX(הגדרות!$A$8:$A$53,MATCH(B1330,הגדרות!$B$8:$B$53,0)),"⚠ לא בהגדרות"))</f>
        <v/>
      </c>
      <c r="D1330" s="51"/>
      <c r="E1330" s="53"/>
      <c r="F1330" s="52" t="str">
        <f aca="false">IF(A1330="","",INDEX(הגדרות!$H$16:$H$27,MONTH(A1330)))</f>
        <v/>
      </c>
    </row>
    <row r="1331" customFormat="false" ht="15" hidden="false" customHeight="false" outlineLevel="0" collapsed="false">
      <c r="A1331" s="55"/>
      <c r="B1331" s="56"/>
      <c r="C1331" s="57" t="str">
        <f aca="false">IF(B1331="","",IFERROR(INDEX(הגדרות!$A$8:$A$53,MATCH(B1331,הגדרות!$B$8:$B$53,0)),"⚠ לא בהגדרות"))</f>
        <v/>
      </c>
      <c r="D1331" s="56"/>
      <c r="E1331" s="58"/>
      <c r="F1331" s="57" t="str">
        <f aca="false">IF(A1331="","",INDEX(הגדרות!$H$16:$H$27,MONTH(A1331)))</f>
        <v/>
      </c>
    </row>
    <row r="1332" customFormat="false" ht="15" hidden="false" customHeight="false" outlineLevel="0" collapsed="false">
      <c r="A1332" s="50"/>
      <c r="B1332" s="51"/>
      <c r="C1332" s="52" t="str">
        <f aca="false">IF(B1332="","",IFERROR(INDEX(הגדרות!$A$8:$A$53,MATCH(B1332,הגדרות!$B$8:$B$53,0)),"⚠ לא בהגדרות"))</f>
        <v/>
      </c>
      <c r="D1332" s="51"/>
      <c r="E1332" s="53"/>
      <c r="F1332" s="52" t="str">
        <f aca="false">IF(A1332="","",INDEX(הגדרות!$H$16:$H$27,MONTH(A1332)))</f>
        <v/>
      </c>
    </row>
    <row r="1333" customFormat="false" ht="15" hidden="false" customHeight="false" outlineLevel="0" collapsed="false">
      <c r="A1333" s="55"/>
      <c r="B1333" s="56"/>
      <c r="C1333" s="57" t="str">
        <f aca="false">IF(B1333="","",IFERROR(INDEX(הגדרות!$A$8:$A$53,MATCH(B1333,הגדרות!$B$8:$B$53,0)),"⚠ לא בהגדרות"))</f>
        <v/>
      </c>
      <c r="D1333" s="56"/>
      <c r="E1333" s="58"/>
      <c r="F1333" s="57" t="str">
        <f aca="false">IF(A1333="","",INDEX(הגדרות!$H$16:$H$27,MONTH(A1333)))</f>
        <v/>
      </c>
    </row>
    <row r="1334" customFormat="false" ht="15" hidden="false" customHeight="false" outlineLevel="0" collapsed="false">
      <c r="A1334" s="50"/>
      <c r="B1334" s="51"/>
      <c r="C1334" s="52" t="str">
        <f aca="false">IF(B1334="","",IFERROR(INDEX(הגדרות!$A$8:$A$53,MATCH(B1334,הגדרות!$B$8:$B$53,0)),"⚠ לא בהגדרות"))</f>
        <v/>
      </c>
      <c r="D1334" s="51"/>
      <c r="E1334" s="53"/>
      <c r="F1334" s="52" t="str">
        <f aca="false">IF(A1334="","",INDEX(הגדרות!$H$16:$H$27,MONTH(A1334)))</f>
        <v/>
      </c>
    </row>
    <row r="1335" customFormat="false" ht="15" hidden="false" customHeight="false" outlineLevel="0" collapsed="false">
      <c r="A1335" s="55"/>
      <c r="B1335" s="56"/>
      <c r="C1335" s="57" t="str">
        <f aca="false">IF(B1335="","",IFERROR(INDEX(הגדרות!$A$8:$A$53,MATCH(B1335,הגדרות!$B$8:$B$53,0)),"⚠ לא בהגדרות"))</f>
        <v/>
      </c>
      <c r="D1335" s="56"/>
      <c r="E1335" s="58"/>
      <c r="F1335" s="57" t="str">
        <f aca="false">IF(A1335="","",INDEX(הגדרות!$H$16:$H$27,MONTH(A1335)))</f>
        <v/>
      </c>
    </row>
    <row r="1336" customFormat="false" ht="15" hidden="false" customHeight="false" outlineLevel="0" collapsed="false">
      <c r="A1336" s="50"/>
      <c r="B1336" s="51"/>
      <c r="C1336" s="52" t="str">
        <f aca="false">IF(B1336="","",IFERROR(INDEX(הגדרות!$A$8:$A$53,MATCH(B1336,הגדרות!$B$8:$B$53,0)),"⚠ לא בהגדרות"))</f>
        <v/>
      </c>
      <c r="D1336" s="51"/>
      <c r="E1336" s="53"/>
      <c r="F1336" s="52" t="str">
        <f aca="false">IF(A1336="","",INDEX(הגדרות!$H$16:$H$27,MONTH(A1336)))</f>
        <v/>
      </c>
    </row>
    <row r="1337" customFormat="false" ht="15" hidden="false" customHeight="false" outlineLevel="0" collapsed="false">
      <c r="A1337" s="55"/>
      <c r="B1337" s="56"/>
      <c r="C1337" s="57" t="str">
        <f aca="false">IF(B1337="","",IFERROR(INDEX(הגדרות!$A$8:$A$53,MATCH(B1337,הגדרות!$B$8:$B$53,0)),"⚠ לא בהגדרות"))</f>
        <v/>
      </c>
      <c r="D1337" s="56"/>
      <c r="E1337" s="58"/>
      <c r="F1337" s="57" t="str">
        <f aca="false">IF(A1337="","",INDEX(הגדרות!$H$16:$H$27,MONTH(A1337)))</f>
        <v/>
      </c>
    </row>
    <row r="1338" customFormat="false" ht="15" hidden="false" customHeight="false" outlineLevel="0" collapsed="false">
      <c r="A1338" s="50"/>
      <c r="B1338" s="51"/>
      <c r="C1338" s="52" t="str">
        <f aca="false">IF(B1338="","",IFERROR(INDEX(הגדרות!$A$8:$A$53,MATCH(B1338,הגדרות!$B$8:$B$53,0)),"⚠ לא בהגדרות"))</f>
        <v/>
      </c>
      <c r="D1338" s="51"/>
      <c r="E1338" s="53"/>
      <c r="F1338" s="52" t="str">
        <f aca="false">IF(A1338="","",INDEX(הגדרות!$H$16:$H$27,MONTH(A1338)))</f>
        <v/>
      </c>
    </row>
    <row r="1339" customFormat="false" ht="15" hidden="false" customHeight="false" outlineLevel="0" collapsed="false">
      <c r="A1339" s="55"/>
      <c r="B1339" s="56"/>
      <c r="C1339" s="57" t="str">
        <f aca="false">IF(B1339="","",IFERROR(INDEX(הגדרות!$A$8:$A$53,MATCH(B1339,הגדרות!$B$8:$B$53,0)),"⚠ לא בהגדרות"))</f>
        <v/>
      </c>
      <c r="D1339" s="56"/>
      <c r="E1339" s="58"/>
      <c r="F1339" s="57" t="str">
        <f aca="false">IF(A1339="","",INDEX(הגדרות!$H$16:$H$27,MONTH(A1339)))</f>
        <v/>
      </c>
    </row>
    <row r="1340" customFormat="false" ht="15" hidden="false" customHeight="false" outlineLevel="0" collapsed="false">
      <c r="A1340" s="50"/>
      <c r="B1340" s="51"/>
      <c r="C1340" s="52" t="str">
        <f aca="false">IF(B1340="","",IFERROR(INDEX(הגדרות!$A$8:$A$53,MATCH(B1340,הגדרות!$B$8:$B$53,0)),"⚠ לא בהגדרות"))</f>
        <v/>
      </c>
      <c r="D1340" s="51"/>
      <c r="E1340" s="53"/>
      <c r="F1340" s="52" t="str">
        <f aca="false">IF(A1340="","",INDEX(הגדרות!$H$16:$H$27,MONTH(A1340)))</f>
        <v/>
      </c>
    </row>
    <row r="1341" customFormat="false" ht="15" hidden="false" customHeight="false" outlineLevel="0" collapsed="false">
      <c r="A1341" s="55"/>
      <c r="B1341" s="56"/>
      <c r="C1341" s="57" t="str">
        <f aca="false">IF(B1341="","",IFERROR(INDEX(הגדרות!$A$8:$A$53,MATCH(B1341,הגדרות!$B$8:$B$53,0)),"⚠ לא בהגדרות"))</f>
        <v/>
      </c>
      <c r="D1341" s="56"/>
      <c r="E1341" s="58"/>
      <c r="F1341" s="57" t="str">
        <f aca="false">IF(A1341="","",INDEX(הגדרות!$H$16:$H$27,MONTH(A1341)))</f>
        <v/>
      </c>
    </row>
    <row r="1342" customFormat="false" ht="15" hidden="false" customHeight="false" outlineLevel="0" collapsed="false">
      <c r="A1342" s="50"/>
      <c r="B1342" s="51"/>
      <c r="C1342" s="52" t="str">
        <f aca="false">IF(B1342="","",IFERROR(INDEX(הגדרות!$A$8:$A$53,MATCH(B1342,הגדרות!$B$8:$B$53,0)),"⚠ לא בהגדרות"))</f>
        <v/>
      </c>
      <c r="D1342" s="51"/>
      <c r="E1342" s="53"/>
      <c r="F1342" s="52" t="str">
        <f aca="false">IF(A1342="","",INDEX(הגדרות!$H$16:$H$27,MONTH(A1342)))</f>
        <v/>
      </c>
    </row>
    <row r="1343" customFormat="false" ht="15" hidden="false" customHeight="false" outlineLevel="0" collapsed="false">
      <c r="A1343" s="55"/>
      <c r="B1343" s="56"/>
      <c r="C1343" s="57" t="str">
        <f aca="false">IF(B1343="","",IFERROR(INDEX(הגדרות!$A$8:$A$53,MATCH(B1343,הגדרות!$B$8:$B$53,0)),"⚠ לא בהגדרות"))</f>
        <v/>
      </c>
      <c r="D1343" s="56"/>
      <c r="E1343" s="58"/>
      <c r="F1343" s="57" t="str">
        <f aca="false">IF(A1343="","",INDEX(הגדרות!$H$16:$H$27,MONTH(A1343)))</f>
        <v/>
      </c>
    </row>
    <row r="1344" customFormat="false" ht="15" hidden="false" customHeight="false" outlineLevel="0" collapsed="false">
      <c r="A1344" s="50"/>
      <c r="B1344" s="51"/>
      <c r="C1344" s="52" t="str">
        <f aca="false">IF(B1344="","",IFERROR(INDEX(הגדרות!$A$8:$A$53,MATCH(B1344,הגדרות!$B$8:$B$53,0)),"⚠ לא בהגדרות"))</f>
        <v/>
      </c>
      <c r="D1344" s="51"/>
      <c r="E1344" s="53"/>
      <c r="F1344" s="52" t="str">
        <f aca="false">IF(A1344="","",INDEX(הגדרות!$H$16:$H$27,MONTH(A1344)))</f>
        <v/>
      </c>
    </row>
    <row r="1345" customFormat="false" ht="15" hidden="false" customHeight="false" outlineLevel="0" collapsed="false">
      <c r="A1345" s="55"/>
      <c r="B1345" s="56"/>
      <c r="C1345" s="57" t="str">
        <f aca="false">IF(B1345="","",IFERROR(INDEX(הגדרות!$A$8:$A$53,MATCH(B1345,הגדרות!$B$8:$B$53,0)),"⚠ לא בהגדרות"))</f>
        <v/>
      </c>
      <c r="D1345" s="56"/>
      <c r="E1345" s="58"/>
      <c r="F1345" s="57" t="str">
        <f aca="false">IF(A1345="","",INDEX(הגדרות!$H$16:$H$27,MONTH(A1345)))</f>
        <v/>
      </c>
    </row>
    <row r="1346" customFormat="false" ht="15" hidden="false" customHeight="false" outlineLevel="0" collapsed="false">
      <c r="A1346" s="50"/>
      <c r="B1346" s="51"/>
      <c r="C1346" s="52" t="str">
        <f aca="false">IF(B1346="","",IFERROR(INDEX(הגדרות!$A$8:$A$53,MATCH(B1346,הגדרות!$B$8:$B$53,0)),"⚠ לא בהגדרות"))</f>
        <v/>
      </c>
      <c r="D1346" s="51"/>
      <c r="E1346" s="53"/>
      <c r="F1346" s="52" t="str">
        <f aca="false">IF(A1346="","",INDEX(הגדרות!$H$16:$H$27,MONTH(A1346)))</f>
        <v/>
      </c>
    </row>
    <row r="1347" customFormat="false" ht="15" hidden="false" customHeight="false" outlineLevel="0" collapsed="false">
      <c r="A1347" s="55"/>
      <c r="B1347" s="56"/>
      <c r="C1347" s="57" t="str">
        <f aca="false">IF(B1347="","",IFERROR(INDEX(הגדרות!$A$8:$A$53,MATCH(B1347,הגדרות!$B$8:$B$53,0)),"⚠ לא בהגדרות"))</f>
        <v/>
      </c>
      <c r="D1347" s="56"/>
      <c r="E1347" s="58"/>
      <c r="F1347" s="57" t="str">
        <f aca="false">IF(A1347="","",INDEX(הגדרות!$H$16:$H$27,MONTH(A1347)))</f>
        <v/>
      </c>
    </row>
    <row r="1348" customFormat="false" ht="15" hidden="false" customHeight="false" outlineLevel="0" collapsed="false">
      <c r="A1348" s="50"/>
      <c r="B1348" s="51"/>
      <c r="C1348" s="52" t="str">
        <f aca="false">IF(B1348="","",IFERROR(INDEX(הגדרות!$A$8:$A$53,MATCH(B1348,הגדרות!$B$8:$B$53,0)),"⚠ לא בהגדרות"))</f>
        <v/>
      </c>
      <c r="D1348" s="51"/>
      <c r="E1348" s="53"/>
      <c r="F1348" s="52" t="str">
        <f aca="false">IF(A1348="","",INDEX(הגדרות!$H$16:$H$27,MONTH(A1348)))</f>
        <v/>
      </c>
    </row>
    <row r="1349" customFormat="false" ht="15" hidden="false" customHeight="false" outlineLevel="0" collapsed="false">
      <c r="A1349" s="55"/>
      <c r="B1349" s="56"/>
      <c r="C1349" s="57" t="str">
        <f aca="false">IF(B1349="","",IFERROR(INDEX(הגדרות!$A$8:$A$53,MATCH(B1349,הגדרות!$B$8:$B$53,0)),"⚠ לא בהגדרות"))</f>
        <v/>
      </c>
      <c r="D1349" s="56"/>
      <c r="E1349" s="58"/>
      <c r="F1349" s="57" t="str">
        <f aca="false">IF(A1349="","",INDEX(הגדרות!$H$16:$H$27,MONTH(A1349)))</f>
        <v/>
      </c>
    </row>
    <row r="1350" customFormat="false" ht="15" hidden="false" customHeight="false" outlineLevel="0" collapsed="false">
      <c r="A1350" s="50"/>
      <c r="B1350" s="51"/>
      <c r="C1350" s="52" t="str">
        <f aca="false">IF(B1350="","",IFERROR(INDEX(הגדרות!$A$8:$A$53,MATCH(B1350,הגדרות!$B$8:$B$53,0)),"⚠ לא בהגדרות"))</f>
        <v/>
      </c>
      <c r="D1350" s="51"/>
      <c r="E1350" s="53"/>
      <c r="F1350" s="52" t="str">
        <f aca="false">IF(A1350="","",INDEX(הגדרות!$H$16:$H$27,MONTH(A1350)))</f>
        <v/>
      </c>
    </row>
    <row r="1351" customFormat="false" ht="15" hidden="false" customHeight="false" outlineLevel="0" collapsed="false">
      <c r="A1351" s="55"/>
      <c r="B1351" s="56"/>
      <c r="C1351" s="57" t="str">
        <f aca="false">IF(B1351="","",IFERROR(INDEX(הגדרות!$A$8:$A$53,MATCH(B1351,הגדרות!$B$8:$B$53,0)),"⚠ לא בהגדרות"))</f>
        <v/>
      </c>
      <c r="D1351" s="56"/>
      <c r="E1351" s="58"/>
      <c r="F1351" s="57" t="str">
        <f aca="false">IF(A1351="","",INDEX(הגדרות!$H$16:$H$27,MONTH(A1351)))</f>
        <v/>
      </c>
    </row>
    <row r="1352" customFormat="false" ht="15" hidden="false" customHeight="false" outlineLevel="0" collapsed="false">
      <c r="A1352" s="50"/>
      <c r="B1352" s="51"/>
      <c r="C1352" s="52" t="str">
        <f aca="false">IF(B1352="","",IFERROR(INDEX(הגדרות!$A$8:$A$53,MATCH(B1352,הגדרות!$B$8:$B$53,0)),"⚠ לא בהגדרות"))</f>
        <v/>
      </c>
      <c r="D1352" s="51"/>
      <c r="E1352" s="53"/>
      <c r="F1352" s="52" t="str">
        <f aca="false">IF(A1352="","",INDEX(הגדרות!$H$16:$H$27,MONTH(A1352)))</f>
        <v/>
      </c>
    </row>
    <row r="1353" customFormat="false" ht="15" hidden="false" customHeight="false" outlineLevel="0" collapsed="false">
      <c r="A1353" s="55"/>
      <c r="B1353" s="56"/>
      <c r="C1353" s="57" t="str">
        <f aca="false">IF(B1353="","",IFERROR(INDEX(הגדרות!$A$8:$A$53,MATCH(B1353,הגדרות!$B$8:$B$53,0)),"⚠ לא בהגדרות"))</f>
        <v/>
      </c>
      <c r="D1353" s="56"/>
      <c r="E1353" s="58"/>
      <c r="F1353" s="57" t="str">
        <f aca="false">IF(A1353="","",INDEX(הגדרות!$H$16:$H$27,MONTH(A1353)))</f>
        <v/>
      </c>
    </row>
    <row r="1354" customFormat="false" ht="15" hidden="false" customHeight="false" outlineLevel="0" collapsed="false">
      <c r="A1354" s="50"/>
      <c r="B1354" s="51"/>
      <c r="C1354" s="52" t="str">
        <f aca="false">IF(B1354="","",IFERROR(INDEX(הגדרות!$A$8:$A$53,MATCH(B1354,הגדרות!$B$8:$B$53,0)),"⚠ לא בהגדרות"))</f>
        <v/>
      </c>
      <c r="D1354" s="51"/>
      <c r="E1354" s="53"/>
      <c r="F1354" s="52" t="str">
        <f aca="false">IF(A1354="","",INDEX(הגדרות!$H$16:$H$27,MONTH(A1354)))</f>
        <v/>
      </c>
    </row>
    <row r="1355" customFormat="false" ht="15" hidden="false" customHeight="false" outlineLevel="0" collapsed="false">
      <c r="A1355" s="55"/>
      <c r="B1355" s="56"/>
      <c r="C1355" s="57" t="str">
        <f aca="false">IF(B1355="","",IFERROR(INDEX(הגדרות!$A$8:$A$53,MATCH(B1355,הגדרות!$B$8:$B$53,0)),"⚠ לא בהגדרות"))</f>
        <v/>
      </c>
      <c r="D1355" s="56"/>
      <c r="E1355" s="58"/>
      <c r="F1355" s="57" t="str">
        <f aca="false">IF(A1355="","",INDEX(הגדרות!$H$16:$H$27,MONTH(A1355)))</f>
        <v/>
      </c>
    </row>
    <row r="1356" customFormat="false" ht="15" hidden="false" customHeight="false" outlineLevel="0" collapsed="false">
      <c r="A1356" s="50"/>
      <c r="B1356" s="51"/>
      <c r="C1356" s="52" t="str">
        <f aca="false">IF(B1356="","",IFERROR(INDEX(הגדרות!$A$8:$A$53,MATCH(B1356,הגדרות!$B$8:$B$53,0)),"⚠ לא בהגדרות"))</f>
        <v/>
      </c>
      <c r="D1356" s="51"/>
      <c r="E1356" s="53"/>
      <c r="F1356" s="52" t="str">
        <f aca="false">IF(A1356="","",INDEX(הגדרות!$H$16:$H$27,MONTH(A1356)))</f>
        <v/>
      </c>
    </row>
    <row r="1357" customFormat="false" ht="15" hidden="false" customHeight="false" outlineLevel="0" collapsed="false">
      <c r="A1357" s="55"/>
      <c r="B1357" s="56"/>
      <c r="C1357" s="57" t="str">
        <f aca="false">IF(B1357="","",IFERROR(INDEX(הגדרות!$A$8:$A$53,MATCH(B1357,הגדרות!$B$8:$B$53,0)),"⚠ לא בהגדרות"))</f>
        <v/>
      </c>
      <c r="D1357" s="56"/>
      <c r="E1357" s="58"/>
      <c r="F1357" s="57" t="str">
        <f aca="false">IF(A1357="","",INDEX(הגדרות!$H$16:$H$27,MONTH(A1357)))</f>
        <v/>
      </c>
    </row>
    <row r="1358" customFormat="false" ht="15" hidden="false" customHeight="false" outlineLevel="0" collapsed="false">
      <c r="A1358" s="50"/>
      <c r="B1358" s="51"/>
      <c r="C1358" s="52" t="str">
        <f aca="false">IF(B1358="","",IFERROR(INDEX(הגדרות!$A$8:$A$53,MATCH(B1358,הגדרות!$B$8:$B$53,0)),"⚠ לא בהגדרות"))</f>
        <v/>
      </c>
      <c r="D1358" s="51"/>
      <c r="E1358" s="53"/>
      <c r="F1358" s="52" t="str">
        <f aca="false">IF(A1358="","",INDEX(הגדרות!$H$16:$H$27,MONTH(A1358)))</f>
        <v/>
      </c>
    </row>
    <row r="1359" customFormat="false" ht="15" hidden="false" customHeight="false" outlineLevel="0" collapsed="false">
      <c r="A1359" s="55"/>
      <c r="B1359" s="56"/>
      <c r="C1359" s="57" t="str">
        <f aca="false">IF(B1359="","",IFERROR(INDEX(הגדרות!$A$8:$A$53,MATCH(B1359,הגדרות!$B$8:$B$53,0)),"⚠ לא בהגדרות"))</f>
        <v/>
      </c>
      <c r="D1359" s="56"/>
      <c r="E1359" s="58"/>
      <c r="F1359" s="57" t="str">
        <f aca="false">IF(A1359="","",INDEX(הגדרות!$H$16:$H$27,MONTH(A1359)))</f>
        <v/>
      </c>
    </row>
    <row r="1360" customFormat="false" ht="15" hidden="false" customHeight="false" outlineLevel="0" collapsed="false">
      <c r="A1360" s="50"/>
      <c r="B1360" s="51"/>
      <c r="C1360" s="52" t="str">
        <f aca="false">IF(B1360="","",IFERROR(INDEX(הגדרות!$A$8:$A$53,MATCH(B1360,הגדרות!$B$8:$B$53,0)),"⚠ לא בהגדרות"))</f>
        <v/>
      </c>
      <c r="D1360" s="51"/>
      <c r="E1360" s="53"/>
      <c r="F1360" s="52" t="str">
        <f aca="false">IF(A1360="","",INDEX(הגדרות!$H$16:$H$27,MONTH(A1360)))</f>
        <v/>
      </c>
    </row>
    <row r="1361" customFormat="false" ht="15" hidden="false" customHeight="false" outlineLevel="0" collapsed="false">
      <c r="A1361" s="55"/>
      <c r="B1361" s="56"/>
      <c r="C1361" s="57" t="str">
        <f aca="false">IF(B1361="","",IFERROR(INDEX(הגדרות!$A$8:$A$53,MATCH(B1361,הגדרות!$B$8:$B$53,0)),"⚠ לא בהגדרות"))</f>
        <v/>
      </c>
      <c r="D1361" s="56"/>
      <c r="E1361" s="58"/>
      <c r="F1361" s="57" t="str">
        <f aca="false">IF(A1361="","",INDEX(הגדרות!$H$16:$H$27,MONTH(A1361)))</f>
        <v/>
      </c>
    </row>
    <row r="1362" customFormat="false" ht="15" hidden="false" customHeight="false" outlineLevel="0" collapsed="false">
      <c r="A1362" s="50"/>
      <c r="B1362" s="51"/>
      <c r="C1362" s="52" t="str">
        <f aca="false">IF(B1362="","",IFERROR(INDEX(הגדרות!$A$8:$A$53,MATCH(B1362,הגדרות!$B$8:$B$53,0)),"⚠ לא בהגדרות"))</f>
        <v/>
      </c>
      <c r="D1362" s="51"/>
      <c r="E1362" s="53"/>
      <c r="F1362" s="52" t="str">
        <f aca="false">IF(A1362="","",INDEX(הגדרות!$H$16:$H$27,MONTH(A1362)))</f>
        <v/>
      </c>
    </row>
    <row r="1363" customFormat="false" ht="15" hidden="false" customHeight="false" outlineLevel="0" collapsed="false">
      <c r="A1363" s="55"/>
      <c r="B1363" s="56"/>
      <c r="C1363" s="57" t="str">
        <f aca="false">IF(B1363="","",IFERROR(INDEX(הגדרות!$A$8:$A$53,MATCH(B1363,הגדרות!$B$8:$B$53,0)),"⚠ לא בהגדרות"))</f>
        <v/>
      </c>
      <c r="D1363" s="56"/>
      <c r="E1363" s="58"/>
      <c r="F1363" s="57" t="str">
        <f aca="false">IF(A1363="","",INDEX(הגדרות!$H$16:$H$27,MONTH(A1363)))</f>
        <v/>
      </c>
    </row>
    <row r="1364" customFormat="false" ht="15" hidden="false" customHeight="false" outlineLevel="0" collapsed="false">
      <c r="A1364" s="50"/>
      <c r="B1364" s="51"/>
      <c r="C1364" s="52" t="str">
        <f aca="false">IF(B1364="","",IFERROR(INDEX(הגדרות!$A$8:$A$53,MATCH(B1364,הגדרות!$B$8:$B$53,0)),"⚠ לא בהגדרות"))</f>
        <v/>
      </c>
      <c r="D1364" s="51"/>
      <c r="E1364" s="53"/>
      <c r="F1364" s="52" t="str">
        <f aca="false">IF(A1364="","",INDEX(הגדרות!$H$16:$H$27,MONTH(A1364)))</f>
        <v/>
      </c>
    </row>
    <row r="1365" customFormat="false" ht="15" hidden="false" customHeight="false" outlineLevel="0" collapsed="false">
      <c r="A1365" s="55"/>
      <c r="B1365" s="56"/>
      <c r="C1365" s="57" t="str">
        <f aca="false">IF(B1365="","",IFERROR(INDEX(הגדרות!$A$8:$A$53,MATCH(B1365,הגדרות!$B$8:$B$53,0)),"⚠ לא בהגדרות"))</f>
        <v/>
      </c>
      <c r="D1365" s="56"/>
      <c r="E1365" s="58"/>
      <c r="F1365" s="57" t="str">
        <f aca="false">IF(A1365="","",INDEX(הגדרות!$H$16:$H$27,MONTH(A1365)))</f>
        <v/>
      </c>
    </row>
    <row r="1366" customFormat="false" ht="15" hidden="false" customHeight="false" outlineLevel="0" collapsed="false">
      <c r="A1366" s="50"/>
      <c r="B1366" s="51"/>
      <c r="C1366" s="52" t="str">
        <f aca="false">IF(B1366="","",IFERROR(INDEX(הגדרות!$A$8:$A$53,MATCH(B1366,הגדרות!$B$8:$B$53,0)),"⚠ לא בהגדרות"))</f>
        <v/>
      </c>
      <c r="D1366" s="51"/>
      <c r="E1366" s="53"/>
      <c r="F1366" s="52" t="str">
        <f aca="false">IF(A1366="","",INDEX(הגדרות!$H$16:$H$27,MONTH(A1366)))</f>
        <v/>
      </c>
    </row>
    <row r="1367" customFormat="false" ht="15" hidden="false" customHeight="false" outlineLevel="0" collapsed="false">
      <c r="A1367" s="55"/>
      <c r="B1367" s="56"/>
      <c r="C1367" s="57" t="str">
        <f aca="false">IF(B1367="","",IFERROR(INDEX(הגדרות!$A$8:$A$53,MATCH(B1367,הגדרות!$B$8:$B$53,0)),"⚠ לא בהגדרות"))</f>
        <v/>
      </c>
      <c r="D1367" s="56"/>
      <c r="E1367" s="58"/>
      <c r="F1367" s="57" t="str">
        <f aca="false">IF(A1367="","",INDEX(הגדרות!$H$16:$H$27,MONTH(A1367)))</f>
        <v/>
      </c>
    </row>
    <row r="1368" customFormat="false" ht="15" hidden="false" customHeight="false" outlineLevel="0" collapsed="false">
      <c r="A1368" s="50"/>
      <c r="B1368" s="51"/>
      <c r="C1368" s="52" t="str">
        <f aca="false">IF(B1368="","",IFERROR(INDEX(הגדרות!$A$8:$A$53,MATCH(B1368,הגדרות!$B$8:$B$53,0)),"⚠ לא בהגדרות"))</f>
        <v/>
      </c>
      <c r="D1368" s="51"/>
      <c r="E1368" s="53"/>
      <c r="F1368" s="52" t="str">
        <f aca="false">IF(A1368="","",INDEX(הגדרות!$H$16:$H$27,MONTH(A1368)))</f>
        <v/>
      </c>
    </row>
    <row r="1369" customFormat="false" ht="15" hidden="false" customHeight="false" outlineLevel="0" collapsed="false">
      <c r="A1369" s="55"/>
      <c r="B1369" s="56"/>
      <c r="C1369" s="57" t="str">
        <f aca="false">IF(B1369="","",IFERROR(INDEX(הגדרות!$A$8:$A$53,MATCH(B1369,הגדרות!$B$8:$B$53,0)),"⚠ לא בהגדרות"))</f>
        <v/>
      </c>
      <c r="D1369" s="56"/>
      <c r="E1369" s="58"/>
      <c r="F1369" s="57" t="str">
        <f aca="false">IF(A1369="","",INDEX(הגדרות!$H$16:$H$27,MONTH(A1369)))</f>
        <v/>
      </c>
    </row>
    <row r="1370" customFormat="false" ht="15" hidden="false" customHeight="false" outlineLevel="0" collapsed="false">
      <c r="A1370" s="50"/>
      <c r="B1370" s="51"/>
      <c r="C1370" s="52" t="str">
        <f aca="false">IF(B1370="","",IFERROR(INDEX(הגדרות!$A$8:$A$53,MATCH(B1370,הגדרות!$B$8:$B$53,0)),"⚠ לא בהגדרות"))</f>
        <v/>
      </c>
      <c r="D1370" s="51"/>
      <c r="E1370" s="53"/>
      <c r="F1370" s="52" t="str">
        <f aca="false">IF(A1370="","",INDEX(הגדרות!$H$16:$H$27,MONTH(A1370)))</f>
        <v/>
      </c>
    </row>
    <row r="1371" customFormat="false" ht="15" hidden="false" customHeight="false" outlineLevel="0" collapsed="false">
      <c r="A1371" s="55"/>
      <c r="B1371" s="56"/>
      <c r="C1371" s="57" t="str">
        <f aca="false">IF(B1371="","",IFERROR(INDEX(הגדרות!$A$8:$A$53,MATCH(B1371,הגדרות!$B$8:$B$53,0)),"⚠ לא בהגדרות"))</f>
        <v/>
      </c>
      <c r="D1371" s="56"/>
      <c r="E1371" s="58"/>
      <c r="F1371" s="57" t="str">
        <f aca="false">IF(A1371="","",INDEX(הגדרות!$H$16:$H$27,MONTH(A1371)))</f>
        <v/>
      </c>
    </row>
    <row r="1372" customFormat="false" ht="15" hidden="false" customHeight="false" outlineLevel="0" collapsed="false">
      <c r="A1372" s="50"/>
      <c r="B1372" s="51"/>
      <c r="C1372" s="52" t="str">
        <f aca="false">IF(B1372="","",IFERROR(INDEX(הגדרות!$A$8:$A$53,MATCH(B1372,הגדרות!$B$8:$B$53,0)),"⚠ לא בהגדרות"))</f>
        <v/>
      </c>
      <c r="D1372" s="51"/>
      <c r="E1372" s="53"/>
      <c r="F1372" s="52" t="str">
        <f aca="false">IF(A1372="","",INDEX(הגדרות!$H$16:$H$27,MONTH(A1372)))</f>
        <v/>
      </c>
    </row>
    <row r="1373" customFormat="false" ht="15" hidden="false" customHeight="false" outlineLevel="0" collapsed="false">
      <c r="A1373" s="55"/>
      <c r="B1373" s="56"/>
      <c r="C1373" s="57" t="str">
        <f aca="false">IF(B1373="","",IFERROR(INDEX(הגדרות!$A$8:$A$53,MATCH(B1373,הגדרות!$B$8:$B$53,0)),"⚠ לא בהגדרות"))</f>
        <v/>
      </c>
      <c r="D1373" s="56"/>
      <c r="E1373" s="58"/>
      <c r="F1373" s="57" t="str">
        <f aca="false">IF(A1373="","",INDEX(הגדרות!$H$16:$H$27,MONTH(A1373)))</f>
        <v/>
      </c>
    </row>
    <row r="1374" customFormat="false" ht="15" hidden="false" customHeight="false" outlineLevel="0" collapsed="false">
      <c r="A1374" s="50"/>
      <c r="B1374" s="51"/>
      <c r="C1374" s="52" t="str">
        <f aca="false">IF(B1374="","",IFERROR(INDEX(הגדרות!$A$8:$A$53,MATCH(B1374,הגדרות!$B$8:$B$53,0)),"⚠ לא בהגדרות"))</f>
        <v/>
      </c>
      <c r="D1374" s="51"/>
      <c r="E1374" s="53"/>
      <c r="F1374" s="52" t="str">
        <f aca="false">IF(A1374="","",INDEX(הגדרות!$H$16:$H$27,MONTH(A1374)))</f>
        <v/>
      </c>
    </row>
    <row r="1375" customFormat="false" ht="15" hidden="false" customHeight="false" outlineLevel="0" collapsed="false">
      <c r="A1375" s="55"/>
      <c r="B1375" s="56"/>
      <c r="C1375" s="57" t="str">
        <f aca="false">IF(B1375="","",IFERROR(INDEX(הגדרות!$A$8:$A$53,MATCH(B1375,הגדרות!$B$8:$B$53,0)),"⚠ לא בהגדרות"))</f>
        <v/>
      </c>
      <c r="D1375" s="56"/>
      <c r="E1375" s="58"/>
      <c r="F1375" s="57" t="str">
        <f aca="false">IF(A1375="","",INDEX(הגדרות!$H$16:$H$27,MONTH(A1375)))</f>
        <v/>
      </c>
    </row>
    <row r="1376" customFormat="false" ht="15" hidden="false" customHeight="false" outlineLevel="0" collapsed="false">
      <c r="A1376" s="50"/>
      <c r="B1376" s="51"/>
      <c r="C1376" s="52" t="str">
        <f aca="false">IF(B1376="","",IFERROR(INDEX(הגדרות!$A$8:$A$53,MATCH(B1376,הגדרות!$B$8:$B$53,0)),"⚠ לא בהגדרות"))</f>
        <v/>
      </c>
      <c r="D1376" s="51"/>
      <c r="E1376" s="53"/>
      <c r="F1376" s="52" t="str">
        <f aca="false">IF(A1376="","",INDEX(הגדרות!$H$16:$H$27,MONTH(A1376)))</f>
        <v/>
      </c>
    </row>
    <row r="1377" customFormat="false" ht="15" hidden="false" customHeight="false" outlineLevel="0" collapsed="false">
      <c r="A1377" s="55"/>
      <c r="B1377" s="56"/>
      <c r="C1377" s="57" t="str">
        <f aca="false">IF(B1377="","",IFERROR(INDEX(הגדרות!$A$8:$A$53,MATCH(B1377,הגדרות!$B$8:$B$53,0)),"⚠ לא בהגדרות"))</f>
        <v/>
      </c>
      <c r="D1377" s="56"/>
      <c r="E1377" s="58"/>
      <c r="F1377" s="57" t="str">
        <f aca="false">IF(A1377="","",INDEX(הגדרות!$H$16:$H$27,MONTH(A1377)))</f>
        <v/>
      </c>
    </row>
    <row r="1378" customFormat="false" ht="15" hidden="false" customHeight="false" outlineLevel="0" collapsed="false">
      <c r="A1378" s="50"/>
      <c r="B1378" s="51"/>
      <c r="C1378" s="52" t="str">
        <f aca="false">IF(B1378="","",IFERROR(INDEX(הגדרות!$A$8:$A$53,MATCH(B1378,הגדרות!$B$8:$B$53,0)),"⚠ לא בהגדרות"))</f>
        <v/>
      </c>
      <c r="D1378" s="51"/>
      <c r="E1378" s="53"/>
      <c r="F1378" s="52" t="str">
        <f aca="false">IF(A1378="","",INDEX(הגדרות!$H$16:$H$27,MONTH(A1378)))</f>
        <v/>
      </c>
    </row>
    <row r="1379" customFormat="false" ht="15" hidden="false" customHeight="false" outlineLevel="0" collapsed="false">
      <c r="A1379" s="55"/>
      <c r="B1379" s="56"/>
      <c r="C1379" s="57" t="str">
        <f aca="false">IF(B1379="","",IFERROR(INDEX(הגדרות!$A$8:$A$53,MATCH(B1379,הגדרות!$B$8:$B$53,0)),"⚠ לא בהגדרות"))</f>
        <v/>
      </c>
      <c r="D1379" s="56"/>
      <c r="E1379" s="58"/>
      <c r="F1379" s="57" t="str">
        <f aca="false">IF(A1379="","",INDEX(הגדרות!$H$16:$H$27,MONTH(A1379)))</f>
        <v/>
      </c>
    </row>
    <row r="1380" customFormat="false" ht="15" hidden="false" customHeight="false" outlineLevel="0" collapsed="false">
      <c r="A1380" s="50"/>
      <c r="B1380" s="51"/>
      <c r="C1380" s="52" t="str">
        <f aca="false">IF(B1380="","",IFERROR(INDEX(הגדרות!$A$8:$A$53,MATCH(B1380,הגדרות!$B$8:$B$53,0)),"⚠ לא בהגדרות"))</f>
        <v/>
      </c>
      <c r="D1380" s="51"/>
      <c r="E1380" s="53"/>
      <c r="F1380" s="52" t="str">
        <f aca="false">IF(A1380="","",INDEX(הגדרות!$H$16:$H$27,MONTH(A1380)))</f>
        <v/>
      </c>
    </row>
    <row r="1381" customFormat="false" ht="15" hidden="false" customHeight="false" outlineLevel="0" collapsed="false">
      <c r="A1381" s="55"/>
      <c r="B1381" s="56"/>
      <c r="C1381" s="57" t="str">
        <f aca="false">IF(B1381="","",IFERROR(INDEX(הגדרות!$A$8:$A$53,MATCH(B1381,הגדרות!$B$8:$B$53,0)),"⚠ לא בהגדרות"))</f>
        <v/>
      </c>
      <c r="D1381" s="56"/>
      <c r="E1381" s="58"/>
      <c r="F1381" s="57" t="str">
        <f aca="false">IF(A1381="","",INDEX(הגדרות!$H$16:$H$27,MONTH(A1381)))</f>
        <v/>
      </c>
    </row>
    <row r="1382" customFormat="false" ht="15" hidden="false" customHeight="false" outlineLevel="0" collapsed="false">
      <c r="A1382" s="50"/>
      <c r="B1382" s="51"/>
      <c r="C1382" s="52" t="str">
        <f aca="false">IF(B1382="","",IFERROR(INDEX(הגדרות!$A$8:$A$53,MATCH(B1382,הגדרות!$B$8:$B$53,0)),"⚠ לא בהגדרות"))</f>
        <v/>
      </c>
      <c r="D1382" s="51"/>
      <c r="E1382" s="53"/>
      <c r="F1382" s="52" t="str">
        <f aca="false">IF(A1382="","",INDEX(הגדרות!$H$16:$H$27,MONTH(A1382)))</f>
        <v/>
      </c>
    </row>
    <row r="1383" customFormat="false" ht="15" hidden="false" customHeight="false" outlineLevel="0" collapsed="false">
      <c r="A1383" s="55"/>
      <c r="B1383" s="56"/>
      <c r="C1383" s="57" t="str">
        <f aca="false">IF(B1383="","",IFERROR(INDEX(הגדרות!$A$8:$A$53,MATCH(B1383,הגדרות!$B$8:$B$53,0)),"⚠ לא בהגדרות"))</f>
        <v/>
      </c>
      <c r="D1383" s="56"/>
      <c r="E1383" s="58"/>
      <c r="F1383" s="57" t="str">
        <f aca="false">IF(A1383="","",INDEX(הגדרות!$H$16:$H$27,MONTH(A1383)))</f>
        <v/>
      </c>
    </row>
    <row r="1384" customFormat="false" ht="15" hidden="false" customHeight="false" outlineLevel="0" collapsed="false">
      <c r="A1384" s="50"/>
      <c r="B1384" s="51"/>
      <c r="C1384" s="52" t="str">
        <f aca="false">IF(B1384="","",IFERROR(INDEX(הגדרות!$A$8:$A$53,MATCH(B1384,הגדרות!$B$8:$B$53,0)),"⚠ לא בהגדרות"))</f>
        <v/>
      </c>
      <c r="D1384" s="51"/>
      <c r="E1384" s="53"/>
      <c r="F1384" s="52" t="str">
        <f aca="false">IF(A1384="","",INDEX(הגדרות!$H$16:$H$27,MONTH(A1384)))</f>
        <v/>
      </c>
    </row>
    <row r="1385" customFormat="false" ht="15" hidden="false" customHeight="false" outlineLevel="0" collapsed="false">
      <c r="A1385" s="55"/>
      <c r="B1385" s="56"/>
      <c r="C1385" s="57" t="str">
        <f aca="false">IF(B1385="","",IFERROR(INDEX(הגדרות!$A$8:$A$53,MATCH(B1385,הגדרות!$B$8:$B$53,0)),"⚠ לא בהגדרות"))</f>
        <v/>
      </c>
      <c r="D1385" s="56"/>
      <c r="E1385" s="58"/>
      <c r="F1385" s="57" t="str">
        <f aca="false">IF(A1385="","",INDEX(הגדרות!$H$16:$H$27,MONTH(A1385)))</f>
        <v/>
      </c>
    </row>
    <row r="1386" customFormat="false" ht="15" hidden="false" customHeight="false" outlineLevel="0" collapsed="false">
      <c r="A1386" s="50"/>
      <c r="B1386" s="51"/>
      <c r="C1386" s="52" t="str">
        <f aca="false">IF(B1386="","",IFERROR(INDEX(הגדרות!$A$8:$A$53,MATCH(B1386,הגדרות!$B$8:$B$53,0)),"⚠ לא בהגדרות"))</f>
        <v/>
      </c>
      <c r="D1386" s="51"/>
      <c r="E1386" s="53"/>
      <c r="F1386" s="52" t="str">
        <f aca="false">IF(A1386="","",INDEX(הגדרות!$H$16:$H$27,MONTH(A1386)))</f>
        <v/>
      </c>
    </row>
    <row r="1387" customFormat="false" ht="15" hidden="false" customHeight="false" outlineLevel="0" collapsed="false">
      <c r="A1387" s="55"/>
      <c r="B1387" s="56"/>
      <c r="C1387" s="57" t="str">
        <f aca="false">IF(B1387="","",IFERROR(INDEX(הגדרות!$A$8:$A$53,MATCH(B1387,הגדרות!$B$8:$B$53,0)),"⚠ לא בהגדרות"))</f>
        <v/>
      </c>
      <c r="D1387" s="56"/>
      <c r="E1387" s="58"/>
      <c r="F1387" s="57" t="str">
        <f aca="false">IF(A1387="","",INDEX(הגדרות!$H$16:$H$27,MONTH(A1387)))</f>
        <v/>
      </c>
    </row>
    <row r="1388" customFormat="false" ht="15" hidden="false" customHeight="false" outlineLevel="0" collapsed="false">
      <c r="A1388" s="50"/>
      <c r="B1388" s="51"/>
      <c r="C1388" s="52" t="str">
        <f aca="false">IF(B1388="","",IFERROR(INDEX(הגדרות!$A$8:$A$53,MATCH(B1388,הגדרות!$B$8:$B$53,0)),"⚠ לא בהגדרות"))</f>
        <v/>
      </c>
      <c r="D1388" s="51"/>
      <c r="E1388" s="53"/>
      <c r="F1388" s="52" t="str">
        <f aca="false">IF(A1388="","",INDEX(הגדרות!$H$16:$H$27,MONTH(A1388)))</f>
        <v/>
      </c>
    </row>
    <row r="1389" customFormat="false" ht="15" hidden="false" customHeight="false" outlineLevel="0" collapsed="false">
      <c r="A1389" s="55"/>
      <c r="B1389" s="56"/>
      <c r="C1389" s="57" t="str">
        <f aca="false">IF(B1389="","",IFERROR(INDEX(הגדרות!$A$8:$A$53,MATCH(B1389,הגדרות!$B$8:$B$53,0)),"⚠ לא בהגדרות"))</f>
        <v/>
      </c>
      <c r="D1389" s="56"/>
      <c r="E1389" s="58"/>
      <c r="F1389" s="57" t="str">
        <f aca="false">IF(A1389="","",INDEX(הגדרות!$H$16:$H$27,MONTH(A1389)))</f>
        <v/>
      </c>
    </row>
    <row r="1390" customFormat="false" ht="15" hidden="false" customHeight="false" outlineLevel="0" collapsed="false">
      <c r="A1390" s="50"/>
      <c r="B1390" s="51"/>
      <c r="C1390" s="52" t="str">
        <f aca="false">IF(B1390="","",IFERROR(INDEX(הגדרות!$A$8:$A$53,MATCH(B1390,הגדרות!$B$8:$B$53,0)),"⚠ לא בהגדרות"))</f>
        <v/>
      </c>
      <c r="D1390" s="51"/>
      <c r="E1390" s="53"/>
      <c r="F1390" s="52" t="str">
        <f aca="false">IF(A1390="","",INDEX(הגדרות!$H$16:$H$27,MONTH(A1390)))</f>
        <v/>
      </c>
    </row>
    <row r="1391" customFormat="false" ht="15" hidden="false" customHeight="false" outlineLevel="0" collapsed="false">
      <c r="A1391" s="55"/>
      <c r="B1391" s="56"/>
      <c r="C1391" s="57" t="str">
        <f aca="false">IF(B1391="","",IFERROR(INDEX(הגדרות!$A$8:$A$53,MATCH(B1391,הגדרות!$B$8:$B$53,0)),"⚠ לא בהגדרות"))</f>
        <v/>
      </c>
      <c r="D1391" s="56"/>
      <c r="E1391" s="58"/>
      <c r="F1391" s="57" t="str">
        <f aca="false">IF(A1391="","",INDEX(הגדרות!$H$16:$H$27,MONTH(A1391)))</f>
        <v/>
      </c>
    </row>
    <row r="1392" customFormat="false" ht="15" hidden="false" customHeight="false" outlineLevel="0" collapsed="false">
      <c r="A1392" s="50"/>
      <c r="B1392" s="51"/>
      <c r="C1392" s="52" t="str">
        <f aca="false">IF(B1392="","",IFERROR(INDEX(הגדרות!$A$8:$A$53,MATCH(B1392,הגדרות!$B$8:$B$53,0)),"⚠ לא בהגדרות"))</f>
        <v/>
      </c>
      <c r="D1392" s="51"/>
      <c r="E1392" s="53"/>
      <c r="F1392" s="52" t="str">
        <f aca="false">IF(A1392="","",INDEX(הגדרות!$H$16:$H$27,MONTH(A1392)))</f>
        <v/>
      </c>
    </row>
    <row r="1393" customFormat="false" ht="15" hidden="false" customHeight="false" outlineLevel="0" collapsed="false">
      <c r="A1393" s="55"/>
      <c r="B1393" s="56"/>
      <c r="C1393" s="57" t="str">
        <f aca="false">IF(B1393="","",IFERROR(INDEX(הגדרות!$A$8:$A$53,MATCH(B1393,הגדרות!$B$8:$B$53,0)),"⚠ לא בהגדרות"))</f>
        <v/>
      </c>
      <c r="D1393" s="56"/>
      <c r="E1393" s="58"/>
      <c r="F1393" s="57" t="str">
        <f aca="false">IF(A1393="","",INDEX(הגדרות!$H$16:$H$27,MONTH(A1393)))</f>
        <v/>
      </c>
    </row>
    <row r="1394" customFormat="false" ht="15" hidden="false" customHeight="false" outlineLevel="0" collapsed="false">
      <c r="A1394" s="50"/>
      <c r="B1394" s="51"/>
      <c r="C1394" s="52" t="str">
        <f aca="false">IF(B1394="","",IFERROR(INDEX(הגדרות!$A$8:$A$53,MATCH(B1394,הגדרות!$B$8:$B$53,0)),"⚠ לא בהגדרות"))</f>
        <v/>
      </c>
      <c r="D1394" s="51"/>
      <c r="E1394" s="53"/>
      <c r="F1394" s="52" t="str">
        <f aca="false">IF(A1394="","",INDEX(הגדרות!$H$16:$H$27,MONTH(A1394)))</f>
        <v/>
      </c>
    </row>
    <row r="1395" customFormat="false" ht="15" hidden="false" customHeight="false" outlineLevel="0" collapsed="false">
      <c r="A1395" s="55"/>
      <c r="B1395" s="56"/>
      <c r="C1395" s="57" t="str">
        <f aca="false">IF(B1395="","",IFERROR(INDEX(הגדרות!$A$8:$A$53,MATCH(B1395,הגדרות!$B$8:$B$53,0)),"⚠ לא בהגדרות"))</f>
        <v/>
      </c>
      <c r="D1395" s="56"/>
      <c r="E1395" s="58"/>
      <c r="F1395" s="57" t="str">
        <f aca="false">IF(A1395="","",INDEX(הגדרות!$H$16:$H$27,MONTH(A1395)))</f>
        <v/>
      </c>
    </row>
    <row r="1396" customFormat="false" ht="15" hidden="false" customHeight="false" outlineLevel="0" collapsed="false">
      <c r="A1396" s="50"/>
      <c r="B1396" s="51"/>
      <c r="C1396" s="52" t="str">
        <f aca="false">IF(B1396="","",IFERROR(INDEX(הגדרות!$A$8:$A$53,MATCH(B1396,הגדרות!$B$8:$B$53,0)),"⚠ לא בהגדרות"))</f>
        <v/>
      </c>
      <c r="D1396" s="51"/>
      <c r="E1396" s="53"/>
      <c r="F1396" s="52" t="str">
        <f aca="false">IF(A1396="","",INDEX(הגדרות!$H$16:$H$27,MONTH(A1396)))</f>
        <v/>
      </c>
    </row>
    <row r="1397" customFormat="false" ht="15" hidden="false" customHeight="false" outlineLevel="0" collapsed="false">
      <c r="A1397" s="55"/>
      <c r="B1397" s="56"/>
      <c r="C1397" s="57" t="str">
        <f aca="false">IF(B1397="","",IFERROR(INDEX(הגדרות!$A$8:$A$53,MATCH(B1397,הגדרות!$B$8:$B$53,0)),"⚠ לא בהגדרות"))</f>
        <v/>
      </c>
      <c r="D1397" s="56"/>
      <c r="E1397" s="58"/>
      <c r="F1397" s="57" t="str">
        <f aca="false">IF(A1397="","",INDEX(הגדרות!$H$16:$H$27,MONTH(A1397)))</f>
        <v/>
      </c>
    </row>
    <row r="1398" customFormat="false" ht="15" hidden="false" customHeight="false" outlineLevel="0" collapsed="false">
      <c r="A1398" s="50"/>
      <c r="B1398" s="51"/>
      <c r="C1398" s="52" t="str">
        <f aca="false">IF(B1398="","",IFERROR(INDEX(הגדרות!$A$8:$A$53,MATCH(B1398,הגדרות!$B$8:$B$53,0)),"⚠ לא בהגדרות"))</f>
        <v/>
      </c>
      <c r="D1398" s="51"/>
      <c r="E1398" s="53"/>
      <c r="F1398" s="52" t="str">
        <f aca="false">IF(A1398="","",INDEX(הגדרות!$H$16:$H$27,MONTH(A1398)))</f>
        <v/>
      </c>
    </row>
    <row r="1399" customFormat="false" ht="15" hidden="false" customHeight="false" outlineLevel="0" collapsed="false">
      <c r="A1399" s="55"/>
      <c r="B1399" s="56"/>
      <c r="C1399" s="57" t="str">
        <f aca="false">IF(B1399="","",IFERROR(INDEX(הגדרות!$A$8:$A$53,MATCH(B1399,הגדרות!$B$8:$B$53,0)),"⚠ לא בהגדרות"))</f>
        <v/>
      </c>
      <c r="D1399" s="56"/>
      <c r="E1399" s="58"/>
      <c r="F1399" s="57" t="str">
        <f aca="false">IF(A1399="","",INDEX(הגדרות!$H$16:$H$27,MONTH(A1399)))</f>
        <v/>
      </c>
    </row>
    <row r="1400" customFormat="false" ht="15" hidden="false" customHeight="false" outlineLevel="0" collapsed="false">
      <c r="A1400" s="50"/>
      <c r="B1400" s="51"/>
      <c r="C1400" s="52" t="str">
        <f aca="false">IF(B1400="","",IFERROR(INDEX(הגדרות!$A$8:$A$53,MATCH(B1400,הגדרות!$B$8:$B$53,0)),"⚠ לא בהגדרות"))</f>
        <v/>
      </c>
      <c r="D1400" s="51"/>
      <c r="E1400" s="53"/>
      <c r="F1400" s="52" t="str">
        <f aca="false">IF(A1400="","",INDEX(הגדרות!$H$16:$H$27,MONTH(A1400)))</f>
        <v/>
      </c>
    </row>
    <row r="1401" customFormat="false" ht="15" hidden="false" customHeight="false" outlineLevel="0" collapsed="false">
      <c r="A1401" s="55"/>
      <c r="B1401" s="56"/>
      <c r="C1401" s="57" t="str">
        <f aca="false">IF(B1401="","",IFERROR(INDEX(הגדרות!$A$8:$A$53,MATCH(B1401,הגדרות!$B$8:$B$53,0)),"⚠ לא בהגדרות"))</f>
        <v/>
      </c>
      <c r="D1401" s="56"/>
      <c r="E1401" s="58"/>
      <c r="F1401" s="57" t="str">
        <f aca="false">IF(A1401="","",INDEX(הגדרות!$H$16:$H$27,MONTH(A1401)))</f>
        <v/>
      </c>
    </row>
    <row r="1402" customFormat="false" ht="15" hidden="false" customHeight="false" outlineLevel="0" collapsed="false">
      <c r="A1402" s="50"/>
      <c r="B1402" s="51"/>
      <c r="C1402" s="52" t="str">
        <f aca="false">IF(B1402="","",IFERROR(INDEX(הגדרות!$A$8:$A$53,MATCH(B1402,הגדרות!$B$8:$B$53,0)),"⚠ לא בהגדרות"))</f>
        <v/>
      </c>
      <c r="D1402" s="51"/>
      <c r="E1402" s="53"/>
      <c r="F1402" s="52" t="str">
        <f aca="false">IF(A1402="","",INDEX(הגדרות!$H$16:$H$27,MONTH(A1402)))</f>
        <v/>
      </c>
    </row>
    <row r="1403" customFormat="false" ht="15" hidden="false" customHeight="false" outlineLevel="0" collapsed="false">
      <c r="A1403" s="55"/>
      <c r="B1403" s="56"/>
      <c r="C1403" s="57" t="str">
        <f aca="false">IF(B1403="","",IFERROR(INDEX(הגדרות!$A$8:$A$53,MATCH(B1403,הגדרות!$B$8:$B$53,0)),"⚠ לא בהגדרות"))</f>
        <v/>
      </c>
      <c r="D1403" s="56"/>
      <c r="E1403" s="58"/>
      <c r="F1403" s="57" t="str">
        <f aca="false">IF(A1403="","",INDEX(הגדרות!$H$16:$H$27,MONTH(A1403)))</f>
        <v/>
      </c>
    </row>
    <row r="1404" customFormat="false" ht="15" hidden="false" customHeight="false" outlineLevel="0" collapsed="false">
      <c r="A1404" s="50"/>
      <c r="B1404" s="51"/>
      <c r="C1404" s="52" t="str">
        <f aca="false">IF(B1404="","",IFERROR(INDEX(הגדרות!$A$8:$A$53,MATCH(B1404,הגדרות!$B$8:$B$53,0)),"⚠ לא בהגדרות"))</f>
        <v/>
      </c>
      <c r="D1404" s="51"/>
      <c r="E1404" s="53"/>
      <c r="F1404" s="52" t="str">
        <f aca="false">IF(A1404="","",INDEX(הגדרות!$H$16:$H$27,MONTH(A1404)))</f>
        <v/>
      </c>
    </row>
    <row r="1405" customFormat="false" ht="15" hidden="false" customHeight="false" outlineLevel="0" collapsed="false">
      <c r="A1405" s="55"/>
      <c r="B1405" s="56"/>
      <c r="C1405" s="57" t="str">
        <f aca="false">IF(B1405="","",IFERROR(INDEX(הגדרות!$A$8:$A$53,MATCH(B1405,הגדרות!$B$8:$B$53,0)),"⚠ לא בהגדרות"))</f>
        <v/>
      </c>
      <c r="D1405" s="56"/>
      <c r="E1405" s="58"/>
      <c r="F1405" s="57" t="str">
        <f aca="false">IF(A1405="","",INDEX(הגדרות!$H$16:$H$27,MONTH(A1405)))</f>
        <v/>
      </c>
    </row>
    <row r="1406" customFormat="false" ht="15" hidden="false" customHeight="false" outlineLevel="0" collapsed="false">
      <c r="A1406" s="50"/>
      <c r="B1406" s="51"/>
      <c r="C1406" s="52" t="str">
        <f aca="false">IF(B1406="","",IFERROR(INDEX(הגדרות!$A$8:$A$53,MATCH(B1406,הגדרות!$B$8:$B$53,0)),"⚠ לא בהגדרות"))</f>
        <v/>
      </c>
      <c r="D1406" s="51"/>
      <c r="E1406" s="53"/>
      <c r="F1406" s="52" t="str">
        <f aca="false">IF(A1406="","",INDEX(הגדרות!$H$16:$H$27,MONTH(A1406)))</f>
        <v/>
      </c>
    </row>
    <row r="1407" customFormat="false" ht="15" hidden="false" customHeight="false" outlineLevel="0" collapsed="false">
      <c r="A1407" s="55"/>
      <c r="B1407" s="56"/>
      <c r="C1407" s="57" t="str">
        <f aca="false">IF(B1407="","",IFERROR(INDEX(הגדרות!$A$8:$A$53,MATCH(B1407,הגדרות!$B$8:$B$53,0)),"⚠ לא בהגדרות"))</f>
        <v/>
      </c>
      <c r="D1407" s="56"/>
      <c r="E1407" s="58"/>
      <c r="F1407" s="57" t="str">
        <f aca="false">IF(A1407="","",INDEX(הגדרות!$H$16:$H$27,MONTH(A1407)))</f>
        <v/>
      </c>
    </row>
    <row r="1408" customFormat="false" ht="15" hidden="false" customHeight="false" outlineLevel="0" collapsed="false">
      <c r="A1408" s="50"/>
      <c r="B1408" s="51"/>
      <c r="C1408" s="52" t="str">
        <f aca="false">IF(B1408="","",IFERROR(INDEX(הגדרות!$A$8:$A$53,MATCH(B1408,הגדרות!$B$8:$B$53,0)),"⚠ לא בהגדרות"))</f>
        <v/>
      </c>
      <c r="D1408" s="51"/>
      <c r="E1408" s="53"/>
      <c r="F1408" s="52" t="str">
        <f aca="false">IF(A1408="","",INDEX(הגדרות!$H$16:$H$27,MONTH(A1408)))</f>
        <v/>
      </c>
    </row>
    <row r="1409" customFormat="false" ht="15" hidden="false" customHeight="false" outlineLevel="0" collapsed="false">
      <c r="A1409" s="55"/>
      <c r="B1409" s="56"/>
      <c r="C1409" s="57" t="str">
        <f aca="false">IF(B1409="","",IFERROR(INDEX(הגדרות!$A$8:$A$53,MATCH(B1409,הגדרות!$B$8:$B$53,0)),"⚠ לא בהגדרות"))</f>
        <v/>
      </c>
      <c r="D1409" s="56"/>
      <c r="E1409" s="58"/>
      <c r="F1409" s="57" t="str">
        <f aca="false">IF(A1409="","",INDEX(הגדרות!$H$16:$H$27,MONTH(A1409)))</f>
        <v/>
      </c>
    </row>
    <row r="1410" customFormat="false" ht="15" hidden="false" customHeight="false" outlineLevel="0" collapsed="false">
      <c r="A1410" s="50"/>
      <c r="B1410" s="51"/>
      <c r="C1410" s="52" t="str">
        <f aca="false">IF(B1410="","",IFERROR(INDEX(הגדרות!$A$8:$A$53,MATCH(B1410,הגדרות!$B$8:$B$53,0)),"⚠ לא בהגדרות"))</f>
        <v/>
      </c>
      <c r="D1410" s="51"/>
      <c r="E1410" s="53"/>
      <c r="F1410" s="52" t="str">
        <f aca="false">IF(A1410="","",INDEX(הגדרות!$H$16:$H$27,MONTH(A1410)))</f>
        <v/>
      </c>
    </row>
    <row r="1411" customFormat="false" ht="15" hidden="false" customHeight="false" outlineLevel="0" collapsed="false">
      <c r="A1411" s="55"/>
      <c r="B1411" s="56"/>
      <c r="C1411" s="57" t="str">
        <f aca="false">IF(B1411="","",IFERROR(INDEX(הגדרות!$A$8:$A$53,MATCH(B1411,הגדרות!$B$8:$B$53,0)),"⚠ לא בהגדרות"))</f>
        <v/>
      </c>
      <c r="D1411" s="56"/>
      <c r="E1411" s="58"/>
      <c r="F1411" s="57" t="str">
        <f aca="false">IF(A1411="","",INDEX(הגדרות!$H$16:$H$27,MONTH(A1411)))</f>
        <v/>
      </c>
    </row>
    <row r="1412" customFormat="false" ht="15" hidden="false" customHeight="false" outlineLevel="0" collapsed="false">
      <c r="A1412" s="50"/>
      <c r="B1412" s="51"/>
      <c r="C1412" s="52" t="str">
        <f aca="false">IF(B1412="","",IFERROR(INDEX(הגדרות!$A$8:$A$53,MATCH(B1412,הגדרות!$B$8:$B$53,0)),"⚠ לא בהגדרות"))</f>
        <v/>
      </c>
      <c r="D1412" s="51"/>
      <c r="E1412" s="53"/>
      <c r="F1412" s="52" t="str">
        <f aca="false">IF(A1412="","",INDEX(הגדרות!$H$16:$H$27,MONTH(A1412)))</f>
        <v/>
      </c>
    </row>
    <row r="1413" customFormat="false" ht="15" hidden="false" customHeight="false" outlineLevel="0" collapsed="false">
      <c r="A1413" s="55"/>
      <c r="B1413" s="56"/>
      <c r="C1413" s="57" t="str">
        <f aca="false">IF(B1413="","",IFERROR(INDEX(הגדרות!$A$8:$A$53,MATCH(B1413,הגדרות!$B$8:$B$53,0)),"⚠ לא בהגדרות"))</f>
        <v/>
      </c>
      <c r="D1413" s="56"/>
      <c r="E1413" s="58"/>
      <c r="F1413" s="57" t="str">
        <f aca="false">IF(A1413="","",INDEX(הגדרות!$H$16:$H$27,MONTH(A1413)))</f>
        <v/>
      </c>
    </row>
    <row r="1414" customFormat="false" ht="15" hidden="false" customHeight="false" outlineLevel="0" collapsed="false">
      <c r="A1414" s="50"/>
      <c r="B1414" s="51"/>
      <c r="C1414" s="52" t="str">
        <f aca="false">IF(B1414="","",IFERROR(INDEX(הגדרות!$A$8:$A$53,MATCH(B1414,הגדרות!$B$8:$B$53,0)),"⚠ לא בהגדרות"))</f>
        <v/>
      </c>
      <c r="D1414" s="51"/>
      <c r="E1414" s="53"/>
      <c r="F1414" s="52" t="str">
        <f aca="false">IF(A1414="","",INDEX(הגדרות!$H$16:$H$27,MONTH(A1414)))</f>
        <v/>
      </c>
    </row>
    <row r="1415" customFormat="false" ht="15" hidden="false" customHeight="false" outlineLevel="0" collapsed="false">
      <c r="A1415" s="55"/>
      <c r="B1415" s="56"/>
      <c r="C1415" s="57" t="str">
        <f aca="false">IF(B1415="","",IFERROR(INDEX(הגדרות!$A$8:$A$53,MATCH(B1415,הגדרות!$B$8:$B$53,0)),"⚠ לא בהגדרות"))</f>
        <v/>
      </c>
      <c r="D1415" s="56"/>
      <c r="E1415" s="58"/>
      <c r="F1415" s="57" t="str">
        <f aca="false">IF(A1415="","",INDEX(הגדרות!$H$16:$H$27,MONTH(A1415)))</f>
        <v/>
      </c>
    </row>
    <row r="1416" customFormat="false" ht="15" hidden="false" customHeight="false" outlineLevel="0" collapsed="false">
      <c r="A1416" s="50"/>
      <c r="B1416" s="51"/>
      <c r="C1416" s="52" t="str">
        <f aca="false">IF(B1416="","",IFERROR(INDEX(הגדרות!$A$8:$A$53,MATCH(B1416,הגדרות!$B$8:$B$53,0)),"⚠ לא בהגדרות"))</f>
        <v/>
      </c>
      <c r="D1416" s="51"/>
      <c r="E1416" s="53"/>
      <c r="F1416" s="52" t="str">
        <f aca="false">IF(A1416="","",INDEX(הגדרות!$H$16:$H$27,MONTH(A1416)))</f>
        <v/>
      </c>
    </row>
    <row r="1417" customFormat="false" ht="15" hidden="false" customHeight="false" outlineLevel="0" collapsed="false">
      <c r="A1417" s="55"/>
      <c r="B1417" s="56"/>
      <c r="C1417" s="57" t="str">
        <f aca="false">IF(B1417="","",IFERROR(INDEX(הגדרות!$A$8:$A$53,MATCH(B1417,הגדרות!$B$8:$B$53,0)),"⚠ לא בהגדרות"))</f>
        <v/>
      </c>
      <c r="D1417" s="56"/>
      <c r="E1417" s="58"/>
      <c r="F1417" s="57" t="str">
        <f aca="false">IF(A1417="","",INDEX(הגדרות!$H$16:$H$27,MONTH(A1417)))</f>
        <v/>
      </c>
    </row>
    <row r="1418" customFormat="false" ht="15" hidden="false" customHeight="false" outlineLevel="0" collapsed="false">
      <c r="A1418" s="50"/>
      <c r="B1418" s="51"/>
      <c r="C1418" s="52" t="str">
        <f aca="false">IF(B1418="","",IFERROR(INDEX(הגדרות!$A$8:$A$53,MATCH(B1418,הגדרות!$B$8:$B$53,0)),"⚠ לא בהגדרות"))</f>
        <v/>
      </c>
      <c r="D1418" s="51"/>
      <c r="E1418" s="53"/>
      <c r="F1418" s="52" t="str">
        <f aca="false">IF(A1418="","",INDEX(הגדרות!$H$16:$H$27,MONTH(A1418)))</f>
        <v/>
      </c>
    </row>
    <row r="1419" customFormat="false" ht="15" hidden="false" customHeight="false" outlineLevel="0" collapsed="false">
      <c r="A1419" s="55"/>
      <c r="B1419" s="56"/>
      <c r="C1419" s="57" t="str">
        <f aca="false">IF(B1419="","",IFERROR(INDEX(הגדרות!$A$8:$A$53,MATCH(B1419,הגדרות!$B$8:$B$53,0)),"⚠ לא בהגדרות"))</f>
        <v/>
      </c>
      <c r="D1419" s="56"/>
      <c r="E1419" s="58"/>
      <c r="F1419" s="57" t="str">
        <f aca="false">IF(A1419="","",INDEX(הגדרות!$H$16:$H$27,MONTH(A1419)))</f>
        <v/>
      </c>
    </row>
    <row r="1420" customFormat="false" ht="15" hidden="false" customHeight="false" outlineLevel="0" collapsed="false">
      <c r="A1420" s="50"/>
      <c r="B1420" s="51"/>
      <c r="C1420" s="52" t="str">
        <f aca="false">IF(B1420="","",IFERROR(INDEX(הגדרות!$A$8:$A$53,MATCH(B1420,הגדרות!$B$8:$B$53,0)),"⚠ לא בהגדרות"))</f>
        <v/>
      </c>
      <c r="D1420" s="51"/>
      <c r="E1420" s="53"/>
      <c r="F1420" s="52" t="str">
        <f aca="false">IF(A1420="","",INDEX(הגדרות!$H$16:$H$27,MONTH(A1420)))</f>
        <v/>
      </c>
    </row>
    <row r="1421" customFormat="false" ht="15" hidden="false" customHeight="false" outlineLevel="0" collapsed="false">
      <c r="A1421" s="55"/>
      <c r="B1421" s="56"/>
      <c r="C1421" s="57" t="str">
        <f aca="false">IF(B1421="","",IFERROR(INDEX(הגדרות!$A$8:$A$53,MATCH(B1421,הגדרות!$B$8:$B$53,0)),"⚠ לא בהגדרות"))</f>
        <v/>
      </c>
      <c r="D1421" s="56"/>
      <c r="E1421" s="58"/>
      <c r="F1421" s="57" t="str">
        <f aca="false">IF(A1421="","",INDEX(הגדרות!$H$16:$H$27,MONTH(A1421)))</f>
        <v/>
      </c>
    </row>
    <row r="1422" customFormat="false" ht="15" hidden="false" customHeight="false" outlineLevel="0" collapsed="false">
      <c r="A1422" s="50"/>
      <c r="B1422" s="51"/>
      <c r="C1422" s="52" t="str">
        <f aca="false">IF(B1422="","",IFERROR(INDEX(הגדרות!$A$8:$A$53,MATCH(B1422,הגדרות!$B$8:$B$53,0)),"⚠ לא בהגדרות"))</f>
        <v/>
      </c>
      <c r="D1422" s="51"/>
      <c r="E1422" s="53"/>
      <c r="F1422" s="52" t="str">
        <f aca="false">IF(A1422="","",INDEX(הגדרות!$H$16:$H$27,MONTH(A1422)))</f>
        <v/>
      </c>
    </row>
    <row r="1423" customFormat="false" ht="15" hidden="false" customHeight="false" outlineLevel="0" collapsed="false">
      <c r="A1423" s="55"/>
      <c r="B1423" s="56"/>
      <c r="C1423" s="57" t="str">
        <f aca="false">IF(B1423="","",IFERROR(INDEX(הגדרות!$A$8:$A$53,MATCH(B1423,הגדרות!$B$8:$B$53,0)),"⚠ לא בהגדרות"))</f>
        <v/>
      </c>
      <c r="D1423" s="56"/>
      <c r="E1423" s="58"/>
      <c r="F1423" s="57" t="str">
        <f aca="false">IF(A1423="","",INDEX(הגדרות!$H$16:$H$27,MONTH(A1423)))</f>
        <v/>
      </c>
    </row>
    <row r="1424" customFormat="false" ht="15" hidden="false" customHeight="false" outlineLevel="0" collapsed="false">
      <c r="A1424" s="50"/>
      <c r="B1424" s="51"/>
      <c r="C1424" s="52" t="str">
        <f aca="false">IF(B1424="","",IFERROR(INDEX(הגדרות!$A$8:$A$53,MATCH(B1424,הגדרות!$B$8:$B$53,0)),"⚠ לא בהגדרות"))</f>
        <v/>
      </c>
      <c r="D1424" s="51"/>
      <c r="E1424" s="53"/>
      <c r="F1424" s="52" t="str">
        <f aca="false">IF(A1424="","",INDEX(הגדרות!$H$16:$H$27,MONTH(A1424)))</f>
        <v/>
      </c>
    </row>
    <row r="1425" customFormat="false" ht="15" hidden="false" customHeight="false" outlineLevel="0" collapsed="false">
      <c r="A1425" s="55"/>
      <c r="B1425" s="56"/>
      <c r="C1425" s="57" t="str">
        <f aca="false">IF(B1425="","",IFERROR(INDEX(הגדרות!$A$8:$A$53,MATCH(B1425,הגדרות!$B$8:$B$53,0)),"⚠ לא בהגדרות"))</f>
        <v/>
      </c>
      <c r="D1425" s="56"/>
      <c r="E1425" s="58"/>
      <c r="F1425" s="57" t="str">
        <f aca="false">IF(A1425="","",INDEX(הגדרות!$H$16:$H$27,MONTH(A1425)))</f>
        <v/>
      </c>
    </row>
    <row r="1426" customFormat="false" ht="15" hidden="false" customHeight="false" outlineLevel="0" collapsed="false">
      <c r="A1426" s="50"/>
      <c r="B1426" s="51"/>
      <c r="C1426" s="52" t="str">
        <f aca="false">IF(B1426="","",IFERROR(INDEX(הגדרות!$A$8:$A$53,MATCH(B1426,הגדרות!$B$8:$B$53,0)),"⚠ לא בהגדרות"))</f>
        <v/>
      </c>
      <c r="D1426" s="51"/>
      <c r="E1426" s="53"/>
      <c r="F1426" s="52" t="str">
        <f aca="false">IF(A1426="","",INDEX(הגדרות!$H$16:$H$27,MONTH(A1426)))</f>
        <v/>
      </c>
    </row>
    <row r="1427" customFormat="false" ht="15" hidden="false" customHeight="false" outlineLevel="0" collapsed="false">
      <c r="A1427" s="55"/>
      <c r="B1427" s="56"/>
      <c r="C1427" s="57" t="str">
        <f aca="false">IF(B1427="","",IFERROR(INDEX(הגדרות!$A$8:$A$53,MATCH(B1427,הגדרות!$B$8:$B$53,0)),"⚠ לא בהגדרות"))</f>
        <v/>
      </c>
      <c r="D1427" s="56"/>
      <c r="E1427" s="58"/>
      <c r="F1427" s="57" t="str">
        <f aca="false">IF(A1427="","",INDEX(הגדרות!$H$16:$H$27,MONTH(A1427)))</f>
        <v/>
      </c>
    </row>
    <row r="1428" customFormat="false" ht="15" hidden="false" customHeight="false" outlineLevel="0" collapsed="false">
      <c r="A1428" s="50"/>
      <c r="B1428" s="51"/>
      <c r="C1428" s="52" t="str">
        <f aca="false">IF(B1428="","",IFERROR(INDEX(הגדרות!$A$8:$A$53,MATCH(B1428,הגדרות!$B$8:$B$53,0)),"⚠ לא בהגדרות"))</f>
        <v/>
      </c>
      <c r="D1428" s="51"/>
      <c r="E1428" s="53"/>
      <c r="F1428" s="52" t="str">
        <f aca="false">IF(A1428="","",INDEX(הגדרות!$H$16:$H$27,MONTH(A1428)))</f>
        <v/>
      </c>
    </row>
    <row r="1429" customFormat="false" ht="15" hidden="false" customHeight="false" outlineLevel="0" collapsed="false">
      <c r="A1429" s="55"/>
      <c r="B1429" s="56"/>
      <c r="C1429" s="57" t="str">
        <f aca="false">IF(B1429="","",IFERROR(INDEX(הגדרות!$A$8:$A$53,MATCH(B1429,הגדרות!$B$8:$B$53,0)),"⚠ לא בהגדרות"))</f>
        <v/>
      </c>
      <c r="D1429" s="56"/>
      <c r="E1429" s="58"/>
      <c r="F1429" s="57" t="str">
        <f aca="false">IF(A1429="","",INDEX(הגדרות!$H$16:$H$27,MONTH(A1429)))</f>
        <v/>
      </c>
    </row>
    <row r="1430" customFormat="false" ht="15" hidden="false" customHeight="false" outlineLevel="0" collapsed="false">
      <c r="A1430" s="50"/>
      <c r="B1430" s="51"/>
      <c r="C1430" s="52" t="str">
        <f aca="false">IF(B1430="","",IFERROR(INDEX(הגדרות!$A$8:$A$53,MATCH(B1430,הגדרות!$B$8:$B$53,0)),"⚠ לא בהגדרות"))</f>
        <v/>
      </c>
      <c r="D1430" s="51"/>
      <c r="E1430" s="53"/>
      <c r="F1430" s="52" t="str">
        <f aca="false">IF(A1430="","",INDEX(הגדרות!$H$16:$H$27,MONTH(A1430)))</f>
        <v/>
      </c>
    </row>
    <row r="1431" customFormat="false" ht="15" hidden="false" customHeight="false" outlineLevel="0" collapsed="false">
      <c r="A1431" s="55"/>
      <c r="B1431" s="56"/>
      <c r="C1431" s="57" t="str">
        <f aca="false">IF(B1431="","",IFERROR(INDEX(הגדרות!$A$8:$A$53,MATCH(B1431,הגדרות!$B$8:$B$53,0)),"⚠ לא בהגדרות"))</f>
        <v/>
      </c>
      <c r="D1431" s="56"/>
      <c r="E1431" s="58"/>
      <c r="F1431" s="57" t="str">
        <f aca="false">IF(A1431="","",INDEX(הגדרות!$H$16:$H$27,MONTH(A1431)))</f>
        <v/>
      </c>
    </row>
    <row r="1432" customFormat="false" ht="15" hidden="false" customHeight="false" outlineLevel="0" collapsed="false">
      <c r="A1432" s="50"/>
      <c r="B1432" s="51"/>
      <c r="C1432" s="52" t="str">
        <f aca="false">IF(B1432="","",IFERROR(INDEX(הגדרות!$A$8:$A$53,MATCH(B1432,הגדרות!$B$8:$B$53,0)),"⚠ לא בהגדרות"))</f>
        <v/>
      </c>
      <c r="D1432" s="51"/>
      <c r="E1432" s="53"/>
      <c r="F1432" s="52" t="str">
        <f aca="false">IF(A1432="","",INDEX(הגדרות!$H$16:$H$27,MONTH(A1432)))</f>
        <v/>
      </c>
    </row>
    <row r="1433" customFormat="false" ht="15" hidden="false" customHeight="false" outlineLevel="0" collapsed="false">
      <c r="A1433" s="55"/>
      <c r="B1433" s="56"/>
      <c r="C1433" s="57" t="str">
        <f aca="false">IF(B1433="","",IFERROR(INDEX(הגדרות!$A$8:$A$53,MATCH(B1433,הגדרות!$B$8:$B$53,0)),"⚠ לא בהגדרות"))</f>
        <v/>
      </c>
      <c r="D1433" s="56"/>
      <c r="E1433" s="58"/>
      <c r="F1433" s="57" t="str">
        <f aca="false">IF(A1433="","",INDEX(הגדרות!$H$16:$H$27,MONTH(A1433)))</f>
        <v/>
      </c>
    </row>
    <row r="1434" customFormat="false" ht="15" hidden="false" customHeight="false" outlineLevel="0" collapsed="false">
      <c r="A1434" s="50"/>
      <c r="B1434" s="51"/>
      <c r="C1434" s="52" t="str">
        <f aca="false">IF(B1434="","",IFERROR(INDEX(הגדרות!$A$8:$A$53,MATCH(B1434,הגדרות!$B$8:$B$53,0)),"⚠ לא בהגדרות"))</f>
        <v/>
      </c>
      <c r="D1434" s="51"/>
      <c r="E1434" s="53"/>
      <c r="F1434" s="52" t="str">
        <f aca="false">IF(A1434="","",INDEX(הגדרות!$H$16:$H$27,MONTH(A1434)))</f>
        <v/>
      </c>
    </row>
    <row r="1435" customFormat="false" ht="15" hidden="false" customHeight="false" outlineLevel="0" collapsed="false">
      <c r="A1435" s="55"/>
      <c r="B1435" s="56"/>
      <c r="C1435" s="57" t="str">
        <f aca="false">IF(B1435="","",IFERROR(INDEX(הגדרות!$A$8:$A$53,MATCH(B1435,הגדרות!$B$8:$B$53,0)),"⚠ לא בהגדרות"))</f>
        <v/>
      </c>
      <c r="D1435" s="56"/>
      <c r="E1435" s="58"/>
      <c r="F1435" s="57" t="str">
        <f aca="false">IF(A1435="","",INDEX(הגדרות!$H$16:$H$27,MONTH(A1435)))</f>
        <v/>
      </c>
    </row>
    <row r="1436" customFormat="false" ht="15" hidden="false" customHeight="false" outlineLevel="0" collapsed="false">
      <c r="A1436" s="50"/>
      <c r="B1436" s="51"/>
      <c r="C1436" s="52" t="str">
        <f aca="false">IF(B1436="","",IFERROR(INDEX(הגדרות!$A$8:$A$53,MATCH(B1436,הגדרות!$B$8:$B$53,0)),"⚠ לא בהגדרות"))</f>
        <v/>
      </c>
      <c r="D1436" s="51"/>
      <c r="E1436" s="53"/>
      <c r="F1436" s="52" t="str">
        <f aca="false">IF(A1436="","",INDEX(הגדרות!$H$16:$H$27,MONTH(A1436)))</f>
        <v/>
      </c>
    </row>
    <row r="1437" customFormat="false" ht="15" hidden="false" customHeight="false" outlineLevel="0" collapsed="false">
      <c r="A1437" s="55"/>
      <c r="B1437" s="56"/>
      <c r="C1437" s="57" t="str">
        <f aca="false">IF(B1437="","",IFERROR(INDEX(הגדרות!$A$8:$A$53,MATCH(B1437,הגדרות!$B$8:$B$53,0)),"⚠ לא בהגדרות"))</f>
        <v/>
      </c>
      <c r="D1437" s="56"/>
      <c r="E1437" s="58"/>
      <c r="F1437" s="57" t="str">
        <f aca="false">IF(A1437="","",INDEX(הגדרות!$H$16:$H$27,MONTH(A1437)))</f>
        <v/>
      </c>
    </row>
    <row r="1438" customFormat="false" ht="15" hidden="false" customHeight="false" outlineLevel="0" collapsed="false">
      <c r="A1438" s="50"/>
      <c r="B1438" s="51"/>
      <c r="C1438" s="52" t="str">
        <f aca="false">IF(B1438="","",IFERROR(INDEX(הגדרות!$A$8:$A$53,MATCH(B1438,הגדרות!$B$8:$B$53,0)),"⚠ לא בהגדרות"))</f>
        <v/>
      </c>
      <c r="D1438" s="51"/>
      <c r="E1438" s="53"/>
      <c r="F1438" s="52" t="str">
        <f aca="false">IF(A1438="","",INDEX(הגדרות!$H$16:$H$27,MONTH(A1438)))</f>
        <v/>
      </c>
    </row>
    <row r="1439" customFormat="false" ht="15" hidden="false" customHeight="false" outlineLevel="0" collapsed="false">
      <c r="A1439" s="55"/>
      <c r="B1439" s="56"/>
      <c r="C1439" s="57" t="str">
        <f aca="false">IF(B1439="","",IFERROR(INDEX(הגדרות!$A$8:$A$53,MATCH(B1439,הגדרות!$B$8:$B$53,0)),"⚠ לא בהגדרות"))</f>
        <v/>
      </c>
      <c r="D1439" s="56"/>
      <c r="E1439" s="58"/>
      <c r="F1439" s="57" t="str">
        <f aca="false">IF(A1439="","",INDEX(הגדרות!$H$16:$H$27,MONTH(A1439)))</f>
        <v/>
      </c>
    </row>
    <row r="1440" customFormat="false" ht="15" hidden="false" customHeight="false" outlineLevel="0" collapsed="false">
      <c r="A1440" s="50"/>
      <c r="B1440" s="51"/>
      <c r="C1440" s="52" t="str">
        <f aca="false">IF(B1440="","",IFERROR(INDEX(הגדרות!$A$8:$A$53,MATCH(B1440,הגדרות!$B$8:$B$53,0)),"⚠ לא בהגדרות"))</f>
        <v/>
      </c>
      <c r="D1440" s="51"/>
      <c r="E1440" s="53"/>
      <c r="F1440" s="52" t="str">
        <f aca="false">IF(A1440="","",INDEX(הגדרות!$H$16:$H$27,MONTH(A1440)))</f>
        <v/>
      </c>
    </row>
    <row r="1441" customFormat="false" ht="15" hidden="false" customHeight="false" outlineLevel="0" collapsed="false">
      <c r="A1441" s="55"/>
      <c r="B1441" s="56"/>
      <c r="C1441" s="57" t="str">
        <f aca="false">IF(B1441="","",IFERROR(INDEX(הגדרות!$A$8:$A$53,MATCH(B1441,הגדרות!$B$8:$B$53,0)),"⚠ לא בהגדרות"))</f>
        <v/>
      </c>
      <c r="D1441" s="56"/>
      <c r="E1441" s="58"/>
      <c r="F1441" s="57" t="str">
        <f aca="false">IF(A1441="","",INDEX(הגדרות!$H$16:$H$27,MONTH(A1441)))</f>
        <v/>
      </c>
    </row>
    <row r="1442" customFormat="false" ht="15" hidden="false" customHeight="false" outlineLevel="0" collapsed="false">
      <c r="A1442" s="50"/>
      <c r="B1442" s="51"/>
      <c r="C1442" s="52" t="str">
        <f aca="false">IF(B1442="","",IFERROR(INDEX(הגדרות!$A$8:$A$53,MATCH(B1442,הגדרות!$B$8:$B$53,0)),"⚠ לא בהגדרות"))</f>
        <v/>
      </c>
      <c r="D1442" s="51"/>
      <c r="E1442" s="53"/>
      <c r="F1442" s="52" t="str">
        <f aca="false">IF(A1442="","",INDEX(הגדרות!$H$16:$H$27,MONTH(A1442)))</f>
        <v/>
      </c>
    </row>
    <row r="1443" customFormat="false" ht="15" hidden="false" customHeight="false" outlineLevel="0" collapsed="false">
      <c r="A1443" s="55"/>
      <c r="B1443" s="56"/>
      <c r="C1443" s="57" t="str">
        <f aca="false">IF(B1443="","",IFERROR(INDEX(הגדרות!$A$8:$A$53,MATCH(B1443,הגדרות!$B$8:$B$53,0)),"⚠ לא בהגדרות"))</f>
        <v/>
      </c>
      <c r="D1443" s="56"/>
      <c r="E1443" s="58"/>
      <c r="F1443" s="57" t="str">
        <f aca="false">IF(A1443="","",INDEX(הגדרות!$H$16:$H$27,MONTH(A1443)))</f>
        <v/>
      </c>
    </row>
    <row r="1444" customFormat="false" ht="15" hidden="false" customHeight="false" outlineLevel="0" collapsed="false">
      <c r="A1444" s="50"/>
      <c r="B1444" s="51"/>
      <c r="C1444" s="52" t="str">
        <f aca="false">IF(B1444="","",IFERROR(INDEX(הגדרות!$A$8:$A$53,MATCH(B1444,הגדרות!$B$8:$B$53,0)),"⚠ לא בהגדרות"))</f>
        <v/>
      </c>
      <c r="D1444" s="51"/>
      <c r="E1444" s="53"/>
      <c r="F1444" s="52" t="str">
        <f aca="false">IF(A1444="","",INDEX(הגדרות!$H$16:$H$27,MONTH(A1444)))</f>
        <v/>
      </c>
    </row>
    <row r="1445" customFormat="false" ht="15" hidden="false" customHeight="false" outlineLevel="0" collapsed="false">
      <c r="A1445" s="55"/>
      <c r="B1445" s="56"/>
      <c r="C1445" s="57" t="str">
        <f aca="false">IF(B1445="","",IFERROR(INDEX(הגדרות!$A$8:$A$53,MATCH(B1445,הגדרות!$B$8:$B$53,0)),"⚠ לא בהגדרות"))</f>
        <v/>
      </c>
      <c r="D1445" s="56"/>
      <c r="E1445" s="58"/>
      <c r="F1445" s="57" t="str">
        <f aca="false">IF(A1445="","",INDEX(הגדרות!$H$16:$H$27,MONTH(A1445)))</f>
        <v/>
      </c>
    </row>
    <row r="1446" customFormat="false" ht="15" hidden="false" customHeight="false" outlineLevel="0" collapsed="false">
      <c r="A1446" s="50"/>
      <c r="B1446" s="51"/>
      <c r="C1446" s="52" t="str">
        <f aca="false">IF(B1446="","",IFERROR(INDEX(הגדרות!$A$8:$A$53,MATCH(B1446,הגדרות!$B$8:$B$53,0)),"⚠ לא בהגדרות"))</f>
        <v/>
      </c>
      <c r="D1446" s="51"/>
      <c r="E1446" s="53"/>
      <c r="F1446" s="52" t="str">
        <f aca="false">IF(A1446="","",INDEX(הגדרות!$H$16:$H$27,MONTH(A1446)))</f>
        <v/>
      </c>
    </row>
    <row r="1447" customFormat="false" ht="15" hidden="false" customHeight="false" outlineLevel="0" collapsed="false">
      <c r="A1447" s="55"/>
      <c r="B1447" s="56"/>
      <c r="C1447" s="57" t="str">
        <f aca="false">IF(B1447="","",IFERROR(INDEX(הגדרות!$A$8:$A$53,MATCH(B1447,הגדרות!$B$8:$B$53,0)),"⚠ לא בהגדרות"))</f>
        <v/>
      </c>
      <c r="D1447" s="56"/>
      <c r="E1447" s="58"/>
      <c r="F1447" s="57" t="str">
        <f aca="false">IF(A1447="","",INDEX(הגדרות!$H$16:$H$27,MONTH(A1447)))</f>
        <v/>
      </c>
    </row>
    <row r="1448" customFormat="false" ht="15" hidden="false" customHeight="false" outlineLevel="0" collapsed="false">
      <c r="A1448" s="50"/>
      <c r="B1448" s="51"/>
      <c r="C1448" s="52" t="str">
        <f aca="false">IF(B1448="","",IFERROR(INDEX(הגדרות!$A$8:$A$53,MATCH(B1448,הגדרות!$B$8:$B$53,0)),"⚠ לא בהגדרות"))</f>
        <v/>
      </c>
      <c r="D1448" s="51"/>
      <c r="E1448" s="53"/>
      <c r="F1448" s="52" t="str">
        <f aca="false">IF(A1448="","",INDEX(הגדרות!$H$16:$H$27,MONTH(A1448)))</f>
        <v/>
      </c>
    </row>
    <row r="1449" customFormat="false" ht="15" hidden="false" customHeight="false" outlineLevel="0" collapsed="false">
      <c r="A1449" s="55"/>
      <c r="B1449" s="56"/>
      <c r="C1449" s="57" t="str">
        <f aca="false">IF(B1449="","",IFERROR(INDEX(הגדרות!$A$8:$A$53,MATCH(B1449,הגדרות!$B$8:$B$53,0)),"⚠ לא בהגדרות"))</f>
        <v/>
      </c>
      <c r="D1449" s="56"/>
      <c r="E1449" s="58"/>
      <c r="F1449" s="57" t="str">
        <f aca="false">IF(A1449="","",INDEX(הגדרות!$H$16:$H$27,MONTH(A1449)))</f>
        <v/>
      </c>
    </row>
    <row r="1450" customFormat="false" ht="15" hidden="false" customHeight="false" outlineLevel="0" collapsed="false">
      <c r="A1450" s="50"/>
      <c r="B1450" s="51"/>
      <c r="C1450" s="52" t="str">
        <f aca="false">IF(B1450="","",IFERROR(INDEX(הגדרות!$A$8:$A$53,MATCH(B1450,הגדרות!$B$8:$B$53,0)),"⚠ לא בהגדרות"))</f>
        <v/>
      </c>
      <c r="D1450" s="51"/>
      <c r="E1450" s="53"/>
      <c r="F1450" s="52" t="str">
        <f aca="false">IF(A1450="","",INDEX(הגדרות!$H$16:$H$27,MONTH(A1450)))</f>
        <v/>
      </c>
    </row>
    <row r="1451" customFormat="false" ht="15" hidden="false" customHeight="false" outlineLevel="0" collapsed="false">
      <c r="A1451" s="55"/>
      <c r="B1451" s="56"/>
      <c r="C1451" s="57" t="str">
        <f aca="false">IF(B1451="","",IFERROR(INDEX(הגדרות!$A$8:$A$53,MATCH(B1451,הגדרות!$B$8:$B$53,0)),"⚠ לא בהגדרות"))</f>
        <v/>
      </c>
      <c r="D1451" s="56"/>
      <c r="E1451" s="58"/>
      <c r="F1451" s="57" t="str">
        <f aca="false">IF(A1451="","",INDEX(הגדרות!$H$16:$H$27,MONTH(A1451)))</f>
        <v/>
      </c>
    </row>
    <row r="1452" customFormat="false" ht="15" hidden="false" customHeight="false" outlineLevel="0" collapsed="false">
      <c r="A1452" s="50"/>
      <c r="B1452" s="51"/>
      <c r="C1452" s="52" t="str">
        <f aca="false">IF(B1452="","",IFERROR(INDEX(הגדרות!$A$8:$A$53,MATCH(B1452,הגדרות!$B$8:$B$53,0)),"⚠ לא בהגדרות"))</f>
        <v/>
      </c>
      <c r="D1452" s="51"/>
      <c r="E1452" s="53"/>
      <c r="F1452" s="52" t="str">
        <f aca="false">IF(A1452="","",INDEX(הגדרות!$H$16:$H$27,MONTH(A1452)))</f>
        <v/>
      </c>
    </row>
    <row r="1453" customFormat="false" ht="15" hidden="false" customHeight="false" outlineLevel="0" collapsed="false">
      <c r="A1453" s="55"/>
      <c r="B1453" s="56"/>
      <c r="C1453" s="57" t="str">
        <f aca="false">IF(B1453="","",IFERROR(INDEX(הגדרות!$A$8:$A$53,MATCH(B1453,הגדרות!$B$8:$B$53,0)),"⚠ לא בהגדרות"))</f>
        <v/>
      </c>
      <c r="D1453" s="56"/>
      <c r="E1453" s="58"/>
      <c r="F1453" s="57" t="str">
        <f aca="false">IF(A1453="","",INDEX(הגדרות!$H$16:$H$27,MONTH(A1453)))</f>
        <v/>
      </c>
    </row>
    <row r="1454" customFormat="false" ht="15" hidden="false" customHeight="false" outlineLevel="0" collapsed="false">
      <c r="A1454" s="50"/>
      <c r="B1454" s="51"/>
      <c r="C1454" s="52" t="str">
        <f aca="false">IF(B1454="","",IFERROR(INDEX(הגדרות!$A$8:$A$53,MATCH(B1454,הגדרות!$B$8:$B$53,0)),"⚠ לא בהגדרות"))</f>
        <v/>
      </c>
      <c r="D1454" s="51"/>
      <c r="E1454" s="53"/>
      <c r="F1454" s="52" t="str">
        <f aca="false">IF(A1454="","",INDEX(הגדרות!$H$16:$H$27,MONTH(A1454)))</f>
        <v/>
      </c>
    </row>
    <row r="1455" customFormat="false" ht="15" hidden="false" customHeight="false" outlineLevel="0" collapsed="false">
      <c r="A1455" s="55"/>
      <c r="B1455" s="56"/>
      <c r="C1455" s="57" t="str">
        <f aca="false">IF(B1455="","",IFERROR(INDEX(הגדרות!$A$8:$A$53,MATCH(B1455,הגדרות!$B$8:$B$53,0)),"⚠ לא בהגדרות"))</f>
        <v/>
      </c>
      <c r="D1455" s="56"/>
      <c r="E1455" s="58"/>
      <c r="F1455" s="57" t="str">
        <f aca="false">IF(A1455="","",INDEX(הגדרות!$H$16:$H$27,MONTH(A1455)))</f>
        <v/>
      </c>
    </row>
    <row r="1456" customFormat="false" ht="15" hidden="false" customHeight="false" outlineLevel="0" collapsed="false">
      <c r="A1456" s="50"/>
      <c r="B1456" s="51"/>
      <c r="C1456" s="52" t="str">
        <f aca="false">IF(B1456="","",IFERROR(INDEX(הגדרות!$A$8:$A$53,MATCH(B1456,הגדרות!$B$8:$B$53,0)),"⚠ לא בהגדרות"))</f>
        <v/>
      </c>
      <c r="D1456" s="51"/>
      <c r="E1456" s="53"/>
      <c r="F1456" s="52" t="str">
        <f aca="false">IF(A1456="","",INDEX(הגדרות!$H$16:$H$27,MONTH(A1456)))</f>
        <v/>
      </c>
    </row>
    <row r="1457" customFormat="false" ht="15" hidden="false" customHeight="false" outlineLevel="0" collapsed="false">
      <c r="A1457" s="55"/>
      <c r="B1457" s="56"/>
      <c r="C1457" s="57" t="str">
        <f aca="false">IF(B1457="","",IFERROR(INDEX(הגדרות!$A$8:$A$53,MATCH(B1457,הגדרות!$B$8:$B$53,0)),"⚠ לא בהגדרות"))</f>
        <v/>
      </c>
      <c r="D1457" s="56"/>
      <c r="E1457" s="58"/>
      <c r="F1457" s="57" t="str">
        <f aca="false">IF(A1457="","",INDEX(הגדרות!$H$16:$H$27,MONTH(A1457)))</f>
        <v/>
      </c>
    </row>
    <row r="1458" customFormat="false" ht="15" hidden="false" customHeight="false" outlineLevel="0" collapsed="false">
      <c r="A1458" s="50"/>
      <c r="B1458" s="51"/>
      <c r="C1458" s="52" t="str">
        <f aca="false">IF(B1458="","",IFERROR(INDEX(הגדרות!$A$8:$A$53,MATCH(B1458,הגדרות!$B$8:$B$53,0)),"⚠ לא בהגדרות"))</f>
        <v/>
      </c>
      <c r="D1458" s="51"/>
      <c r="E1458" s="53"/>
      <c r="F1458" s="52" t="str">
        <f aca="false">IF(A1458="","",INDEX(הגדרות!$H$16:$H$27,MONTH(A1458)))</f>
        <v/>
      </c>
    </row>
    <row r="1459" customFormat="false" ht="15" hidden="false" customHeight="false" outlineLevel="0" collapsed="false">
      <c r="A1459" s="55"/>
      <c r="B1459" s="56"/>
      <c r="C1459" s="57" t="str">
        <f aca="false">IF(B1459="","",IFERROR(INDEX(הגדרות!$A$8:$A$53,MATCH(B1459,הגדרות!$B$8:$B$53,0)),"⚠ לא בהגדרות"))</f>
        <v/>
      </c>
      <c r="D1459" s="56"/>
      <c r="E1459" s="58"/>
      <c r="F1459" s="57" t="str">
        <f aca="false">IF(A1459="","",INDEX(הגדרות!$H$16:$H$27,MONTH(A1459)))</f>
        <v/>
      </c>
    </row>
    <row r="1460" customFormat="false" ht="15" hidden="false" customHeight="false" outlineLevel="0" collapsed="false">
      <c r="A1460" s="50"/>
      <c r="B1460" s="51"/>
      <c r="C1460" s="52" t="str">
        <f aca="false">IF(B1460="","",IFERROR(INDEX(הגדרות!$A$8:$A$53,MATCH(B1460,הגדרות!$B$8:$B$53,0)),"⚠ לא בהגדרות"))</f>
        <v/>
      </c>
      <c r="D1460" s="51"/>
      <c r="E1460" s="53"/>
      <c r="F1460" s="52" t="str">
        <f aca="false">IF(A1460="","",INDEX(הגדרות!$H$16:$H$27,MONTH(A1460)))</f>
        <v/>
      </c>
    </row>
    <row r="1461" customFormat="false" ht="15" hidden="false" customHeight="false" outlineLevel="0" collapsed="false">
      <c r="A1461" s="55"/>
      <c r="B1461" s="56"/>
      <c r="C1461" s="57" t="str">
        <f aca="false">IF(B1461="","",IFERROR(INDEX(הגדרות!$A$8:$A$53,MATCH(B1461,הגדרות!$B$8:$B$53,0)),"⚠ לא בהגדרות"))</f>
        <v/>
      </c>
      <c r="D1461" s="56"/>
      <c r="E1461" s="58"/>
      <c r="F1461" s="57" t="str">
        <f aca="false">IF(A1461="","",INDEX(הגדרות!$H$16:$H$27,MONTH(A1461)))</f>
        <v/>
      </c>
    </row>
    <row r="1462" customFormat="false" ht="15" hidden="false" customHeight="false" outlineLevel="0" collapsed="false">
      <c r="A1462" s="50"/>
      <c r="B1462" s="51"/>
      <c r="C1462" s="52" t="str">
        <f aca="false">IF(B1462="","",IFERROR(INDEX(הגדרות!$A$8:$A$53,MATCH(B1462,הגדרות!$B$8:$B$53,0)),"⚠ לא בהגדרות"))</f>
        <v/>
      </c>
      <c r="D1462" s="51"/>
      <c r="E1462" s="53"/>
      <c r="F1462" s="52" t="str">
        <f aca="false">IF(A1462="","",INDEX(הגדרות!$H$16:$H$27,MONTH(A1462)))</f>
        <v/>
      </c>
    </row>
    <row r="1463" customFormat="false" ht="15" hidden="false" customHeight="false" outlineLevel="0" collapsed="false">
      <c r="A1463" s="55"/>
      <c r="B1463" s="56"/>
      <c r="C1463" s="57" t="str">
        <f aca="false">IF(B1463="","",IFERROR(INDEX(הגדרות!$A$8:$A$53,MATCH(B1463,הגדרות!$B$8:$B$53,0)),"⚠ לא בהגדרות"))</f>
        <v/>
      </c>
      <c r="D1463" s="56"/>
      <c r="E1463" s="58"/>
      <c r="F1463" s="57" t="str">
        <f aca="false">IF(A1463="","",INDEX(הגדרות!$H$16:$H$27,MONTH(A1463)))</f>
        <v/>
      </c>
    </row>
    <row r="1464" customFormat="false" ht="15" hidden="false" customHeight="false" outlineLevel="0" collapsed="false">
      <c r="A1464" s="50"/>
      <c r="B1464" s="51"/>
      <c r="C1464" s="52" t="str">
        <f aca="false">IF(B1464="","",IFERROR(INDEX(הגדרות!$A$8:$A$53,MATCH(B1464,הגדרות!$B$8:$B$53,0)),"⚠ לא בהגדרות"))</f>
        <v/>
      </c>
      <c r="D1464" s="51"/>
      <c r="E1464" s="53"/>
      <c r="F1464" s="52" t="str">
        <f aca="false">IF(A1464="","",INDEX(הגדרות!$H$16:$H$27,MONTH(A1464)))</f>
        <v/>
      </c>
    </row>
    <row r="1465" customFormat="false" ht="15" hidden="false" customHeight="false" outlineLevel="0" collapsed="false">
      <c r="A1465" s="55"/>
      <c r="B1465" s="56"/>
      <c r="C1465" s="57" t="str">
        <f aca="false">IF(B1465="","",IFERROR(INDEX(הגדרות!$A$8:$A$53,MATCH(B1465,הגדרות!$B$8:$B$53,0)),"⚠ לא בהגדרות"))</f>
        <v/>
      </c>
      <c r="D1465" s="56"/>
      <c r="E1465" s="58"/>
      <c r="F1465" s="57" t="str">
        <f aca="false">IF(A1465="","",INDEX(הגדרות!$H$16:$H$27,MONTH(A1465)))</f>
        <v/>
      </c>
    </row>
    <row r="1466" customFormat="false" ht="15" hidden="false" customHeight="false" outlineLevel="0" collapsed="false">
      <c r="A1466" s="50"/>
      <c r="B1466" s="51"/>
      <c r="C1466" s="52" t="str">
        <f aca="false">IF(B1466="","",IFERROR(INDEX(הגדרות!$A$8:$A$53,MATCH(B1466,הגדרות!$B$8:$B$53,0)),"⚠ לא בהגדרות"))</f>
        <v/>
      </c>
      <c r="D1466" s="51"/>
      <c r="E1466" s="53"/>
      <c r="F1466" s="52" t="str">
        <f aca="false">IF(A1466="","",INDEX(הגדרות!$H$16:$H$27,MONTH(A1466)))</f>
        <v/>
      </c>
    </row>
    <row r="1467" customFormat="false" ht="15" hidden="false" customHeight="false" outlineLevel="0" collapsed="false">
      <c r="A1467" s="55"/>
      <c r="B1467" s="56"/>
      <c r="C1467" s="57" t="str">
        <f aca="false">IF(B1467="","",IFERROR(INDEX(הגדרות!$A$8:$A$53,MATCH(B1467,הגדרות!$B$8:$B$53,0)),"⚠ לא בהגדרות"))</f>
        <v/>
      </c>
      <c r="D1467" s="56"/>
      <c r="E1467" s="58"/>
      <c r="F1467" s="57" t="str">
        <f aca="false">IF(A1467="","",INDEX(הגדרות!$H$16:$H$27,MONTH(A1467)))</f>
        <v/>
      </c>
    </row>
    <row r="1468" customFormat="false" ht="15" hidden="false" customHeight="false" outlineLevel="0" collapsed="false">
      <c r="A1468" s="50"/>
      <c r="B1468" s="51"/>
      <c r="C1468" s="52" t="str">
        <f aca="false">IF(B1468="","",IFERROR(INDEX(הגדרות!$A$8:$A$53,MATCH(B1468,הגדרות!$B$8:$B$53,0)),"⚠ לא בהגדרות"))</f>
        <v/>
      </c>
      <c r="D1468" s="51"/>
      <c r="E1468" s="53"/>
      <c r="F1468" s="52" t="str">
        <f aca="false">IF(A1468="","",INDEX(הגדרות!$H$16:$H$27,MONTH(A1468)))</f>
        <v/>
      </c>
    </row>
    <row r="1469" customFormat="false" ht="15" hidden="false" customHeight="false" outlineLevel="0" collapsed="false">
      <c r="A1469" s="55"/>
      <c r="B1469" s="56"/>
      <c r="C1469" s="57" t="str">
        <f aca="false">IF(B1469="","",IFERROR(INDEX(הגדרות!$A$8:$A$53,MATCH(B1469,הגדרות!$B$8:$B$53,0)),"⚠ לא בהגדרות"))</f>
        <v/>
      </c>
      <c r="D1469" s="56"/>
      <c r="E1469" s="58"/>
      <c r="F1469" s="57" t="str">
        <f aca="false">IF(A1469="","",INDEX(הגדרות!$H$16:$H$27,MONTH(A1469)))</f>
        <v/>
      </c>
    </row>
    <row r="1470" customFormat="false" ht="15" hidden="false" customHeight="false" outlineLevel="0" collapsed="false">
      <c r="A1470" s="50"/>
      <c r="B1470" s="51"/>
      <c r="C1470" s="52" t="str">
        <f aca="false">IF(B1470="","",IFERROR(INDEX(הגדרות!$A$8:$A$53,MATCH(B1470,הגדרות!$B$8:$B$53,0)),"⚠ לא בהגדרות"))</f>
        <v/>
      </c>
      <c r="D1470" s="51"/>
      <c r="E1470" s="53"/>
      <c r="F1470" s="52" t="str">
        <f aca="false">IF(A1470="","",INDEX(הגדרות!$H$16:$H$27,MONTH(A1470)))</f>
        <v/>
      </c>
    </row>
    <row r="1471" customFormat="false" ht="15" hidden="false" customHeight="false" outlineLevel="0" collapsed="false">
      <c r="A1471" s="55"/>
      <c r="B1471" s="56"/>
      <c r="C1471" s="57" t="str">
        <f aca="false">IF(B1471="","",IFERROR(INDEX(הגדרות!$A$8:$A$53,MATCH(B1471,הגדרות!$B$8:$B$53,0)),"⚠ לא בהגדרות"))</f>
        <v/>
      </c>
      <c r="D1471" s="56"/>
      <c r="E1471" s="58"/>
      <c r="F1471" s="57" t="str">
        <f aca="false">IF(A1471="","",INDEX(הגדרות!$H$16:$H$27,MONTH(A1471)))</f>
        <v/>
      </c>
    </row>
    <row r="1472" customFormat="false" ht="15" hidden="false" customHeight="false" outlineLevel="0" collapsed="false">
      <c r="A1472" s="50"/>
      <c r="B1472" s="51"/>
      <c r="C1472" s="52" t="str">
        <f aca="false">IF(B1472="","",IFERROR(INDEX(הגדרות!$A$8:$A$53,MATCH(B1472,הגדרות!$B$8:$B$53,0)),"⚠ לא בהגדרות"))</f>
        <v/>
      </c>
      <c r="D1472" s="51"/>
      <c r="E1472" s="53"/>
      <c r="F1472" s="52" t="str">
        <f aca="false">IF(A1472="","",INDEX(הגדרות!$H$16:$H$27,MONTH(A1472)))</f>
        <v/>
      </c>
    </row>
    <row r="1473" customFormat="false" ht="15" hidden="false" customHeight="false" outlineLevel="0" collapsed="false">
      <c r="A1473" s="55"/>
      <c r="B1473" s="56"/>
      <c r="C1473" s="57" t="str">
        <f aca="false">IF(B1473="","",IFERROR(INDEX(הגדרות!$A$8:$A$53,MATCH(B1473,הגדרות!$B$8:$B$53,0)),"⚠ לא בהגדרות"))</f>
        <v/>
      </c>
      <c r="D1473" s="56"/>
      <c r="E1473" s="58"/>
      <c r="F1473" s="57" t="str">
        <f aca="false">IF(A1473="","",INDEX(הגדרות!$H$16:$H$27,MONTH(A1473)))</f>
        <v/>
      </c>
    </row>
    <row r="1474" customFormat="false" ht="15" hidden="false" customHeight="false" outlineLevel="0" collapsed="false">
      <c r="A1474" s="50"/>
      <c r="B1474" s="51"/>
      <c r="C1474" s="52" t="str">
        <f aca="false">IF(B1474="","",IFERROR(INDEX(הגדרות!$A$8:$A$53,MATCH(B1474,הגדרות!$B$8:$B$53,0)),"⚠ לא בהגדרות"))</f>
        <v/>
      </c>
      <c r="D1474" s="51"/>
      <c r="E1474" s="53"/>
      <c r="F1474" s="52" t="str">
        <f aca="false">IF(A1474="","",INDEX(הגדרות!$H$16:$H$27,MONTH(A1474)))</f>
        <v/>
      </c>
    </row>
    <row r="1475" customFormat="false" ht="15" hidden="false" customHeight="false" outlineLevel="0" collapsed="false">
      <c r="A1475" s="55"/>
      <c r="B1475" s="56"/>
      <c r="C1475" s="57" t="str">
        <f aca="false">IF(B1475="","",IFERROR(INDEX(הגדרות!$A$8:$A$53,MATCH(B1475,הגדרות!$B$8:$B$53,0)),"⚠ לא בהגדרות"))</f>
        <v/>
      </c>
      <c r="D1475" s="56"/>
      <c r="E1475" s="58"/>
      <c r="F1475" s="57" t="str">
        <f aca="false">IF(A1475="","",INDEX(הגדרות!$H$16:$H$27,MONTH(A1475)))</f>
        <v/>
      </c>
    </row>
    <row r="1476" customFormat="false" ht="15" hidden="false" customHeight="false" outlineLevel="0" collapsed="false">
      <c r="A1476" s="50"/>
      <c r="B1476" s="51"/>
      <c r="C1476" s="52" t="str">
        <f aca="false">IF(B1476="","",IFERROR(INDEX(הגדרות!$A$8:$A$53,MATCH(B1476,הגדרות!$B$8:$B$53,0)),"⚠ לא בהגדרות"))</f>
        <v/>
      </c>
      <c r="D1476" s="51"/>
      <c r="E1476" s="53"/>
      <c r="F1476" s="52" t="str">
        <f aca="false">IF(A1476="","",INDEX(הגדרות!$H$16:$H$27,MONTH(A1476)))</f>
        <v/>
      </c>
    </row>
    <row r="1477" customFormat="false" ht="15" hidden="false" customHeight="false" outlineLevel="0" collapsed="false">
      <c r="A1477" s="55"/>
      <c r="B1477" s="56"/>
      <c r="C1477" s="57" t="str">
        <f aca="false">IF(B1477="","",IFERROR(INDEX(הגדרות!$A$8:$A$53,MATCH(B1477,הגדרות!$B$8:$B$53,0)),"⚠ לא בהגדרות"))</f>
        <v/>
      </c>
      <c r="D1477" s="56"/>
      <c r="E1477" s="58"/>
      <c r="F1477" s="57" t="str">
        <f aca="false">IF(A1477="","",INDEX(הגדרות!$H$16:$H$27,MONTH(A1477)))</f>
        <v/>
      </c>
    </row>
    <row r="1478" customFormat="false" ht="15" hidden="false" customHeight="false" outlineLevel="0" collapsed="false">
      <c r="A1478" s="50"/>
      <c r="B1478" s="51"/>
      <c r="C1478" s="52" t="str">
        <f aca="false">IF(B1478="","",IFERROR(INDEX(הגדרות!$A$8:$A$53,MATCH(B1478,הגדרות!$B$8:$B$53,0)),"⚠ לא בהגדרות"))</f>
        <v/>
      </c>
      <c r="D1478" s="51"/>
      <c r="E1478" s="53"/>
      <c r="F1478" s="52" t="str">
        <f aca="false">IF(A1478="","",INDEX(הגדרות!$H$16:$H$27,MONTH(A1478)))</f>
        <v/>
      </c>
    </row>
    <row r="1479" customFormat="false" ht="15" hidden="false" customHeight="false" outlineLevel="0" collapsed="false">
      <c r="A1479" s="55"/>
      <c r="B1479" s="56"/>
      <c r="C1479" s="57" t="str">
        <f aca="false">IF(B1479="","",IFERROR(INDEX(הגדרות!$A$8:$A$53,MATCH(B1479,הגדרות!$B$8:$B$53,0)),"⚠ לא בהגדרות"))</f>
        <v/>
      </c>
      <c r="D1479" s="56"/>
      <c r="E1479" s="58"/>
      <c r="F1479" s="57" t="str">
        <f aca="false">IF(A1479="","",INDEX(הגדרות!$H$16:$H$27,MONTH(A1479)))</f>
        <v/>
      </c>
    </row>
    <row r="1480" customFormat="false" ht="15" hidden="false" customHeight="false" outlineLevel="0" collapsed="false">
      <c r="A1480" s="50"/>
      <c r="B1480" s="51"/>
      <c r="C1480" s="52" t="str">
        <f aca="false">IF(B1480="","",IFERROR(INDEX(הגדרות!$A$8:$A$53,MATCH(B1480,הגדרות!$B$8:$B$53,0)),"⚠ לא בהגדרות"))</f>
        <v/>
      </c>
      <c r="D1480" s="51"/>
      <c r="E1480" s="53"/>
      <c r="F1480" s="52" t="str">
        <f aca="false">IF(A1480="","",INDEX(הגדרות!$H$16:$H$27,MONTH(A1480)))</f>
        <v/>
      </c>
    </row>
    <row r="1481" customFormat="false" ht="15" hidden="false" customHeight="false" outlineLevel="0" collapsed="false">
      <c r="A1481" s="55"/>
      <c r="B1481" s="56"/>
      <c r="C1481" s="57" t="str">
        <f aca="false">IF(B1481="","",IFERROR(INDEX(הגדרות!$A$8:$A$53,MATCH(B1481,הגדרות!$B$8:$B$53,0)),"⚠ לא בהגדרות"))</f>
        <v/>
      </c>
      <c r="D1481" s="56"/>
      <c r="E1481" s="58"/>
      <c r="F1481" s="57" t="str">
        <f aca="false">IF(A1481="","",INDEX(הגדרות!$H$16:$H$27,MONTH(A1481)))</f>
        <v/>
      </c>
    </row>
    <row r="1482" customFormat="false" ht="15" hidden="false" customHeight="false" outlineLevel="0" collapsed="false">
      <c r="A1482" s="50"/>
      <c r="B1482" s="51"/>
      <c r="C1482" s="52" t="str">
        <f aca="false">IF(B1482="","",IFERROR(INDEX(הגדרות!$A$8:$A$53,MATCH(B1482,הגדרות!$B$8:$B$53,0)),"⚠ לא בהגדרות"))</f>
        <v/>
      </c>
      <c r="D1482" s="51"/>
      <c r="E1482" s="53"/>
      <c r="F1482" s="52" t="str">
        <f aca="false">IF(A1482="","",INDEX(הגדרות!$H$16:$H$27,MONTH(A1482)))</f>
        <v/>
      </c>
    </row>
    <row r="1483" customFormat="false" ht="15" hidden="false" customHeight="false" outlineLevel="0" collapsed="false">
      <c r="A1483" s="55"/>
      <c r="B1483" s="56"/>
      <c r="C1483" s="57" t="str">
        <f aca="false">IF(B1483="","",IFERROR(INDEX(הגדרות!$A$8:$A$53,MATCH(B1483,הגדרות!$B$8:$B$53,0)),"⚠ לא בהגדרות"))</f>
        <v/>
      </c>
      <c r="D1483" s="56"/>
      <c r="E1483" s="58"/>
      <c r="F1483" s="57" t="str">
        <f aca="false">IF(A1483="","",INDEX(הגדרות!$H$16:$H$27,MONTH(A1483)))</f>
        <v/>
      </c>
    </row>
    <row r="1484" customFormat="false" ht="15" hidden="false" customHeight="false" outlineLevel="0" collapsed="false">
      <c r="A1484" s="50"/>
      <c r="B1484" s="51"/>
      <c r="C1484" s="52" t="str">
        <f aca="false">IF(B1484="","",IFERROR(INDEX(הגדרות!$A$8:$A$53,MATCH(B1484,הגדרות!$B$8:$B$53,0)),"⚠ לא בהגדרות"))</f>
        <v/>
      </c>
      <c r="D1484" s="51"/>
      <c r="E1484" s="53"/>
      <c r="F1484" s="52" t="str">
        <f aca="false">IF(A1484="","",INDEX(הגדרות!$H$16:$H$27,MONTH(A1484)))</f>
        <v/>
      </c>
    </row>
    <row r="1485" customFormat="false" ht="15" hidden="false" customHeight="false" outlineLevel="0" collapsed="false">
      <c r="A1485" s="55"/>
      <c r="B1485" s="56"/>
      <c r="C1485" s="57" t="str">
        <f aca="false">IF(B1485="","",IFERROR(INDEX(הגדרות!$A$8:$A$53,MATCH(B1485,הגדרות!$B$8:$B$53,0)),"⚠ לא בהגדרות"))</f>
        <v/>
      </c>
      <c r="D1485" s="56"/>
      <c r="E1485" s="58"/>
      <c r="F1485" s="57" t="str">
        <f aca="false">IF(A1485="","",INDEX(הגדרות!$H$16:$H$27,MONTH(A1485)))</f>
        <v/>
      </c>
    </row>
    <row r="1486" customFormat="false" ht="15" hidden="false" customHeight="false" outlineLevel="0" collapsed="false">
      <c r="A1486" s="50"/>
      <c r="B1486" s="51"/>
      <c r="C1486" s="52" t="str">
        <f aca="false">IF(B1486="","",IFERROR(INDEX(הגדרות!$A$8:$A$53,MATCH(B1486,הגדרות!$B$8:$B$53,0)),"⚠ לא בהגדרות"))</f>
        <v/>
      </c>
      <c r="D1486" s="51"/>
      <c r="E1486" s="53"/>
      <c r="F1486" s="52" t="str">
        <f aca="false">IF(A1486="","",INDEX(הגדרות!$H$16:$H$27,MONTH(A1486)))</f>
        <v/>
      </c>
    </row>
    <row r="1487" customFormat="false" ht="15" hidden="false" customHeight="false" outlineLevel="0" collapsed="false">
      <c r="A1487" s="55"/>
      <c r="B1487" s="56"/>
      <c r="C1487" s="57" t="str">
        <f aca="false">IF(B1487="","",IFERROR(INDEX(הגדרות!$A$8:$A$53,MATCH(B1487,הגדרות!$B$8:$B$53,0)),"⚠ לא בהגדרות"))</f>
        <v/>
      </c>
      <c r="D1487" s="56"/>
      <c r="E1487" s="58"/>
      <c r="F1487" s="57" t="str">
        <f aca="false">IF(A1487="","",INDEX(הגדרות!$H$16:$H$27,MONTH(A1487)))</f>
        <v/>
      </c>
    </row>
    <row r="1488" customFormat="false" ht="15" hidden="false" customHeight="false" outlineLevel="0" collapsed="false">
      <c r="A1488" s="50"/>
      <c r="B1488" s="51"/>
      <c r="C1488" s="52" t="str">
        <f aca="false">IF(B1488="","",IFERROR(INDEX(הגדרות!$A$8:$A$53,MATCH(B1488,הגדרות!$B$8:$B$53,0)),"⚠ לא בהגדרות"))</f>
        <v/>
      </c>
      <c r="D1488" s="51"/>
      <c r="E1488" s="53"/>
      <c r="F1488" s="52" t="str">
        <f aca="false">IF(A1488="","",INDEX(הגדרות!$H$16:$H$27,MONTH(A1488)))</f>
        <v/>
      </c>
    </row>
    <row r="1489" customFormat="false" ht="15" hidden="false" customHeight="false" outlineLevel="0" collapsed="false">
      <c r="A1489" s="55"/>
      <c r="B1489" s="56"/>
      <c r="C1489" s="57" t="str">
        <f aca="false">IF(B1489="","",IFERROR(INDEX(הגדרות!$A$8:$A$53,MATCH(B1489,הגדרות!$B$8:$B$53,0)),"⚠ לא בהגדרות"))</f>
        <v/>
      </c>
      <c r="D1489" s="56"/>
      <c r="E1489" s="58"/>
      <c r="F1489" s="57" t="str">
        <f aca="false">IF(A1489="","",INDEX(הגדרות!$H$16:$H$27,MONTH(A1489)))</f>
        <v/>
      </c>
    </row>
    <row r="1490" customFormat="false" ht="15" hidden="false" customHeight="false" outlineLevel="0" collapsed="false">
      <c r="A1490" s="50"/>
      <c r="B1490" s="51"/>
      <c r="C1490" s="52" t="str">
        <f aca="false">IF(B1490="","",IFERROR(INDEX(הגדרות!$A$8:$A$53,MATCH(B1490,הגדרות!$B$8:$B$53,0)),"⚠ לא בהגדרות"))</f>
        <v/>
      </c>
      <c r="D1490" s="51"/>
      <c r="E1490" s="53"/>
      <c r="F1490" s="52" t="str">
        <f aca="false">IF(A1490="","",INDEX(הגדרות!$H$16:$H$27,MONTH(A1490)))</f>
        <v/>
      </c>
    </row>
    <row r="1491" customFormat="false" ht="15" hidden="false" customHeight="false" outlineLevel="0" collapsed="false">
      <c r="A1491" s="55"/>
      <c r="B1491" s="56"/>
      <c r="C1491" s="57" t="str">
        <f aca="false">IF(B1491="","",IFERROR(INDEX(הגדרות!$A$8:$A$53,MATCH(B1491,הגדרות!$B$8:$B$53,0)),"⚠ לא בהגדרות"))</f>
        <v/>
      </c>
      <c r="D1491" s="56"/>
      <c r="E1491" s="58"/>
      <c r="F1491" s="57" t="str">
        <f aca="false">IF(A1491="","",INDEX(הגדרות!$H$16:$H$27,MONTH(A1491)))</f>
        <v/>
      </c>
    </row>
    <row r="1492" customFormat="false" ht="15" hidden="false" customHeight="false" outlineLevel="0" collapsed="false">
      <c r="A1492" s="50"/>
      <c r="B1492" s="51"/>
      <c r="C1492" s="52" t="str">
        <f aca="false">IF(B1492="","",IFERROR(INDEX(הגדרות!$A$8:$A$53,MATCH(B1492,הגדרות!$B$8:$B$53,0)),"⚠ לא בהגדרות"))</f>
        <v/>
      </c>
      <c r="D1492" s="51"/>
      <c r="E1492" s="53"/>
      <c r="F1492" s="52" t="str">
        <f aca="false">IF(A1492="","",INDEX(הגדרות!$H$16:$H$27,MONTH(A1492)))</f>
        <v/>
      </c>
    </row>
    <row r="1493" customFormat="false" ht="15" hidden="false" customHeight="false" outlineLevel="0" collapsed="false">
      <c r="A1493" s="55"/>
      <c r="B1493" s="56"/>
      <c r="C1493" s="57" t="str">
        <f aca="false">IF(B1493="","",IFERROR(INDEX(הגדרות!$A$8:$A$53,MATCH(B1493,הגדרות!$B$8:$B$53,0)),"⚠ לא בהגדרות"))</f>
        <v/>
      </c>
      <c r="D1493" s="56"/>
      <c r="E1493" s="58"/>
      <c r="F1493" s="57" t="str">
        <f aca="false">IF(A1493="","",INDEX(הגדרות!$H$16:$H$27,MONTH(A1493)))</f>
        <v/>
      </c>
    </row>
    <row r="1494" customFormat="false" ht="15" hidden="false" customHeight="false" outlineLevel="0" collapsed="false">
      <c r="A1494" s="50"/>
      <c r="B1494" s="51"/>
      <c r="C1494" s="52" t="str">
        <f aca="false">IF(B1494="","",IFERROR(INDEX(הגדרות!$A$8:$A$53,MATCH(B1494,הגדרות!$B$8:$B$53,0)),"⚠ לא בהגדרות"))</f>
        <v/>
      </c>
      <c r="D1494" s="51"/>
      <c r="E1494" s="53"/>
      <c r="F1494" s="52" t="str">
        <f aca="false">IF(A1494="","",INDEX(הגדרות!$H$16:$H$27,MONTH(A1494)))</f>
        <v/>
      </c>
    </row>
    <row r="1495" customFormat="false" ht="15" hidden="false" customHeight="false" outlineLevel="0" collapsed="false">
      <c r="A1495" s="55"/>
      <c r="B1495" s="56"/>
      <c r="C1495" s="57" t="str">
        <f aca="false">IF(B1495="","",IFERROR(INDEX(הגדרות!$A$8:$A$53,MATCH(B1495,הגדרות!$B$8:$B$53,0)),"⚠ לא בהגדרות"))</f>
        <v/>
      </c>
      <c r="D1495" s="56"/>
      <c r="E1495" s="58"/>
      <c r="F1495" s="57" t="str">
        <f aca="false">IF(A1495="","",INDEX(הגדרות!$H$16:$H$27,MONTH(A1495)))</f>
        <v/>
      </c>
    </row>
    <row r="1496" customFormat="false" ht="15" hidden="false" customHeight="false" outlineLevel="0" collapsed="false">
      <c r="A1496" s="50"/>
      <c r="B1496" s="51"/>
      <c r="C1496" s="52" t="str">
        <f aca="false">IF(B1496="","",IFERROR(INDEX(הגדרות!$A$8:$A$53,MATCH(B1496,הגדרות!$B$8:$B$53,0)),"⚠ לא בהגדרות"))</f>
        <v/>
      </c>
      <c r="D1496" s="51"/>
      <c r="E1496" s="53"/>
      <c r="F1496" s="52" t="str">
        <f aca="false">IF(A1496="","",INDEX(הגדרות!$H$16:$H$27,MONTH(A1496)))</f>
        <v/>
      </c>
    </row>
    <row r="1497" customFormat="false" ht="15" hidden="false" customHeight="false" outlineLevel="0" collapsed="false">
      <c r="A1497" s="55"/>
      <c r="B1497" s="56"/>
      <c r="C1497" s="57" t="str">
        <f aca="false">IF(B1497="","",IFERROR(INDEX(הגדרות!$A$8:$A$53,MATCH(B1497,הגדרות!$B$8:$B$53,0)),"⚠ לא בהגדרות"))</f>
        <v/>
      </c>
      <c r="D1497" s="56"/>
      <c r="E1497" s="58"/>
      <c r="F1497" s="57" t="str">
        <f aca="false">IF(A1497="","",INDEX(הגדרות!$H$16:$H$27,MONTH(A1497)))</f>
        <v/>
      </c>
    </row>
    <row r="1498" customFormat="false" ht="15" hidden="false" customHeight="false" outlineLevel="0" collapsed="false">
      <c r="A1498" s="50"/>
      <c r="B1498" s="51"/>
      <c r="C1498" s="52" t="str">
        <f aca="false">IF(B1498="","",IFERROR(INDEX(הגדרות!$A$8:$A$53,MATCH(B1498,הגדרות!$B$8:$B$53,0)),"⚠ לא בהגדרות"))</f>
        <v/>
      </c>
      <c r="D1498" s="51"/>
      <c r="E1498" s="53"/>
      <c r="F1498" s="52" t="str">
        <f aca="false">IF(A1498="","",INDEX(הגדרות!$H$16:$H$27,MONTH(A1498)))</f>
        <v/>
      </c>
    </row>
    <row r="1499" customFormat="false" ht="15" hidden="false" customHeight="false" outlineLevel="0" collapsed="false">
      <c r="A1499" s="55"/>
      <c r="B1499" s="56"/>
      <c r="C1499" s="57" t="str">
        <f aca="false">IF(B1499="","",IFERROR(INDEX(הגדרות!$A$8:$A$53,MATCH(B1499,הגדרות!$B$8:$B$53,0)),"⚠ לא בהגדרות"))</f>
        <v/>
      </c>
      <c r="D1499" s="56"/>
      <c r="E1499" s="58"/>
      <c r="F1499" s="57" t="str">
        <f aca="false">IF(A1499="","",INDEX(הגדרות!$H$16:$H$27,MONTH(A1499)))</f>
        <v/>
      </c>
    </row>
    <row r="1500" customFormat="false" ht="15" hidden="false" customHeight="false" outlineLevel="0" collapsed="false">
      <c r="A1500" s="50"/>
      <c r="B1500" s="51"/>
      <c r="C1500" s="52" t="str">
        <f aca="false">IF(B1500="","",IFERROR(INDEX(הגדרות!$A$8:$A$53,MATCH(B1500,הגדרות!$B$8:$B$53,0)),"⚠ לא בהגדרות"))</f>
        <v/>
      </c>
      <c r="D1500" s="51"/>
      <c r="E1500" s="53"/>
      <c r="F1500" s="52" t="str">
        <f aca="false">IF(A1500="","",INDEX(הגדרות!$H$16:$H$27,MONTH(A1500)))</f>
        <v/>
      </c>
    </row>
    <row r="1501" customFormat="false" ht="15" hidden="false" customHeight="false" outlineLevel="0" collapsed="false">
      <c r="A1501" s="55"/>
      <c r="B1501" s="56"/>
      <c r="C1501" s="57" t="str">
        <f aca="false">IF(B1501="","",IFERROR(INDEX(הגדרות!$A$8:$A$53,MATCH(B1501,הגדרות!$B$8:$B$53,0)),"⚠ לא בהגדרות"))</f>
        <v/>
      </c>
      <c r="D1501" s="56"/>
      <c r="E1501" s="58"/>
      <c r="F1501" s="57" t="str">
        <f aca="false">IF(A1501="","",INDEX(הגדרות!$H$16:$H$27,MONTH(A1501)))</f>
        <v/>
      </c>
    </row>
    <row r="1502" customFormat="false" ht="15" hidden="false" customHeight="false" outlineLevel="0" collapsed="false">
      <c r="A1502" s="50"/>
      <c r="B1502" s="51"/>
      <c r="C1502" s="52" t="str">
        <f aca="false">IF(B1502="","",IFERROR(INDEX(הגדרות!$A$8:$A$53,MATCH(B1502,הגדרות!$B$8:$B$53,0)),"⚠ לא בהגדרות"))</f>
        <v/>
      </c>
      <c r="D1502" s="51"/>
      <c r="E1502" s="53"/>
      <c r="F1502" s="52" t="str">
        <f aca="false">IF(A1502="","",INDEX(הגדרות!$H$16:$H$27,MONTH(A1502)))</f>
        <v/>
      </c>
    </row>
    <row r="1503" customFormat="false" ht="15" hidden="false" customHeight="false" outlineLevel="0" collapsed="false">
      <c r="A1503" s="55"/>
      <c r="B1503" s="56"/>
      <c r="C1503" s="57" t="str">
        <f aca="false">IF(B1503="","",IFERROR(INDEX(הגדרות!$A$8:$A$53,MATCH(B1503,הגדרות!$B$8:$B$53,0)),"⚠ לא בהגדרות"))</f>
        <v/>
      </c>
      <c r="D1503" s="56"/>
      <c r="E1503" s="58"/>
      <c r="F1503" s="57" t="str">
        <f aca="false">IF(A1503="","",INDEX(הגדרות!$H$16:$H$27,MONTH(A1503)))</f>
        <v/>
      </c>
    </row>
    <row r="1504" customFormat="false" ht="15" hidden="false" customHeight="false" outlineLevel="0" collapsed="false">
      <c r="A1504" s="50"/>
      <c r="B1504" s="51"/>
      <c r="C1504" s="52" t="str">
        <f aca="false">IF(B1504="","",IFERROR(INDEX(הגדרות!$A$8:$A$53,MATCH(B1504,הגדרות!$B$8:$B$53,0)),"⚠ לא בהגדרות"))</f>
        <v/>
      </c>
      <c r="D1504" s="51"/>
      <c r="E1504" s="53"/>
      <c r="F1504" s="52" t="str">
        <f aca="false">IF(A1504="","",INDEX(הגדרות!$H$16:$H$27,MONTH(A1504)))</f>
        <v/>
      </c>
    </row>
    <row r="1505" customFormat="false" ht="15" hidden="false" customHeight="false" outlineLevel="0" collapsed="false">
      <c r="A1505" s="55"/>
      <c r="B1505" s="56"/>
      <c r="C1505" s="57" t="str">
        <f aca="false">IF(B1505="","",IFERROR(INDEX(הגדרות!$A$8:$A$53,MATCH(B1505,הגדרות!$B$8:$B$53,0)),"⚠ לא בהגדרות"))</f>
        <v/>
      </c>
      <c r="D1505" s="56"/>
      <c r="E1505" s="58"/>
      <c r="F1505" s="57" t="str">
        <f aca="false">IF(A1505="","",INDEX(הגדרות!$H$16:$H$27,MONTH(A1505)))</f>
        <v/>
      </c>
    </row>
    <row r="1506" customFormat="false" ht="15" hidden="false" customHeight="false" outlineLevel="0" collapsed="false">
      <c r="A1506" s="50"/>
      <c r="B1506" s="51"/>
      <c r="C1506" s="52" t="str">
        <f aca="false">IF(B1506="","",IFERROR(INDEX(הגדרות!$A$8:$A$53,MATCH(B1506,הגדרות!$B$8:$B$53,0)),"⚠ לא בהגדרות"))</f>
        <v/>
      </c>
      <c r="D1506" s="51"/>
      <c r="E1506" s="53"/>
      <c r="F1506" s="52" t="str">
        <f aca="false">IF(A1506="","",INDEX(הגדרות!$H$16:$H$27,MONTH(A1506)))</f>
        <v/>
      </c>
    </row>
    <row r="1507" customFormat="false" ht="15" hidden="false" customHeight="false" outlineLevel="0" collapsed="false">
      <c r="A1507" s="55"/>
      <c r="B1507" s="56"/>
      <c r="C1507" s="57" t="str">
        <f aca="false">IF(B1507="","",IFERROR(INDEX(הגדרות!$A$8:$A$53,MATCH(B1507,הגדרות!$B$8:$B$53,0)),"⚠ לא בהגדרות"))</f>
        <v/>
      </c>
      <c r="D1507" s="56"/>
      <c r="E1507" s="58"/>
      <c r="F1507" s="57" t="str">
        <f aca="false">IF(A1507="","",INDEX(הגדרות!$H$16:$H$27,MONTH(A1507)))</f>
        <v/>
      </c>
    </row>
    <row r="1508" customFormat="false" ht="15" hidden="false" customHeight="false" outlineLevel="0" collapsed="false">
      <c r="A1508" s="50"/>
      <c r="B1508" s="51"/>
      <c r="C1508" s="52" t="str">
        <f aca="false">IF(B1508="","",IFERROR(INDEX(הגדרות!$A$8:$A$53,MATCH(B1508,הגדרות!$B$8:$B$53,0)),"⚠ לא בהגדרות"))</f>
        <v/>
      </c>
      <c r="D1508" s="51"/>
      <c r="E1508" s="53"/>
      <c r="F1508" s="52" t="str">
        <f aca="false">IF(A1508="","",INDEX(הגדרות!$H$16:$H$27,MONTH(A1508)))</f>
        <v/>
      </c>
    </row>
    <row r="1509" customFormat="false" ht="15" hidden="false" customHeight="false" outlineLevel="0" collapsed="false">
      <c r="A1509" s="55"/>
      <c r="B1509" s="56"/>
      <c r="C1509" s="57" t="str">
        <f aca="false">IF(B1509="","",IFERROR(INDEX(הגדרות!$A$8:$A$53,MATCH(B1509,הגדרות!$B$8:$B$53,0)),"⚠ לא בהגדרות"))</f>
        <v/>
      </c>
      <c r="D1509" s="56"/>
      <c r="E1509" s="58"/>
      <c r="F1509" s="57" t="str">
        <f aca="false">IF(A1509="","",INDEX(הגדרות!$H$16:$H$27,MONTH(A1509)))</f>
        <v/>
      </c>
    </row>
    <row r="1510" customFormat="false" ht="15" hidden="false" customHeight="false" outlineLevel="0" collapsed="false">
      <c r="A1510" s="50"/>
      <c r="B1510" s="51"/>
      <c r="C1510" s="52" t="str">
        <f aca="false">IF(B1510="","",IFERROR(INDEX(הגדרות!$A$8:$A$53,MATCH(B1510,הגדרות!$B$8:$B$53,0)),"⚠ לא בהגדרות"))</f>
        <v/>
      </c>
      <c r="D1510" s="51"/>
      <c r="E1510" s="53"/>
      <c r="F1510" s="52" t="str">
        <f aca="false">IF(A1510="","",INDEX(הגדרות!$H$16:$H$27,MONTH(A1510)))</f>
        <v/>
      </c>
    </row>
    <row r="1511" customFormat="false" ht="15" hidden="false" customHeight="false" outlineLevel="0" collapsed="false">
      <c r="A1511" s="55"/>
      <c r="B1511" s="56"/>
      <c r="C1511" s="57" t="str">
        <f aca="false">IF(B1511="","",IFERROR(INDEX(הגדרות!$A$8:$A$53,MATCH(B1511,הגדרות!$B$8:$B$53,0)),"⚠ לא בהגדרות"))</f>
        <v/>
      </c>
      <c r="D1511" s="56"/>
      <c r="E1511" s="58"/>
      <c r="F1511" s="57" t="str">
        <f aca="false">IF(A1511="","",INDEX(הגדרות!$H$16:$H$27,MONTH(A1511)))</f>
        <v/>
      </c>
    </row>
    <row r="1512" customFormat="false" ht="15" hidden="false" customHeight="false" outlineLevel="0" collapsed="false">
      <c r="A1512" s="50"/>
      <c r="B1512" s="51"/>
      <c r="C1512" s="52" t="str">
        <f aca="false">IF(B1512="","",IFERROR(INDEX(הגדרות!$A$8:$A$53,MATCH(B1512,הגדרות!$B$8:$B$53,0)),"⚠ לא בהגדרות"))</f>
        <v/>
      </c>
      <c r="D1512" s="51"/>
      <c r="E1512" s="53"/>
      <c r="F1512" s="52" t="str">
        <f aca="false">IF(A1512="","",INDEX(הגדרות!$H$16:$H$27,MONTH(A1512)))</f>
        <v/>
      </c>
    </row>
    <row r="1513" customFormat="false" ht="15" hidden="false" customHeight="false" outlineLevel="0" collapsed="false">
      <c r="A1513" s="55"/>
      <c r="B1513" s="56"/>
      <c r="C1513" s="57" t="str">
        <f aca="false">IF(B1513="","",IFERROR(INDEX(הגדרות!$A$8:$A$53,MATCH(B1513,הגדרות!$B$8:$B$53,0)),"⚠ לא בהגדרות"))</f>
        <v/>
      </c>
      <c r="D1513" s="56"/>
      <c r="E1513" s="58"/>
      <c r="F1513" s="57" t="str">
        <f aca="false">IF(A1513="","",INDEX(הגדרות!$H$16:$H$27,MONTH(A1513)))</f>
        <v/>
      </c>
    </row>
    <row r="1514" customFormat="false" ht="15" hidden="false" customHeight="false" outlineLevel="0" collapsed="false">
      <c r="A1514" s="50"/>
      <c r="B1514" s="51"/>
      <c r="C1514" s="52" t="str">
        <f aca="false">IF(B1514="","",IFERROR(INDEX(הגדרות!$A$8:$A$53,MATCH(B1514,הגדרות!$B$8:$B$53,0)),"⚠ לא בהגדרות"))</f>
        <v/>
      </c>
      <c r="D1514" s="51"/>
      <c r="E1514" s="53"/>
      <c r="F1514" s="52" t="str">
        <f aca="false">IF(A1514="","",INDEX(הגדרות!$H$16:$H$27,MONTH(A1514)))</f>
        <v/>
      </c>
    </row>
    <row r="1515" customFormat="false" ht="15" hidden="false" customHeight="false" outlineLevel="0" collapsed="false">
      <c r="A1515" s="55"/>
      <c r="B1515" s="56"/>
      <c r="C1515" s="57" t="str">
        <f aca="false">IF(B1515="","",IFERROR(INDEX(הגדרות!$A$8:$A$53,MATCH(B1515,הגדרות!$B$8:$B$53,0)),"⚠ לא בהגדרות"))</f>
        <v/>
      </c>
      <c r="D1515" s="56"/>
      <c r="E1515" s="58"/>
      <c r="F1515" s="57" t="str">
        <f aca="false">IF(A1515="","",INDEX(הגדרות!$H$16:$H$27,MONTH(A1515)))</f>
        <v/>
      </c>
    </row>
    <row r="1516" customFormat="false" ht="15" hidden="false" customHeight="false" outlineLevel="0" collapsed="false">
      <c r="A1516" s="50"/>
      <c r="B1516" s="51"/>
      <c r="C1516" s="52" t="str">
        <f aca="false">IF(B1516="","",IFERROR(INDEX(הגדרות!$A$8:$A$53,MATCH(B1516,הגדרות!$B$8:$B$53,0)),"⚠ לא בהגדרות"))</f>
        <v/>
      </c>
      <c r="D1516" s="51"/>
      <c r="E1516" s="53"/>
      <c r="F1516" s="52" t="str">
        <f aca="false">IF(A1516="","",INDEX(הגדרות!$H$16:$H$27,MONTH(A1516)))</f>
        <v/>
      </c>
    </row>
    <row r="1517" customFormat="false" ht="15" hidden="false" customHeight="false" outlineLevel="0" collapsed="false">
      <c r="A1517" s="55"/>
      <c r="B1517" s="56"/>
      <c r="C1517" s="57" t="str">
        <f aca="false">IF(B1517="","",IFERROR(INDEX(הגדרות!$A$8:$A$53,MATCH(B1517,הגדרות!$B$8:$B$53,0)),"⚠ לא בהגדרות"))</f>
        <v/>
      </c>
      <c r="D1517" s="56"/>
      <c r="E1517" s="58"/>
      <c r="F1517" s="57" t="str">
        <f aca="false">IF(A1517="","",INDEX(הגדרות!$H$16:$H$27,MONTH(A1517)))</f>
        <v/>
      </c>
    </row>
    <row r="1518" customFormat="false" ht="15" hidden="false" customHeight="false" outlineLevel="0" collapsed="false">
      <c r="A1518" s="50"/>
      <c r="B1518" s="51"/>
      <c r="C1518" s="52" t="str">
        <f aca="false">IF(B1518="","",IFERROR(INDEX(הגדרות!$A$8:$A$53,MATCH(B1518,הגדרות!$B$8:$B$53,0)),"⚠ לא בהגדרות"))</f>
        <v/>
      </c>
      <c r="D1518" s="51"/>
      <c r="E1518" s="53"/>
      <c r="F1518" s="52" t="str">
        <f aca="false">IF(A1518="","",INDEX(הגדרות!$H$16:$H$27,MONTH(A1518)))</f>
        <v/>
      </c>
    </row>
    <row r="1519" customFormat="false" ht="15" hidden="false" customHeight="false" outlineLevel="0" collapsed="false">
      <c r="A1519" s="55"/>
      <c r="B1519" s="56"/>
      <c r="C1519" s="57" t="str">
        <f aca="false">IF(B1519="","",IFERROR(INDEX(הגדרות!$A$8:$A$53,MATCH(B1519,הגדרות!$B$8:$B$53,0)),"⚠ לא בהגדרות"))</f>
        <v/>
      </c>
      <c r="D1519" s="56"/>
      <c r="E1519" s="58"/>
      <c r="F1519" s="57" t="str">
        <f aca="false">IF(A1519="","",INDEX(הגדרות!$H$16:$H$27,MONTH(A1519)))</f>
        <v/>
      </c>
    </row>
    <row r="1520" customFormat="false" ht="15" hidden="false" customHeight="false" outlineLevel="0" collapsed="false">
      <c r="A1520" s="50"/>
      <c r="B1520" s="51"/>
      <c r="C1520" s="52" t="str">
        <f aca="false">IF(B1520="","",IFERROR(INDEX(הגדרות!$A$8:$A$53,MATCH(B1520,הגדרות!$B$8:$B$53,0)),"⚠ לא בהגדרות"))</f>
        <v/>
      </c>
      <c r="D1520" s="51"/>
      <c r="E1520" s="53"/>
      <c r="F1520" s="52" t="str">
        <f aca="false">IF(A1520="","",INDEX(הגדרות!$H$16:$H$27,MONTH(A1520)))</f>
        <v/>
      </c>
    </row>
    <row r="1521" customFormat="false" ht="15" hidden="false" customHeight="false" outlineLevel="0" collapsed="false">
      <c r="A1521" s="55"/>
      <c r="B1521" s="56"/>
      <c r="C1521" s="57" t="str">
        <f aca="false">IF(B1521="","",IFERROR(INDEX(הגדרות!$A$8:$A$53,MATCH(B1521,הגדרות!$B$8:$B$53,0)),"⚠ לא בהגדרות"))</f>
        <v/>
      </c>
      <c r="D1521" s="56"/>
      <c r="E1521" s="58"/>
      <c r="F1521" s="57" t="str">
        <f aca="false">IF(A1521="","",INDEX(הגדרות!$H$16:$H$27,MONTH(A1521)))</f>
        <v/>
      </c>
    </row>
    <row r="1522" customFormat="false" ht="15" hidden="false" customHeight="false" outlineLevel="0" collapsed="false">
      <c r="A1522" s="50"/>
      <c r="B1522" s="51"/>
      <c r="C1522" s="52" t="str">
        <f aca="false">IF(B1522="","",IFERROR(INDEX(הגדרות!$A$8:$A$53,MATCH(B1522,הגדרות!$B$8:$B$53,0)),"⚠ לא בהגדרות"))</f>
        <v/>
      </c>
      <c r="D1522" s="51"/>
      <c r="E1522" s="53"/>
      <c r="F1522" s="52" t="str">
        <f aca="false">IF(A1522="","",INDEX(הגדרות!$H$16:$H$27,MONTH(A1522)))</f>
        <v/>
      </c>
    </row>
    <row r="1523" customFormat="false" ht="15" hidden="false" customHeight="false" outlineLevel="0" collapsed="false">
      <c r="A1523" s="55"/>
      <c r="B1523" s="56"/>
      <c r="C1523" s="57" t="str">
        <f aca="false">IF(B1523="","",IFERROR(INDEX(הגדרות!$A$8:$A$53,MATCH(B1523,הגדרות!$B$8:$B$53,0)),"⚠ לא בהגדרות"))</f>
        <v/>
      </c>
      <c r="D1523" s="56"/>
      <c r="E1523" s="58"/>
      <c r="F1523" s="57" t="str">
        <f aca="false">IF(A1523="","",INDEX(הגדרות!$H$16:$H$27,MONTH(A1523)))</f>
        <v/>
      </c>
    </row>
    <row r="1524" customFormat="false" ht="15" hidden="false" customHeight="false" outlineLevel="0" collapsed="false">
      <c r="A1524" s="50"/>
      <c r="B1524" s="51"/>
      <c r="C1524" s="52" t="str">
        <f aca="false">IF(B1524="","",IFERROR(INDEX(הגדרות!$A$8:$A$53,MATCH(B1524,הגדרות!$B$8:$B$53,0)),"⚠ לא בהגדרות"))</f>
        <v/>
      </c>
      <c r="D1524" s="51"/>
      <c r="E1524" s="53"/>
      <c r="F1524" s="52" t="str">
        <f aca="false">IF(A1524="","",INDEX(הגדרות!$H$16:$H$27,MONTH(A1524)))</f>
        <v/>
      </c>
    </row>
    <row r="1525" customFormat="false" ht="15" hidden="false" customHeight="false" outlineLevel="0" collapsed="false">
      <c r="A1525" s="55"/>
      <c r="B1525" s="56"/>
      <c r="C1525" s="57" t="str">
        <f aca="false">IF(B1525="","",IFERROR(INDEX(הגדרות!$A$8:$A$53,MATCH(B1525,הגדרות!$B$8:$B$53,0)),"⚠ לא בהגדרות"))</f>
        <v/>
      </c>
      <c r="D1525" s="56"/>
      <c r="E1525" s="58"/>
      <c r="F1525" s="57" t="str">
        <f aca="false">IF(A1525="","",INDEX(הגדרות!$H$16:$H$27,MONTH(A1525)))</f>
        <v/>
      </c>
    </row>
    <row r="1526" customFormat="false" ht="15" hidden="false" customHeight="false" outlineLevel="0" collapsed="false">
      <c r="A1526" s="50"/>
      <c r="B1526" s="51"/>
      <c r="C1526" s="52" t="str">
        <f aca="false">IF(B1526="","",IFERROR(INDEX(הגדרות!$A$8:$A$53,MATCH(B1526,הגדרות!$B$8:$B$53,0)),"⚠ לא בהגדרות"))</f>
        <v/>
      </c>
      <c r="D1526" s="51"/>
      <c r="E1526" s="53"/>
      <c r="F1526" s="52" t="str">
        <f aca="false">IF(A1526="","",INDEX(הגדרות!$H$16:$H$27,MONTH(A1526)))</f>
        <v/>
      </c>
    </row>
    <row r="1527" customFormat="false" ht="15" hidden="false" customHeight="false" outlineLevel="0" collapsed="false">
      <c r="A1527" s="55"/>
      <c r="B1527" s="56"/>
      <c r="C1527" s="57" t="str">
        <f aca="false">IF(B1527="","",IFERROR(INDEX(הגדרות!$A$8:$A$53,MATCH(B1527,הגדרות!$B$8:$B$53,0)),"⚠ לא בהגדרות"))</f>
        <v/>
      </c>
      <c r="D1527" s="56"/>
      <c r="E1527" s="58"/>
      <c r="F1527" s="57" t="str">
        <f aca="false">IF(A1527="","",INDEX(הגדרות!$H$16:$H$27,MONTH(A1527)))</f>
        <v/>
      </c>
    </row>
    <row r="1528" customFormat="false" ht="15" hidden="false" customHeight="false" outlineLevel="0" collapsed="false">
      <c r="A1528" s="50"/>
      <c r="B1528" s="51"/>
      <c r="C1528" s="52" t="str">
        <f aca="false">IF(B1528="","",IFERROR(INDEX(הגדרות!$A$8:$A$53,MATCH(B1528,הגדרות!$B$8:$B$53,0)),"⚠ לא בהגדרות"))</f>
        <v/>
      </c>
      <c r="D1528" s="51"/>
      <c r="E1528" s="53"/>
      <c r="F1528" s="52" t="str">
        <f aca="false">IF(A1528="","",INDEX(הגדרות!$H$16:$H$27,MONTH(A1528)))</f>
        <v/>
      </c>
    </row>
    <row r="1529" customFormat="false" ht="15" hidden="false" customHeight="false" outlineLevel="0" collapsed="false">
      <c r="A1529" s="55"/>
      <c r="B1529" s="56"/>
      <c r="C1529" s="57" t="str">
        <f aca="false">IF(B1529="","",IFERROR(INDEX(הגדרות!$A$8:$A$53,MATCH(B1529,הגדרות!$B$8:$B$53,0)),"⚠ לא בהגדרות"))</f>
        <v/>
      </c>
      <c r="D1529" s="56"/>
      <c r="E1529" s="58"/>
      <c r="F1529" s="57" t="str">
        <f aca="false">IF(A1529="","",INDEX(הגדרות!$H$16:$H$27,MONTH(A1529)))</f>
        <v/>
      </c>
    </row>
    <row r="1530" customFormat="false" ht="15" hidden="false" customHeight="false" outlineLevel="0" collapsed="false">
      <c r="A1530" s="50"/>
      <c r="B1530" s="51"/>
      <c r="C1530" s="52" t="str">
        <f aca="false">IF(B1530="","",IFERROR(INDEX(הגדרות!$A$8:$A$53,MATCH(B1530,הגדרות!$B$8:$B$53,0)),"⚠ לא בהגדרות"))</f>
        <v/>
      </c>
      <c r="D1530" s="51"/>
      <c r="E1530" s="53"/>
      <c r="F1530" s="52" t="str">
        <f aca="false">IF(A1530="","",INDEX(הגדרות!$H$16:$H$27,MONTH(A1530)))</f>
        <v/>
      </c>
    </row>
    <row r="1531" customFormat="false" ht="15" hidden="false" customHeight="false" outlineLevel="0" collapsed="false">
      <c r="A1531" s="55"/>
      <c r="B1531" s="56"/>
      <c r="C1531" s="57" t="str">
        <f aca="false">IF(B1531="","",IFERROR(INDEX(הגדרות!$A$8:$A$53,MATCH(B1531,הגדרות!$B$8:$B$53,0)),"⚠ לא בהגדרות"))</f>
        <v/>
      </c>
      <c r="D1531" s="56"/>
      <c r="E1531" s="58"/>
      <c r="F1531" s="57" t="str">
        <f aca="false">IF(A1531="","",INDEX(הגדרות!$H$16:$H$27,MONTH(A1531)))</f>
        <v/>
      </c>
    </row>
    <row r="1532" customFormat="false" ht="15" hidden="false" customHeight="false" outlineLevel="0" collapsed="false">
      <c r="A1532" s="50"/>
      <c r="B1532" s="51"/>
      <c r="C1532" s="52" t="str">
        <f aca="false">IF(B1532="","",IFERROR(INDEX(הגדרות!$A$8:$A$53,MATCH(B1532,הגדרות!$B$8:$B$53,0)),"⚠ לא בהגדרות"))</f>
        <v/>
      </c>
      <c r="D1532" s="51"/>
      <c r="E1532" s="53"/>
      <c r="F1532" s="52" t="str">
        <f aca="false">IF(A1532="","",INDEX(הגדרות!$H$16:$H$27,MONTH(A1532)))</f>
        <v/>
      </c>
    </row>
    <row r="1533" customFormat="false" ht="15" hidden="false" customHeight="false" outlineLevel="0" collapsed="false">
      <c r="A1533" s="55"/>
      <c r="B1533" s="56"/>
      <c r="C1533" s="57" t="str">
        <f aca="false">IF(B1533="","",IFERROR(INDEX(הגדרות!$A$8:$A$53,MATCH(B1533,הגדרות!$B$8:$B$53,0)),"⚠ לא בהגדרות"))</f>
        <v/>
      </c>
      <c r="D1533" s="56"/>
      <c r="E1533" s="58"/>
      <c r="F1533" s="57" t="str">
        <f aca="false">IF(A1533="","",INDEX(הגדרות!$H$16:$H$27,MONTH(A1533)))</f>
        <v/>
      </c>
    </row>
    <row r="1534" customFormat="false" ht="15" hidden="false" customHeight="false" outlineLevel="0" collapsed="false">
      <c r="A1534" s="50"/>
      <c r="B1534" s="51"/>
      <c r="C1534" s="52" t="str">
        <f aca="false">IF(B1534="","",IFERROR(INDEX(הגדרות!$A$8:$A$53,MATCH(B1534,הגדרות!$B$8:$B$53,0)),"⚠ לא בהגדרות"))</f>
        <v/>
      </c>
      <c r="D1534" s="51"/>
      <c r="E1534" s="53"/>
      <c r="F1534" s="52" t="str">
        <f aca="false">IF(A1534="","",INDEX(הגדרות!$H$16:$H$27,MONTH(A1534)))</f>
        <v/>
      </c>
    </row>
    <row r="1535" customFormat="false" ht="15" hidden="false" customHeight="false" outlineLevel="0" collapsed="false">
      <c r="A1535" s="55"/>
      <c r="B1535" s="56"/>
      <c r="C1535" s="57" t="str">
        <f aca="false">IF(B1535="","",IFERROR(INDEX(הגדרות!$A$8:$A$53,MATCH(B1535,הגדרות!$B$8:$B$53,0)),"⚠ לא בהגדרות"))</f>
        <v/>
      </c>
      <c r="D1535" s="56"/>
      <c r="E1535" s="58"/>
      <c r="F1535" s="57" t="str">
        <f aca="false">IF(A1535="","",INDEX(הגדרות!$H$16:$H$27,MONTH(A1535)))</f>
        <v/>
      </c>
    </row>
    <row r="1536" customFormat="false" ht="15" hidden="false" customHeight="false" outlineLevel="0" collapsed="false">
      <c r="A1536" s="50"/>
      <c r="B1536" s="51"/>
      <c r="C1536" s="52" t="str">
        <f aca="false">IF(B1536="","",IFERROR(INDEX(הגדרות!$A$8:$A$53,MATCH(B1536,הגדרות!$B$8:$B$53,0)),"⚠ לא בהגדרות"))</f>
        <v/>
      </c>
      <c r="D1536" s="51"/>
      <c r="E1536" s="53"/>
      <c r="F1536" s="52" t="str">
        <f aca="false">IF(A1536="","",INDEX(הגדרות!$H$16:$H$27,MONTH(A1536)))</f>
        <v/>
      </c>
    </row>
    <row r="1537" customFormat="false" ht="15" hidden="false" customHeight="false" outlineLevel="0" collapsed="false">
      <c r="A1537" s="55"/>
      <c r="B1537" s="56"/>
      <c r="C1537" s="57" t="str">
        <f aca="false">IF(B1537="","",IFERROR(INDEX(הגדרות!$A$8:$A$53,MATCH(B1537,הגדרות!$B$8:$B$53,0)),"⚠ לא בהגדרות"))</f>
        <v/>
      </c>
      <c r="D1537" s="56"/>
      <c r="E1537" s="58"/>
      <c r="F1537" s="57" t="str">
        <f aca="false">IF(A1537="","",INDEX(הגדרות!$H$16:$H$27,MONTH(A1537)))</f>
        <v/>
      </c>
    </row>
    <row r="1538" customFormat="false" ht="15" hidden="false" customHeight="false" outlineLevel="0" collapsed="false">
      <c r="A1538" s="50"/>
      <c r="B1538" s="51"/>
      <c r="C1538" s="52" t="str">
        <f aca="false">IF(B1538="","",IFERROR(INDEX(הגדרות!$A$8:$A$53,MATCH(B1538,הגדרות!$B$8:$B$53,0)),"⚠ לא בהגדרות"))</f>
        <v/>
      </c>
      <c r="D1538" s="51"/>
      <c r="E1538" s="53"/>
      <c r="F1538" s="52" t="str">
        <f aca="false">IF(A1538="","",INDEX(הגדרות!$H$16:$H$27,MONTH(A1538)))</f>
        <v/>
      </c>
    </row>
    <row r="1539" customFormat="false" ht="15" hidden="false" customHeight="false" outlineLevel="0" collapsed="false">
      <c r="A1539" s="55"/>
      <c r="B1539" s="56"/>
      <c r="C1539" s="57" t="str">
        <f aca="false">IF(B1539="","",IFERROR(INDEX(הגדרות!$A$8:$A$53,MATCH(B1539,הגדרות!$B$8:$B$53,0)),"⚠ לא בהגדרות"))</f>
        <v/>
      </c>
      <c r="D1539" s="56"/>
      <c r="E1539" s="58"/>
      <c r="F1539" s="57" t="str">
        <f aca="false">IF(A1539="","",INDEX(הגדרות!$H$16:$H$27,MONTH(A1539)))</f>
        <v/>
      </c>
    </row>
    <row r="1540" customFormat="false" ht="15" hidden="false" customHeight="false" outlineLevel="0" collapsed="false">
      <c r="A1540" s="50"/>
      <c r="B1540" s="51"/>
      <c r="C1540" s="52" t="str">
        <f aca="false">IF(B1540="","",IFERROR(INDEX(הגדרות!$A$8:$A$53,MATCH(B1540,הגדרות!$B$8:$B$53,0)),"⚠ לא בהגדרות"))</f>
        <v/>
      </c>
      <c r="D1540" s="51"/>
      <c r="E1540" s="53"/>
      <c r="F1540" s="52" t="str">
        <f aca="false">IF(A1540="","",INDEX(הגדרות!$H$16:$H$27,MONTH(A1540)))</f>
        <v/>
      </c>
    </row>
    <row r="1541" customFormat="false" ht="15" hidden="false" customHeight="false" outlineLevel="0" collapsed="false">
      <c r="A1541" s="55"/>
      <c r="B1541" s="56"/>
      <c r="C1541" s="57" t="str">
        <f aca="false">IF(B1541="","",IFERROR(INDEX(הגדרות!$A$8:$A$53,MATCH(B1541,הגדרות!$B$8:$B$53,0)),"⚠ לא בהגדרות"))</f>
        <v/>
      </c>
      <c r="D1541" s="56"/>
      <c r="E1541" s="58"/>
      <c r="F1541" s="57" t="str">
        <f aca="false">IF(A1541="","",INDEX(הגדרות!$H$16:$H$27,MONTH(A1541)))</f>
        <v/>
      </c>
    </row>
    <row r="1542" customFormat="false" ht="15" hidden="false" customHeight="false" outlineLevel="0" collapsed="false">
      <c r="A1542" s="50"/>
      <c r="B1542" s="51"/>
      <c r="C1542" s="52" t="str">
        <f aca="false">IF(B1542="","",IFERROR(INDEX(הגדרות!$A$8:$A$53,MATCH(B1542,הגדרות!$B$8:$B$53,0)),"⚠ לא בהגדרות"))</f>
        <v/>
      </c>
      <c r="D1542" s="51"/>
      <c r="E1542" s="53"/>
      <c r="F1542" s="52" t="str">
        <f aca="false">IF(A1542="","",INDEX(הגדרות!$H$16:$H$27,MONTH(A1542)))</f>
        <v/>
      </c>
    </row>
    <row r="1543" customFormat="false" ht="15" hidden="false" customHeight="false" outlineLevel="0" collapsed="false">
      <c r="A1543" s="55"/>
      <c r="B1543" s="56"/>
      <c r="C1543" s="57" t="str">
        <f aca="false">IF(B1543="","",IFERROR(INDEX(הגדרות!$A$8:$A$53,MATCH(B1543,הגדרות!$B$8:$B$53,0)),"⚠ לא בהגדרות"))</f>
        <v/>
      </c>
      <c r="D1543" s="56"/>
      <c r="E1543" s="58"/>
      <c r="F1543" s="57" t="str">
        <f aca="false">IF(A1543="","",INDEX(הגדרות!$H$16:$H$27,MONTH(A1543)))</f>
        <v/>
      </c>
    </row>
    <row r="1544" customFormat="false" ht="15" hidden="false" customHeight="false" outlineLevel="0" collapsed="false">
      <c r="A1544" s="50"/>
      <c r="B1544" s="51"/>
      <c r="C1544" s="52" t="str">
        <f aca="false">IF(B1544="","",IFERROR(INDEX(הגדרות!$A$8:$A$53,MATCH(B1544,הגדרות!$B$8:$B$53,0)),"⚠ לא בהגדרות"))</f>
        <v/>
      </c>
      <c r="D1544" s="51"/>
      <c r="E1544" s="53"/>
      <c r="F1544" s="52" t="str">
        <f aca="false">IF(A1544="","",INDEX(הגדרות!$H$16:$H$27,MONTH(A1544)))</f>
        <v/>
      </c>
    </row>
    <row r="1545" customFormat="false" ht="15" hidden="false" customHeight="false" outlineLevel="0" collapsed="false">
      <c r="A1545" s="55"/>
      <c r="B1545" s="56"/>
      <c r="C1545" s="57" t="str">
        <f aca="false">IF(B1545="","",IFERROR(INDEX(הגדרות!$A$8:$A$53,MATCH(B1545,הגדרות!$B$8:$B$53,0)),"⚠ לא בהגדרות"))</f>
        <v/>
      </c>
      <c r="D1545" s="56"/>
      <c r="E1545" s="58"/>
      <c r="F1545" s="57" t="str">
        <f aca="false">IF(A1545="","",INDEX(הגדרות!$H$16:$H$27,MONTH(A1545)))</f>
        <v/>
      </c>
    </row>
    <row r="1546" customFormat="false" ht="15" hidden="false" customHeight="false" outlineLevel="0" collapsed="false">
      <c r="A1546" s="50"/>
      <c r="B1546" s="51"/>
      <c r="C1546" s="52" t="str">
        <f aca="false">IF(B1546="","",IFERROR(INDEX(הגדרות!$A$8:$A$53,MATCH(B1546,הגדרות!$B$8:$B$53,0)),"⚠ לא בהגדרות"))</f>
        <v/>
      </c>
      <c r="D1546" s="51"/>
      <c r="E1546" s="53"/>
      <c r="F1546" s="52" t="str">
        <f aca="false">IF(A1546="","",INDEX(הגדרות!$H$16:$H$27,MONTH(A1546)))</f>
        <v/>
      </c>
    </row>
    <row r="1547" customFormat="false" ht="15" hidden="false" customHeight="false" outlineLevel="0" collapsed="false">
      <c r="A1547" s="55"/>
      <c r="B1547" s="56"/>
      <c r="C1547" s="57" t="str">
        <f aca="false">IF(B1547="","",IFERROR(INDEX(הגדרות!$A$8:$A$53,MATCH(B1547,הגדרות!$B$8:$B$53,0)),"⚠ לא בהגדרות"))</f>
        <v/>
      </c>
      <c r="D1547" s="56"/>
      <c r="E1547" s="58"/>
      <c r="F1547" s="57" t="str">
        <f aca="false">IF(A1547="","",INDEX(הגדרות!$H$16:$H$27,MONTH(A1547)))</f>
        <v/>
      </c>
    </row>
    <row r="1548" customFormat="false" ht="15" hidden="false" customHeight="false" outlineLevel="0" collapsed="false">
      <c r="A1548" s="50"/>
      <c r="B1548" s="51"/>
      <c r="C1548" s="52" t="str">
        <f aca="false">IF(B1548="","",IFERROR(INDEX(הגדרות!$A$8:$A$53,MATCH(B1548,הגדרות!$B$8:$B$53,0)),"⚠ לא בהגדרות"))</f>
        <v/>
      </c>
      <c r="D1548" s="51"/>
      <c r="E1548" s="53"/>
      <c r="F1548" s="52" t="str">
        <f aca="false">IF(A1548="","",INDEX(הגדרות!$H$16:$H$27,MONTH(A1548)))</f>
        <v/>
      </c>
    </row>
    <row r="1549" customFormat="false" ht="15" hidden="false" customHeight="false" outlineLevel="0" collapsed="false">
      <c r="A1549" s="55"/>
      <c r="B1549" s="56"/>
      <c r="C1549" s="57" t="str">
        <f aca="false">IF(B1549="","",IFERROR(INDEX(הגדרות!$A$8:$A$53,MATCH(B1549,הגדרות!$B$8:$B$53,0)),"⚠ לא בהגדרות"))</f>
        <v/>
      </c>
      <c r="D1549" s="56"/>
      <c r="E1549" s="58"/>
      <c r="F1549" s="57" t="str">
        <f aca="false">IF(A1549="","",INDEX(הגדרות!$H$16:$H$27,MONTH(A1549)))</f>
        <v/>
      </c>
    </row>
    <row r="1550" customFormat="false" ht="15" hidden="false" customHeight="false" outlineLevel="0" collapsed="false">
      <c r="A1550" s="50"/>
      <c r="B1550" s="51"/>
      <c r="C1550" s="52" t="str">
        <f aca="false">IF(B1550="","",IFERROR(INDEX(הגדרות!$A$8:$A$53,MATCH(B1550,הגדרות!$B$8:$B$53,0)),"⚠ לא בהגדרות"))</f>
        <v/>
      </c>
      <c r="D1550" s="51"/>
      <c r="E1550" s="53"/>
      <c r="F1550" s="52" t="str">
        <f aca="false">IF(A1550="","",INDEX(הגדרות!$H$16:$H$27,MONTH(A1550)))</f>
        <v/>
      </c>
    </row>
    <row r="1551" customFormat="false" ht="15" hidden="false" customHeight="false" outlineLevel="0" collapsed="false">
      <c r="A1551" s="55"/>
      <c r="B1551" s="56"/>
      <c r="C1551" s="57" t="str">
        <f aca="false">IF(B1551="","",IFERROR(INDEX(הגדרות!$A$8:$A$53,MATCH(B1551,הגדרות!$B$8:$B$53,0)),"⚠ לא בהגדרות"))</f>
        <v/>
      </c>
      <c r="D1551" s="56"/>
      <c r="E1551" s="58"/>
      <c r="F1551" s="57" t="str">
        <f aca="false">IF(A1551="","",INDEX(הגדרות!$H$16:$H$27,MONTH(A1551)))</f>
        <v/>
      </c>
    </row>
    <row r="1552" customFormat="false" ht="15" hidden="false" customHeight="false" outlineLevel="0" collapsed="false">
      <c r="A1552" s="50"/>
      <c r="B1552" s="51"/>
      <c r="C1552" s="52" t="str">
        <f aca="false">IF(B1552="","",IFERROR(INDEX(הגדרות!$A$8:$A$53,MATCH(B1552,הגדרות!$B$8:$B$53,0)),"⚠ לא בהגדרות"))</f>
        <v/>
      </c>
      <c r="D1552" s="51"/>
      <c r="E1552" s="53"/>
      <c r="F1552" s="52" t="str">
        <f aca="false">IF(A1552="","",INDEX(הגדרות!$H$16:$H$27,MONTH(A1552)))</f>
        <v/>
      </c>
    </row>
    <row r="1553" customFormat="false" ht="15" hidden="false" customHeight="false" outlineLevel="0" collapsed="false">
      <c r="A1553" s="55"/>
      <c r="B1553" s="56"/>
      <c r="C1553" s="57" t="str">
        <f aca="false">IF(B1553="","",IFERROR(INDEX(הגדרות!$A$8:$A$53,MATCH(B1553,הגדרות!$B$8:$B$53,0)),"⚠ לא בהגדרות"))</f>
        <v/>
      </c>
      <c r="D1553" s="56"/>
      <c r="E1553" s="58"/>
      <c r="F1553" s="57" t="str">
        <f aca="false">IF(A1553="","",INDEX(הגדרות!$H$16:$H$27,MONTH(A1553)))</f>
        <v/>
      </c>
    </row>
    <row r="1554" customFormat="false" ht="15" hidden="false" customHeight="false" outlineLevel="0" collapsed="false">
      <c r="A1554" s="50"/>
      <c r="B1554" s="51"/>
      <c r="C1554" s="52" t="str">
        <f aca="false">IF(B1554="","",IFERROR(INDEX(הגדרות!$A$8:$A$53,MATCH(B1554,הגדרות!$B$8:$B$53,0)),"⚠ לא בהגדרות"))</f>
        <v/>
      </c>
      <c r="D1554" s="51"/>
      <c r="E1554" s="53"/>
      <c r="F1554" s="52" t="str">
        <f aca="false">IF(A1554="","",INDEX(הגדרות!$H$16:$H$27,MONTH(A1554)))</f>
        <v/>
      </c>
    </row>
    <row r="1555" customFormat="false" ht="15" hidden="false" customHeight="false" outlineLevel="0" collapsed="false">
      <c r="A1555" s="55"/>
      <c r="B1555" s="56"/>
      <c r="C1555" s="57" t="str">
        <f aca="false">IF(B1555="","",IFERROR(INDEX(הגדרות!$A$8:$A$53,MATCH(B1555,הגדרות!$B$8:$B$53,0)),"⚠ לא בהגדרות"))</f>
        <v/>
      </c>
      <c r="D1555" s="56"/>
      <c r="E1555" s="58"/>
      <c r="F1555" s="57" t="str">
        <f aca="false">IF(A1555="","",INDEX(הגדרות!$H$16:$H$27,MONTH(A1555)))</f>
        <v/>
      </c>
    </row>
    <row r="1556" customFormat="false" ht="15" hidden="false" customHeight="false" outlineLevel="0" collapsed="false">
      <c r="A1556" s="50"/>
      <c r="B1556" s="51"/>
      <c r="C1556" s="52" t="str">
        <f aca="false">IF(B1556="","",IFERROR(INDEX(הגדרות!$A$8:$A$53,MATCH(B1556,הגדרות!$B$8:$B$53,0)),"⚠ לא בהגדרות"))</f>
        <v/>
      </c>
      <c r="D1556" s="51"/>
      <c r="E1556" s="53"/>
      <c r="F1556" s="52" t="str">
        <f aca="false">IF(A1556="","",INDEX(הגדרות!$H$16:$H$27,MONTH(A1556)))</f>
        <v/>
      </c>
    </row>
    <row r="1557" customFormat="false" ht="15" hidden="false" customHeight="false" outlineLevel="0" collapsed="false">
      <c r="A1557" s="55"/>
      <c r="B1557" s="56"/>
      <c r="C1557" s="57" t="str">
        <f aca="false">IF(B1557="","",IFERROR(INDEX(הגדרות!$A$8:$A$53,MATCH(B1557,הגדרות!$B$8:$B$53,0)),"⚠ לא בהגדרות"))</f>
        <v/>
      </c>
      <c r="D1557" s="56"/>
      <c r="E1557" s="58"/>
      <c r="F1557" s="57" t="str">
        <f aca="false">IF(A1557="","",INDEX(הגדרות!$H$16:$H$27,MONTH(A1557)))</f>
        <v/>
      </c>
    </row>
    <row r="1558" customFormat="false" ht="15" hidden="false" customHeight="false" outlineLevel="0" collapsed="false">
      <c r="A1558" s="50"/>
      <c r="B1558" s="51"/>
      <c r="C1558" s="52" t="str">
        <f aca="false">IF(B1558="","",IFERROR(INDEX(הגדרות!$A$8:$A$53,MATCH(B1558,הגדרות!$B$8:$B$53,0)),"⚠ לא בהגדרות"))</f>
        <v/>
      </c>
      <c r="D1558" s="51"/>
      <c r="E1558" s="53"/>
      <c r="F1558" s="52" t="str">
        <f aca="false">IF(A1558="","",INDEX(הגדרות!$H$16:$H$27,MONTH(A1558)))</f>
        <v/>
      </c>
    </row>
    <row r="1559" customFormat="false" ht="15" hidden="false" customHeight="false" outlineLevel="0" collapsed="false">
      <c r="A1559" s="55"/>
      <c r="B1559" s="56"/>
      <c r="C1559" s="57" t="str">
        <f aca="false">IF(B1559="","",IFERROR(INDEX(הגדרות!$A$8:$A$53,MATCH(B1559,הגדרות!$B$8:$B$53,0)),"⚠ לא בהגדרות"))</f>
        <v/>
      </c>
      <c r="D1559" s="56"/>
      <c r="E1559" s="58"/>
      <c r="F1559" s="57" t="str">
        <f aca="false">IF(A1559="","",INDEX(הגדרות!$H$16:$H$27,MONTH(A1559)))</f>
        <v/>
      </c>
    </row>
    <row r="1560" customFormat="false" ht="15" hidden="false" customHeight="false" outlineLevel="0" collapsed="false">
      <c r="A1560" s="50"/>
      <c r="B1560" s="51"/>
      <c r="C1560" s="52" t="str">
        <f aca="false">IF(B1560="","",IFERROR(INDEX(הגדרות!$A$8:$A$53,MATCH(B1560,הגדרות!$B$8:$B$53,0)),"⚠ לא בהגדרות"))</f>
        <v/>
      </c>
      <c r="D1560" s="51"/>
      <c r="E1560" s="53"/>
      <c r="F1560" s="52" t="str">
        <f aca="false">IF(A1560="","",INDEX(הגדרות!$H$16:$H$27,MONTH(A1560)))</f>
        <v/>
      </c>
    </row>
    <row r="1561" customFormat="false" ht="15" hidden="false" customHeight="false" outlineLevel="0" collapsed="false">
      <c r="A1561" s="55"/>
      <c r="B1561" s="56"/>
      <c r="C1561" s="57" t="str">
        <f aca="false">IF(B1561="","",IFERROR(INDEX(הגדרות!$A$8:$A$53,MATCH(B1561,הגדרות!$B$8:$B$53,0)),"⚠ לא בהגדרות"))</f>
        <v/>
      </c>
      <c r="D1561" s="56"/>
      <c r="E1561" s="58"/>
      <c r="F1561" s="57" t="str">
        <f aca="false">IF(A1561="","",INDEX(הגדרות!$H$16:$H$27,MONTH(A1561)))</f>
        <v/>
      </c>
    </row>
    <row r="1562" customFormat="false" ht="15" hidden="false" customHeight="false" outlineLevel="0" collapsed="false">
      <c r="A1562" s="50"/>
      <c r="B1562" s="51"/>
      <c r="C1562" s="52" t="str">
        <f aca="false">IF(B1562="","",IFERROR(INDEX(הגדרות!$A$8:$A$53,MATCH(B1562,הגדרות!$B$8:$B$53,0)),"⚠ לא בהגדרות"))</f>
        <v/>
      </c>
      <c r="D1562" s="51"/>
      <c r="E1562" s="53"/>
      <c r="F1562" s="52" t="str">
        <f aca="false">IF(A1562="","",INDEX(הגדרות!$H$16:$H$27,MONTH(A1562)))</f>
        <v/>
      </c>
    </row>
    <row r="1563" customFormat="false" ht="15" hidden="false" customHeight="false" outlineLevel="0" collapsed="false">
      <c r="A1563" s="55"/>
      <c r="B1563" s="56"/>
      <c r="C1563" s="57" t="str">
        <f aca="false">IF(B1563="","",IFERROR(INDEX(הגדרות!$A$8:$A$53,MATCH(B1563,הגדרות!$B$8:$B$53,0)),"⚠ לא בהגדרות"))</f>
        <v/>
      </c>
      <c r="D1563" s="56"/>
      <c r="E1563" s="58"/>
      <c r="F1563" s="57" t="str">
        <f aca="false">IF(A1563="","",INDEX(הגדרות!$H$16:$H$27,MONTH(A1563)))</f>
        <v/>
      </c>
    </row>
    <row r="1564" customFormat="false" ht="15" hidden="false" customHeight="false" outlineLevel="0" collapsed="false">
      <c r="A1564" s="50"/>
      <c r="B1564" s="51"/>
      <c r="C1564" s="52" t="str">
        <f aca="false">IF(B1564="","",IFERROR(INDEX(הגדרות!$A$8:$A$53,MATCH(B1564,הגדרות!$B$8:$B$53,0)),"⚠ לא בהגדרות"))</f>
        <v/>
      </c>
      <c r="D1564" s="51"/>
      <c r="E1564" s="53"/>
      <c r="F1564" s="52" t="str">
        <f aca="false">IF(A1564="","",INDEX(הגדרות!$H$16:$H$27,MONTH(A1564)))</f>
        <v/>
      </c>
    </row>
    <row r="1565" customFormat="false" ht="15" hidden="false" customHeight="false" outlineLevel="0" collapsed="false">
      <c r="A1565" s="55"/>
      <c r="B1565" s="56"/>
      <c r="C1565" s="57" t="str">
        <f aca="false">IF(B1565="","",IFERROR(INDEX(הגדרות!$A$8:$A$53,MATCH(B1565,הגדרות!$B$8:$B$53,0)),"⚠ לא בהגדרות"))</f>
        <v/>
      </c>
      <c r="D1565" s="56"/>
      <c r="E1565" s="58"/>
      <c r="F1565" s="57" t="str">
        <f aca="false">IF(A1565="","",INDEX(הגדרות!$H$16:$H$27,MONTH(A1565)))</f>
        <v/>
      </c>
    </row>
    <row r="1566" customFormat="false" ht="15" hidden="false" customHeight="false" outlineLevel="0" collapsed="false">
      <c r="A1566" s="50"/>
      <c r="B1566" s="51"/>
      <c r="C1566" s="52" t="str">
        <f aca="false">IF(B1566="","",IFERROR(INDEX(הגדרות!$A$8:$A$53,MATCH(B1566,הגדרות!$B$8:$B$53,0)),"⚠ לא בהגדרות"))</f>
        <v/>
      </c>
      <c r="D1566" s="51"/>
      <c r="E1566" s="53"/>
      <c r="F1566" s="52" t="str">
        <f aca="false">IF(A1566="","",INDEX(הגדרות!$H$16:$H$27,MONTH(A1566)))</f>
        <v/>
      </c>
    </row>
    <row r="1567" customFormat="false" ht="15" hidden="false" customHeight="false" outlineLevel="0" collapsed="false">
      <c r="A1567" s="55"/>
      <c r="B1567" s="56"/>
      <c r="C1567" s="57" t="str">
        <f aca="false">IF(B1567="","",IFERROR(INDEX(הגדרות!$A$8:$A$53,MATCH(B1567,הגדרות!$B$8:$B$53,0)),"⚠ לא בהגדרות"))</f>
        <v/>
      </c>
      <c r="D1567" s="56"/>
      <c r="E1567" s="58"/>
      <c r="F1567" s="57" t="str">
        <f aca="false">IF(A1567="","",INDEX(הגדרות!$H$16:$H$27,MONTH(A1567)))</f>
        <v/>
      </c>
    </row>
    <row r="1568" customFormat="false" ht="15" hidden="false" customHeight="false" outlineLevel="0" collapsed="false">
      <c r="A1568" s="50"/>
      <c r="B1568" s="51"/>
      <c r="C1568" s="52" t="str">
        <f aca="false">IF(B1568="","",IFERROR(INDEX(הגדרות!$A$8:$A$53,MATCH(B1568,הגדרות!$B$8:$B$53,0)),"⚠ לא בהגדרות"))</f>
        <v/>
      </c>
      <c r="D1568" s="51"/>
      <c r="E1568" s="53"/>
      <c r="F1568" s="52" t="str">
        <f aca="false">IF(A1568="","",INDEX(הגדרות!$H$16:$H$27,MONTH(A1568)))</f>
        <v/>
      </c>
    </row>
    <row r="1569" customFormat="false" ht="15" hidden="false" customHeight="false" outlineLevel="0" collapsed="false">
      <c r="A1569" s="55"/>
      <c r="B1569" s="56"/>
      <c r="C1569" s="57" t="str">
        <f aca="false">IF(B1569="","",IFERROR(INDEX(הגדרות!$A$8:$A$53,MATCH(B1569,הגדרות!$B$8:$B$53,0)),"⚠ לא בהגדרות"))</f>
        <v/>
      </c>
      <c r="D1569" s="56"/>
      <c r="E1569" s="58"/>
      <c r="F1569" s="57" t="str">
        <f aca="false">IF(A1569="","",INDEX(הגדרות!$H$16:$H$27,MONTH(A1569)))</f>
        <v/>
      </c>
    </row>
    <row r="1570" customFormat="false" ht="15" hidden="false" customHeight="false" outlineLevel="0" collapsed="false">
      <c r="A1570" s="50"/>
      <c r="B1570" s="51"/>
      <c r="C1570" s="52" t="str">
        <f aca="false">IF(B1570="","",IFERROR(INDEX(הגדרות!$A$8:$A$53,MATCH(B1570,הגדרות!$B$8:$B$53,0)),"⚠ לא בהגדרות"))</f>
        <v/>
      </c>
      <c r="D1570" s="51"/>
      <c r="E1570" s="53"/>
      <c r="F1570" s="52" t="str">
        <f aca="false">IF(A1570="","",INDEX(הגדרות!$H$16:$H$27,MONTH(A1570)))</f>
        <v/>
      </c>
    </row>
    <row r="1571" customFormat="false" ht="15" hidden="false" customHeight="false" outlineLevel="0" collapsed="false">
      <c r="A1571" s="55"/>
      <c r="B1571" s="56"/>
      <c r="C1571" s="57" t="str">
        <f aca="false">IF(B1571="","",IFERROR(INDEX(הגדרות!$A$8:$A$53,MATCH(B1571,הגדרות!$B$8:$B$53,0)),"⚠ לא בהגדרות"))</f>
        <v/>
      </c>
      <c r="D1571" s="56"/>
      <c r="E1571" s="58"/>
      <c r="F1571" s="57" t="str">
        <f aca="false">IF(A1571="","",INDEX(הגדרות!$H$16:$H$27,MONTH(A1571)))</f>
        <v/>
      </c>
    </row>
    <row r="1572" customFormat="false" ht="15" hidden="false" customHeight="false" outlineLevel="0" collapsed="false">
      <c r="A1572" s="50"/>
      <c r="B1572" s="51"/>
      <c r="C1572" s="52" t="str">
        <f aca="false">IF(B1572="","",IFERROR(INDEX(הגדרות!$A$8:$A$53,MATCH(B1572,הגדרות!$B$8:$B$53,0)),"⚠ לא בהגדרות"))</f>
        <v/>
      </c>
      <c r="D1572" s="51"/>
      <c r="E1572" s="53"/>
      <c r="F1572" s="52" t="str">
        <f aca="false">IF(A1572="","",INDEX(הגדרות!$H$16:$H$27,MONTH(A1572)))</f>
        <v/>
      </c>
    </row>
    <row r="1573" customFormat="false" ht="15" hidden="false" customHeight="false" outlineLevel="0" collapsed="false">
      <c r="A1573" s="55"/>
      <c r="B1573" s="56"/>
      <c r="C1573" s="57" t="str">
        <f aca="false">IF(B1573="","",IFERROR(INDEX(הגדרות!$A$8:$A$53,MATCH(B1573,הגדרות!$B$8:$B$53,0)),"⚠ לא בהגדרות"))</f>
        <v/>
      </c>
      <c r="D1573" s="56"/>
      <c r="E1573" s="58"/>
      <c r="F1573" s="57" t="str">
        <f aca="false">IF(A1573="","",INDEX(הגדרות!$H$16:$H$27,MONTH(A1573)))</f>
        <v/>
      </c>
    </row>
    <row r="1574" customFormat="false" ht="15" hidden="false" customHeight="false" outlineLevel="0" collapsed="false">
      <c r="A1574" s="50"/>
      <c r="B1574" s="51"/>
      <c r="C1574" s="52" t="str">
        <f aca="false">IF(B1574="","",IFERROR(INDEX(הגדרות!$A$8:$A$53,MATCH(B1574,הגדרות!$B$8:$B$53,0)),"⚠ לא בהגדרות"))</f>
        <v/>
      </c>
      <c r="D1574" s="51"/>
      <c r="E1574" s="53"/>
      <c r="F1574" s="52" t="str">
        <f aca="false">IF(A1574="","",INDEX(הגדרות!$H$16:$H$27,MONTH(A1574)))</f>
        <v/>
      </c>
    </row>
    <row r="1575" customFormat="false" ht="15" hidden="false" customHeight="false" outlineLevel="0" collapsed="false">
      <c r="A1575" s="55"/>
      <c r="B1575" s="56"/>
      <c r="C1575" s="57" t="str">
        <f aca="false">IF(B1575="","",IFERROR(INDEX(הגדרות!$A$8:$A$53,MATCH(B1575,הגדרות!$B$8:$B$53,0)),"⚠ לא בהגדרות"))</f>
        <v/>
      </c>
      <c r="D1575" s="56"/>
      <c r="E1575" s="58"/>
      <c r="F1575" s="57" t="str">
        <f aca="false">IF(A1575="","",INDEX(הגדרות!$H$16:$H$27,MONTH(A1575)))</f>
        <v/>
      </c>
    </row>
    <row r="1576" customFormat="false" ht="15" hidden="false" customHeight="false" outlineLevel="0" collapsed="false">
      <c r="A1576" s="50"/>
      <c r="B1576" s="51"/>
      <c r="C1576" s="52" t="str">
        <f aca="false">IF(B1576="","",IFERROR(INDEX(הגדרות!$A$8:$A$53,MATCH(B1576,הגדרות!$B$8:$B$53,0)),"⚠ לא בהגדרות"))</f>
        <v/>
      </c>
      <c r="D1576" s="51"/>
      <c r="E1576" s="53"/>
      <c r="F1576" s="52" t="str">
        <f aca="false">IF(A1576="","",INDEX(הגדרות!$H$16:$H$27,MONTH(A1576)))</f>
        <v/>
      </c>
    </row>
    <row r="1577" customFormat="false" ht="15" hidden="false" customHeight="false" outlineLevel="0" collapsed="false">
      <c r="A1577" s="55"/>
      <c r="B1577" s="56"/>
      <c r="C1577" s="57" t="str">
        <f aca="false">IF(B1577="","",IFERROR(INDEX(הגדרות!$A$8:$A$53,MATCH(B1577,הגדרות!$B$8:$B$53,0)),"⚠ לא בהגדרות"))</f>
        <v/>
      </c>
      <c r="D1577" s="56"/>
      <c r="E1577" s="58"/>
      <c r="F1577" s="57" t="str">
        <f aca="false">IF(A1577="","",INDEX(הגדרות!$H$16:$H$27,MONTH(A1577)))</f>
        <v/>
      </c>
    </row>
    <row r="1578" customFormat="false" ht="15" hidden="false" customHeight="false" outlineLevel="0" collapsed="false">
      <c r="A1578" s="50"/>
      <c r="B1578" s="51"/>
      <c r="C1578" s="52" t="str">
        <f aca="false">IF(B1578="","",IFERROR(INDEX(הגדרות!$A$8:$A$53,MATCH(B1578,הגדרות!$B$8:$B$53,0)),"⚠ לא בהגדרות"))</f>
        <v/>
      </c>
      <c r="D1578" s="51"/>
      <c r="E1578" s="53"/>
      <c r="F1578" s="52" t="str">
        <f aca="false">IF(A1578="","",INDEX(הגדרות!$H$16:$H$27,MONTH(A1578)))</f>
        <v/>
      </c>
    </row>
    <row r="1579" customFormat="false" ht="15" hidden="false" customHeight="false" outlineLevel="0" collapsed="false">
      <c r="A1579" s="55"/>
      <c r="B1579" s="56"/>
      <c r="C1579" s="57" t="str">
        <f aca="false">IF(B1579="","",IFERROR(INDEX(הגדרות!$A$8:$A$53,MATCH(B1579,הגדרות!$B$8:$B$53,0)),"⚠ לא בהגדרות"))</f>
        <v/>
      </c>
      <c r="D1579" s="56"/>
      <c r="E1579" s="58"/>
      <c r="F1579" s="57" t="str">
        <f aca="false">IF(A1579="","",INDEX(הגדרות!$H$16:$H$27,MONTH(A1579)))</f>
        <v/>
      </c>
    </row>
    <row r="1580" customFormat="false" ht="15" hidden="false" customHeight="false" outlineLevel="0" collapsed="false">
      <c r="A1580" s="50"/>
      <c r="B1580" s="51"/>
      <c r="C1580" s="52" t="str">
        <f aca="false">IF(B1580="","",IFERROR(INDEX(הגדרות!$A$8:$A$53,MATCH(B1580,הגדרות!$B$8:$B$53,0)),"⚠ לא בהגדרות"))</f>
        <v/>
      </c>
      <c r="D1580" s="51"/>
      <c r="E1580" s="53"/>
      <c r="F1580" s="52" t="str">
        <f aca="false">IF(A1580="","",INDEX(הגדרות!$H$16:$H$27,MONTH(A1580)))</f>
        <v/>
      </c>
    </row>
    <row r="1581" customFormat="false" ht="15" hidden="false" customHeight="false" outlineLevel="0" collapsed="false">
      <c r="A1581" s="55"/>
      <c r="B1581" s="56"/>
      <c r="C1581" s="57" t="str">
        <f aca="false">IF(B1581="","",IFERROR(INDEX(הגדרות!$A$8:$A$53,MATCH(B1581,הגדרות!$B$8:$B$53,0)),"⚠ לא בהגדרות"))</f>
        <v/>
      </c>
      <c r="D1581" s="56"/>
      <c r="E1581" s="58"/>
      <c r="F1581" s="57" t="str">
        <f aca="false">IF(A1581="","",INDEX(הגדרות!$H$16:$H$27,MONTH(A1581)))</f>
        <v/>
      </c>
    </row>
    <row r="1582" customFormat="false" ht="15" hidden="false" customHeight="false" outlineLevel="0" collapsed="false">
      <c r="A1582" s="50"/>
      <c r="B1582" s="51"/>
      <c r="C1582" s="52" t="str">
        <f aca="false">IF(B1582="","",IFERROR(INDEX(הגדרות!$A$8:$A$53,MATCH(B1582,הגדרות!$B$8:$B$53,0)),"⚠ לא בהגדרות"))</f>
        <v/>
      </c>
      <c r="D1582" s="51"/>
      <c r="E1582" s="53"/>
      <c r="F1582" s="52" t="str">
        <f aca="false">IF(A1582="","",INDEX(הגדרות!$H$16:$H$27,MONTH(A1582)))</f>
        <v/>
      </c>
    </row>
    <row r="1583" customFormat="false" ht="15" hidden="false" customHeight="false" outlineLevel="0" collapsed="false">
      <c r="A1583" s="55"/>
      <c r="B1583" s="56"/>
      <c r="C1583" s="57" t="str">
        <f aca="false">IF(B1583="","",IFERROR(INDEX(הגדרות!$A$8:$A$53,MATCH(B1583,הגדרות!$B$8:$B$53,0)),"⚠ לא בהגדרות"))</f>
        <v/>
      </c>
      <c r="D1583" s="56"/>
      <c r="E1583" s="58"/>
      <c r="F1583" s="57" t="str">
        <f aca="false">IF(A1583="","",INDEX(הגדרות!$H$16:$H$27,MONTH(A1583)))</f>
        <v/>
      </c>
    </row>
    <row r="1584" customFormat="false" ht="15" hidden="false" customHeight="false" outlineLevel="0" collapsed="false">
      <c r="A1584" s="50"/>
      <c r="B1584" s="51"/>
      <c r="C1584" s="52" t="str">
        <f aca="false">IF(B1584="","",IFERROR(INDEX(הגדרות!$A$8:$A$53,MATCH(B1584,הגדרות!$B$8:$B$53,0)),"⚠ לא בהגדרות"))</f>
        <v/>
      </c>
      <c r="D1584" s="51"/>
      <c r="E1584" s="53"/>
      <c r="F1584" s="52" t="str">
        <f aca="false">IF(A1584="","",INDEX(הגדרות!$H$16:$H$27,MONTH(A1584)))</f>
        <v/>
      </c>
    </row>
    <row r="1585" customFormat="false" ht="15" hidden="false" customHeight="false" outlineLevel="0" collapsed="false">
      <c r="A1585" s="55"/>
      <c r="B1585" s="56"/>
      <c r="C1585" s="57" t="str">
        <f aca="false">IF(B1585="","",IFERROR(INDEX(הגדרות!$A$8:$A$53,MATCH(B1585,הגדרות!$B$8:$B$53,0)),"⚠ לא בהגדרות"))</f>
        <v/>
      </c>
      <c r="D1585" s="56"/>
      <c r="E1585" s="58"/>
      <c r="F1585" s="57" t="str">
        <f aca="false">IF(A1585="","",INDEX(הגדרות!$H$16:$H$27,MONTH(A1585)))</f>
        <v/>
      </c>
    </row>
    <row r="1586" customFormat="false" ht="15" hidden="false" customHeight="false" outlineLevel="0" collapsed="false">
      <c r="A1586" s="50"/>
      <c r="B1586" s="51"/>
      <c r="C1586" s="52" t="str">
        <f aca="false">IF(B1586="","",IFERROR(INDEX(הגדרות!$A$8:$A$53,MATCH(B1586,הגדרות!$B$8:$B$53,0)),"⚠ לא בהגדרות"))</f>
        <v/>
      </c>
      <c r="D1586" s="51"/>
      <c r="E1586" s="53"/>
      <c r="F1586" s="52" t="str">
        <f aca="false">IF(A1586="","",INDEX(הגדרות!$H$16:$H$27,MONTH(A1586)))</f>
        <v/>
      </c>
    </row>
    <row r="1587" customFormat="false" ht="15" hidden="false" customHeight="false" outlineLevel="0" collapsed="false">
      <c r="A1587" s="55"/>
      <c r="B1587" s="56"/>
      <c r="C1587" s="57" t="str">
        <f aca="false">IF(B1587="","",IFERROR(INDEX(הגדרות!$A$8:$A$53,MATCH(B1587,הגדרות!$B$8:$B$53,0)),"⚠ לא בהגדרות"))</f>
        <v/>
      </c>
      <c r="D1587" s="56"/>
      <c r="E1587" s="58"/>
      <c r="F1587" s="57" t="str">
        <f aca="false">IF(A1587="","",INDEX(הגדרות!$H$16:$H$27,MONTH(A1587)))</f>
        <v/>
      </c>
    </row>
    <row r="1588" customFormat="false" ht="15" hidden="false" customHeight="false" outlineLevel="0" collapsed="false">
      <c r="A1588" s="50"/>
      <c r="B1588" s="51"/>
      <c r="C1588" s="52" t="str">
        <f aca="false">IF(B1588="","",IFERROR(INDEX(הגדרות!$A$8:$A$53,MATCH(B1588,הגדרות!$B$8:$B$53,0)),"⚠ לא בהגדרות"))</f>
        <v/>
      </c>
      <c r="D1588" s="51"/>
      <c r="E1588" s="53"/>
      <c r="F1588" s="52" t="str">
        <f aca="false">IF(A1588="","",INDEX(הגדרות!$H$16:$H$27,MONTH(A1588)))</f>
        <v/>
      </c>
    </row>
    <row r="1589" customFormat="false" ht="15" hidden="false" customHeight="false" outlineLevel="0" collapsed="false">
      <c r="A1589" s="55"/>
      <c r="B1589" s="56"/>
      <c r="C1589" s="57" t="str">
        <f aca="false">IF(B1589="","",IFERROR(INDEX(הגדרות!$A$8:$A$53,MATCH(B1589,הגדרות!$B$8:$B$53,0)),"⚠ לא בהגדרות"))</f>
        <v/>
      </c>
      <c r="D1589" s="56"/>
      <c r="E1589" s="58"/>
      <c r="F1589" s="57" t="str">
        <f aca="false">IF(A1589="","",INDEX(הגדרות!$H$16:$H$27,MONTH(A1589)))</f>
        <v/>
      </c>
    </row>
    <row r="1590" customFormat="false" ht="15" hidden="false" customHeight="false" outlineLevel="0" collapsed="false">
      <c r="A1590" s="50"/>
      <c r="B1590" s="51"/>
      <c r="C1590" s="52" t="str">
        <f aca="false">IF(B1590="","",IFERROR(INDEX(הגדרות!$A$8:$A$53,MATCH(B1590,הגדרות!$B$8:$B$53,0)),"⚠ לא בהגדרות"))</f>
        <v/>
      </c>
      <c r="D1590" s="51"/>
      <c r="E1590" s="53"/>
      <c r="F1590" s="52" t="str">
        <f aca="false">IF(A1590="","",INDEX(הגדרות!$H$16:$H$27,MONTH(A1590)))</f>
        <v/>
      </c>
    </row>
    <row r="1591" customFormat="false" ht="15" hidden="false" customHeight="false" outlineLevel="0" collapsed="false">
      <c r="A1591" s="55"/>
      <c r="B1591" s="56"/>
      <c r="C1591" s="57" t="str">
        <f aca="false">IF(B1591="","",IFERROR(INDEX(הגדרות!$A$8:$A$53,MATCH(B1591,הגדרות!$B$8:$B$53,0)),"⚠ לא בהגדרות"))</f>
        <v/>
      </c>
      <c r="D1591" s="56"/>
      <c r="E1591" s="58"/>
      <c r="F1591" s="57" t="str">
        <f aca="false">IF(A1591="","",INDEX(הגדרות!$H$16:$H$27,MONTH(A1591)))</f>
        <v/>
      </c>
    </row>
    <row r="1592" customFormat="false" ht="15" hidden="false" customHeight="false" outlineLevel="0" collapsed="false">
      <c r="A1592" s="50"/>
      <c r="B1592" s="51"/>
      <c r="C1592" s="52" t="str">
        <f aca="false">IF(B1592="","",IFERROR(INDEX(הגדרות!$A$8:$A$53,MATCH(B1592,הגדרות!$B$8:$B$53,0)),"⚠ לא בהגדרות"))</f>
        <v/>
      </c>
      <c r="D1592" s="51"/>
      <c r="E1592" s="53"/>
      <c r="F1592" s="52" t="str">
        <f aca="false">IF(A1592="","",INDEX(הגדרות!$H$16:$H$27,MONTH(A1592)))</f>
        <v/>
      </c>
    </row>
    <row r="1593" customFormat="false" ht="15" hidden="false" customHeight="false" outlineLevel="0" collapsed="false">
      <c r="A1593" s="55"/>
      <c r="B1593" s="56"/>
      <c r="C1593" s="57" t="str">
        <f aca="false">IF(B1593="","",IFERROR(INDEX(הגדרות!$A$8:$A$53,MATCH(B1593,הגדרות!$B$8:$B$53,0)),"⚠ לא בהגדרות"))</f>
        <v/>
      </c>
      <c r="D1593" s="56"/>
      <c r="E1593" s="58"/>
      <c r="F1593" s="57" t="str">
        <f aca="false">IF(A1593="","",INDEX(הגדרות!$H$16:$H$27,MONTH(A1593)))</f>
        <v/>
      </c>
    </row>
    <row r="1594" customFormat="false" ht="15" hidden="false" customHeight="false" outlineLevel="0" collapsed="false">
      <c r="A1594" s="50"/>
      <c r="B1594" s="51"/>
      <c r="C1594" s="52" t="str">
        <f aca="false">IF(B1594="","",IFERROR(INDEX(הגדרות!$A$8:$A$53,MATCH(B1594,הגדרות!$B$8:$B$53,0)),"⚠ לא בהגדרות"))</f>
        <v/>
      </c>
      <c r="D1594" s="51"/>
      <c r="E1594" s="53"/>
      <c r="F1594" s="52" t="str">
        <f aca="false">IF(A1594="","",INDEX(הגדרות!$H$16:$H$27,MONTH(A1594)))</f>
        <v/>
      </c>
    </row>
    <row r="1595" customFormat="false" ht="15" hidden="false" customHeight="false" outlineLevel="0" collapsed="false">
      <c r="A1595" s="55"/>
      <c r="B1595" s="56"/>
      <c r="C1595" s="57" t="str">
        <f aca="false">IF(B1595="","",IFERROR(INDEX(הגדרות!$A$8:$A$53,MATCH(B1595,הגדרות!$B$8:$B$53,0)),"⚠ לא בהגדרות"))</f>
        <v/>
      </c>
      <c r="D1595" s="56"/>
      <c r="E1595" s="58"/>
      <c r="F1595" s="57" t="str">
        <f aca="false">IF(A1595="","",INDEX(הגדרות!$H$16:$H$27,MONTH(A1595)))</f>
        <v/>
      </c>
    </row>
    <row r="1596" customFormat="false" ht="15" hidden="false" customHeight="false" outlineLevel="0" collapsed="false">
      <c r="A1596" s="50"/>
      <c r="B1596" s="51"/>
      <c r="C1596" s="52" t="str">
        <f aca="false">IF(B1596="","",IFERROR(INDEX(הגדרות!$A$8:$A$53,MATCH(B1596,הגדרות!$B$8:$B$53,0)),"⚠ לא בהגדרות"))</f>
        <v/>
      </c>
      <c r="D1596" s="51"/>
      <c r="E1596" s="53"/>
      <c r="F1596" s="52" t="str">
        <f aca="false">IF(A1596="","",INDEX(הגדרות!$H$16:$H$27,MONTH(A1596)))</f>
        <v/>
      </c>
    </row>
    <row r="1597" customFormat="false" ht="15" hidden="false" customHeight="false" outlineLevel="0" collapsed="false">
      <c r="A1597" s="55"/>
      <c r="B1597" s="56"/>
      <c r="C1597" s="57" t="str">
        <f aca="false">IF(B1597="","",IFERROR(INDEX(הגדרות!$A$8:$A$53,MATCH(B1597,הגדרות!$B$8:$B$53,0)),"⚠ לא בהגדרות"))</f>
        <v/>
      </c>
      <c r="D1597" s="56"/>
      <c r="E1597" s="58"/>
      <c r="F1597" s="57" t="str">
        <f aca="false">IF(A1597="","",INDEX(הגדרות!$H$16:$H$27,MONTH(A1597)))</f>
        <v/>
      </c>
    </row>
    <row r="1598" customFormat="false" ht="15" hidden="false" customHeight="false" outlineLevel="0" collapsed="false">
      <c r="A1598" s="50"/>
      <c r="B1598" s="51"/>
      <c r="C1598" s="52" t="str">
        <f aca="false">IF(B1598="","",IFERROR(INDEX(הגדרות!$A$8:$A$53,MATCH(B1598,הגדרות!$B$8:$B$53,0)),"⚠ לא בהגדרות"))</f>
        <v/>
      </c>
      <c r="D1598" s="51"/>
      <c r="E1598" s="53"/>
      <c r="F1598" s="52" t="str">
        <f aca="false">IF(A1598="","",INDEX(הגדרות!$H$16:$H$27,MONTH(A1598)))</f>
        <v/>
      </c>
    </row>
    <row r="1599" customFormat="false" ht="15" hidden="false" customHeight="false" outlineLevel="0" collapsed="false">
      <c r="A1599" s="55"/>
      <c r="B1599" s="56"/>
      <c r="C1599" s="57" t="str">
        <f aca="false">IF(B1599="","",IFERROR(INDEX(הגדרות!$A$8:$A$53,MATCH(B1599,הגדרות!$B$8:$B$53,0)),"⚠ לא בהגדרות"))</f>
        <v/>
      </c>
      <c r="D1599" s="56"/>
      <c r="E1599" s="58"/>
      <c r="F1599" s="57" t="str">
        <f aca="false">IF(A1599="","",INDEX(הגדרות!$H$16:$H$27,MONTH(A1599)))</f>
        <v/>
      </c>
    </row>
    <row r="1600" customFormat="false" ht="15" hidden="false" customHeight="false" outlineLevel="0" collapsed="false">
      <c r="A1600" s="50"/>
      <c r="B1600" s="51"/>
      <c r="C1600" s="52" t="str">
        <f aca="false">IF(B1600="","",IFERROR(INDEX(הגדרות!$A$8:$A$53,MATCH(B1600,הגדרות!$B$8:$B$53,0)),"⚠ לא בהגדרות"))</f>
        <v/>
      </c>
      <c r="D1600" s="51"/>
      <c r="E1600" s="53"/>
      <c r="F1600" s="52" t="str">
        <f aca="false">IF(A1600="","",INDEX(הגדרות!$H$16:$H$27,MONTH(A1600)))</f>
        <v/>
      </c>
    </row>
    <row r="1601" customFormat="false" ht="15" hidden="false" customHeight="false" outlineLevel="0" collapsed="false">
      <c r="A1601" s="55"/>
      <c r="B1601" s="56"/>
      <c r="C1601" s="57" t="str">
        <f aca="false">IF(B1601="","",IFERROR(INDEX(הגדרות!$A$8:$A$53,MATCH(B1601,הגדרות!$B$8:$B$53,0)),"⚠ לא בהגדרות"))</f>
        <v/>
      </c>
      <c r="D1601" s="56"/>
      <c r="E1601" s="58"/>
      <c r="F1601" s="57" t="str">
        <f aca="false">IF(A1601="","",INDEX(הגדרות!$H$16:$H$27,MONTH(A1601)))</f>
        <v/>
      </c>
    </row>
    <row r="1602" customFormat="false" ht="15" hidden="false" customHeight="false" outlineLevel="0" collapsed="false">
      <c r="A1602" s="50"/>
      <c r="B1602" s="51"/>
      <c r="C1602" s="52" t="str">
        <f aca="false">IF(B1602="","",IFERROR(INDEX(הגדרות!$A$8:$A$53,MATCH(B1602,הגדרות!$B$8:$B$53,0)),"⚠ לא בהגדרות"))</f>
        <v/>
      </c>
      <c r="D1602" s="51"/>
      <c r="E1602" s="53"/>
      <c r="F1602" s="52" t="str">
        <f aca="false">IF(A1602="","",INDEX(הגדרות!$H$16:$H$27,MONTH(A1602)))</f>
        <v/>
      </c>
    </row>
    <row r="1603" customFormat="false" ht="15" hidden="false" customHeight="false" outlineLevel="0" collapsed="false">
      <c r="A1603" s="55"/>
      <c r="B1603" s="56"/>
      <c r="C1603" s="57" t="str">
        <f aca="false">IF(B1603="","",IFERROR(INDEX(הגדרות!$A$8:$A$53,MATCH(B1603,הגדרות!$B$8:$B$53,0)),"⚠ לא בהגדרות"))</f>
        <v/>
      </c>
      <c r="D1603" s="56"/>
      <c r="E1603" s="58"/>
      <c r="F1603" s="57" t="str">
        <f aca="false">IF(A1603="","",INDEX(הגדרות!$H$16:$H$27,MONTH(A1603)))</f>
        <v/>
      </c>
    </row>
    <row r="1604" customFormat="false" ht="15" hidden="false" customHeight="false" outlineLevel="0" collapsed="false">
      <c r="A1604" s="50"/>
      <c r="B1604" s="51"/>
      <c r="C1604" s="52" t="str">
        <f aca="false">IF(B1604="","",IFERROR(INDEX(הגדרות!$A$8:$A$53,MATCH(B1604,הגדרות!$B$8:$B$53,0)),"⚠ לא בהגדרות"))</f>
        <v/>
      </c>
      <c r="D1604" s="51"/>
      <c r="E1604" s="53"/>
      <c r="F1604" s="52" t="str">
        <f aca="false">IF(A1604="","",INDEX(הגדרות!$H$16:$H$27,MONTH(A1604)))</f>
        <v/>
      </c>
    </row>
    <row r="1605" customFormat="false" ht="15" hidden="false" customHeight="false" outlineLevel="0" collapsed="false">
      <c r="A1605" s="55"/>
      <c r="B1605" s="56"/>
      <c r="C1605" s="57" t="str">
        <f aca="false">IF(B1605="","",IFERROR(INDEX(הגדרות!$A$8:$A$53,MATCH(B1605,הגדרות!$B$8:$B$53,0)),"⚠ לא בהגדרות"))</f>
        <v/>
      </c>
      <c r="D1605" s="56"/>
      <c r="E1605" s="58"/>
      <c r="F1605" s="57" t="str">
        <f aca="false">IF(A1605="","",INDEX(הגדרות!$H$16:$H$27,MONTH(A1605)))</f>
        <v/>
      </c>
    </row>
    <row r="1606" customFormat="false" ht="15" hidden="false" customHeight="false" outlineLevel="0" collapsed="false">
      <c r="A1606" s="50"/>
      <c r="B1606" s="51"/>
      <c r="C1606" s="52" t="str">
        <f aca="false">IF(B1606="","",IFERROR(INDEX(הגדרות!$A$8:$A$53,MATCH(B1606,הגדרות!$B$8:$B$53,0)),"⚠ לא בהגדרות"))</f>
        <v/>
      </c>
      <c r="D1606" s="51"/>
      <c r="E1606" s="53"/>
      <c r="F1606" s="52" t="str">
        <f aca="false">IF(A1606="","",INDEX(הגדרות!$H$16:$H$27,MONTH(A1606)))</f>
        <v/>
      </c>
    </row>
    <row r="1607" customFormat="false" ht="15" hidden="false" customHeight="false" outlineLevel="0" collapsed="false">
      <c r="A1607" s="55"/>
      <c r="B1607" s="56"/>
      <c r="C1607" s="57" t="str">
        <f aca="false">IF(B1607="","",IFERROR(INDEX(הגדרות!$A$8:$A$53,MATCH(B1607,הגדרות!$B$8:$B$53,0)),"⚠ לא בהגדרות"))</f>
        <v/>
      </c>
      <c r="D1607" s="56"/>
      <c r="E1607" s="58"/>
      <c r="F1607" s="57" t="str">
        <f aca="false">IF(A1607="","",INDEX(הגדרות!$H$16:$H$27,MONTH(A1607)))</f>
        <v/>
      </c>
    </row>
    <row r="1608" customFormat="false" ht="15" hidden="false" customHeight="false" outlineLevel="0" collapsed="false">
      <c r="A1608" s="50"/>
      <c r="B1608" s="51"/>
      <c r="C1608" s="52" t="str">
        <f aca="false">IF(B1608="","",IFERROR(INDEX(הגדרות!$A$8:$A$53,MATCH(B1608,הגדרות!$B$8:$B$53,0)),"⚠ לא בהגדרות"))</f>
        <v/>
      </c>
      <c r="D1608" s="51"/>
      <c r="E1608" s="53"/>
      <c r="F1608" s="52" t="str">
        <f aca="false">IF(A1608="","",INDEX(הגדרות!$H$16:$H$27,MONTH(A1608)))</f>
        <v/>
      </c>
    </row>
    <row r="1609" customFormat="false" ht="15" hidden="false" customHeight="false" outlineLevel="0" collapsed="false">
      <c r="A1609" s="55"/>
      <c r="B1609" s="56"/>
      <c r="C1609" s="57" t="str">
        <f aca="false">IF(B1609="","",IFERROR(INDEX(הגדרות!$A$8:$A$53,MATCH(B1609,הגדרות!$B$8:$B$53,0)),"⚠ לא בהגדרות"))</f>
        <v/>
      </c>
      <c r="D1609" s="56"/>
      <c r="E1609" s="58"/>
      <c r="F1609" s="57" t="str">
        <f aca="false">IF(A1609="","",INDEX(הגדרות!$H$16:$H$27,MONTH(A1609)))</f>
        <v/>
      </c>
    </row>
    <row r="1610" customFormat="false" ht="15" hidden="false" customHeight="false" outlineLevel="0" collapsed="false">
      <c r="A1610" s="50"/>
      <c r="B1610" s="51"/>
      <c r="C1610" s="52" t="str">
        <f aca="false">IF(B1610="","",IFERROR(INDEX(הגדרות!$A$8:$A$53,MATCH(B1610,הגדרות!$B$8:$B$53,0)),"⚠ לא בהגדרות"))</f>
        <v/>
      </c>
      <c r="D1610" s="51"/>
      <c r="E1610" s="53"/>
      <c r="F1610" s="52" t="str">
        <f aca="false">IF(A1610="","",INDEX(הגדרות!$H$16:$H$27,MONTH(A1610)))</f>
        <v/>
      </c>
    </row>
    <row r="1611" customFormat="false" ht="15" hidden="false" customHeight="false" outlineLevel="0" collapsed="false">
      <c r="A1611" s="55"/>
      <c r="B1611" s="56"/>
      <c r="C1611" s="57" t="str">
        <f aca="false">IF(B1611="","",IFERROR(INDEX(הגדרות!$A$8:$A$53,MATCH(B1611,הגדרות!$B$8:$B$53,0)),"⚠ לא בהגדרות"))</f>
        <v/>
      </c>
      <c r="D1611" s="56"/>
      <c r="E1611" s="58"/>
      <c r="F1611" s="57" t="str">
        <f aca="false">IF(A1611="","",INDEX(הגדרות!$H$16:$H$27,MONTH(A1611)))</f>
        <v/>
      </c>
    </row>
    <row r="1612" customFormat="false" ht="15" hidden="false" customHeight="false" outlineLevel="0" collapsed="false">
      <c r="A1612" s="50"/>
      <c r="B1612" s="51"/>
      <c r="C1612" s="52" t="str">
        <f aca="false">IF(B1612="","",IFERROR(INDEX(הגדרות!$A$8:$A$53,MATCH(B1612,הגדרות!$B$8:$B$53,0)),"⚠ לא בהגדרות"))</f>
        <v/>
      </c>
      <c r="D1612" s="51"/>
      <c r="E1612" s="53"/>
      <c r="F1612" s="52" t="str">
        <f aca="false">IF(A1612="","",INDEX(הגדרות!$H$16:$H$27,MONTH(A1612)))</f>
        <v/>
      </c>
    </row>
    <row r="1613" customFormat="false" ht="15" hidden="false" customHeight="false" outlineLevel="0" collapsed="false">
      <c r="A1613" s="55"/>
      <c r="B1613" s="56"/>
      <c r="C1613" s="57" t="str">
        <f aca="false">IF(B1613="","",IFERROR(INDEX(הגדרות!$A$8:$A$53,MATCH(B1613,הגדרות!$B$8:$B$53,0)),"⚠ לא בהגדרות"))</f>
        <v/>
      </c>
      <c r="D1613" s="56"/>
      <c r="E1613" s="58"/>
      <c r="F1613" s="57" t="str">
        <f aca="false">IF(A1613="","",INDEX(הגדרות!$H$16:$H$27,MONTH(A1613)))</f>
        <v/>
      </c>
    </row>
    <row r="1614" customFormat="false" ht="15" hidden="false" customHeight="false" outlineLevel="0" collapsed="false">
      <c r="A1614" s="50"/>
      <c r="B1614" s="51"/>
      <c r="C1614" s="52" t="str">
        <f aca="false">IF(B1614="","",IFERROR(INDEX(הגדרות!$A$8:$A$53,MATCH(B1614,הגדרות!$B$8:$B$53,0)),"⚠ לא בהגדרות"))</f>
        <v/>
      </c>
      <c r="D1614" s="51"/>
      <c r="E1614" s="53"/>
      <c r="F1614" s="52" t="str">
        <f aca="false">IF(A1614="","",INDEX(הגדרות!$H$16:$H$27,MONTH(A1614)))</f>
        <v/>
      </c>
    </row>
    <row r="1615" customFormat="false" ht="15" hidden="false" customHeight="false" outlineLevel="0" collapsed="false">
      <c r="A1615" s="55"/>
      <c r="B1615" s="56"/>
      <c r="C1615" s="57" t="str">
        <f aca="false">IF(B1615="","",IFERROR(INDEX(הגדרות!$A$8:$A$53,MATCH(B1615,הגדרות!$B$8:$B$53,0)),"⚠ לא בהגדרות"))</f>
        <v/>
      </c>
      <c r="D1615" s="56"/>
      <c r="E1615" s="58"/>
      <c r="F1615" s="57" t="str">
        <f aca="false">IF(A1615="","",INDEX(הגדרות!$H$16:$H$27,MONTH(A1615)))</f>
        <v/>
      </c>
    </row>
    <row r="1616" customFormat="false" ht="15" hidden="false" customHeight="false" outlineLevel="0" collapsed="false">
      <c r="A1616" s="50"/>
      <c r="B1616" s="51"/>
      <c r="C1616" s="52" t="str">
        <f aca="false">IF(B1616="","",IFERROR(INDEX(הגדרות!$A$8:$A$53,MATCH(B1616,הגדרות!$B$8:$B$53,0)),"⚠ לא בהגדרות"))</f>
        <v/>
      </c>
      <c r="D1616" s="51"/>
      <c r="E1616" s="53"/>
      <c r="F1616" s="52" t="str">
        <f aca="false">IF(A1616="","",INDEX(הגדרות!$H$16:$H$27,MONTH(A1616)))</f>
        <v/>
      </c>
    </row>
    <row r="1617" customFormat="false" ht="15" hidden="false" customHeight="false" outlineLevel="0" collapsed="false">
      <c r="A1617" s="55"/>
      <c r="B1617" s="56"/>
      <c r="C1617" s="57" t="str">
        <f aca="false">IF(B1617="","",IFERROR(INDEX(הגדרות!$A$8:$A$53,MATCH(B1617,הגדרות!$B$8:$B$53,0)),"⚠ לא בהגדרות"))</f>
        <v/>
      </c>
      <c r="D1617" s="56"/>
      <c r="E1617" s="58"/>
      <c r="F1617" s="57" t="str">
        <f aca="false">IF(A1617="","",INDEX(הגדרות!$H$16:$H$27,MONTH(A1617)))</f>
        <v/>
      </c>
    </row>
    <row r="1618" customFormat="false" ht="15" hidden="false" customHeight="false" outlineLevel="0" collapsed="false">
      <c r="A1618" s="50"/>
      <c r="B1618" s="51"/>
      <c r="C1618" s="52" t="str">
        <f aca="false">IF(B1618="","",IFERROR(INDEX(הגדרות!$A$8:$A$53,MATCH(B1618,הגדרות!$B$8:$B$53,0)),"⚠ לא בהגדרות"))</f>
        <v/>
      </c>
      <c r="D1618" s="51"/>
      <c r="E1618" s="53"/>
      <c r="F1618" s="52" t="str">
        <f aca="false">IF(A1618="","",INDEX(הגדרות!$H$16:$H$27,MONTH(A1618)))</f>
        <v/>
      </c>
    </row>
    <row r="1619" customFormat="false" ht="15" hidden="false" customHeight="false" outlineLevel="0" collapsed="false">
      <c r="A1619" s="55"/>
      <c r="B1619" s="56"/>
      <c r="C1619" s="57" t="str">
        <f aca="false">IF(B1619="","",IFERROR(INDEX(הגדרות!$A$8:$A$53,MATCH(B1619,הגדרות!$B$8:$B$53,0)),"⚠ לא בהגדרות"))</f>
        <v/>
      </c>
      <c r="D1619" s="56"/>
      <c r="E1619" s="58"/>
      <c r="F1619" s="57" t="str">
        <f aca="false">IF(A1619="","",INDEX(הגדרות!$H$16:$H$27,MONTH(A1619)))</f>
        <v/>
      </c>
    </row>
    <row r="1620" customFormat="false" ht="15" hidden="false" customHeight="false" outlineLevel="0" collapsed="false">
      <c r="A1620" s="50"/>
      <c r="B1620" s="51"/>
      <c r="C1620" s="52" t="str">
        <f aca="false">IF(B1620="","",IFERROR(INDEX(הגדרות!$A$8:$A$53,MATCH(B1620,הגדרות!$B$8:$B$53,0)),"⚠ לא בהגדרות"))</f>
        <v/>
      </c>
      <c r="D1620" s="51"/>
      <c r="E1620" s="53"/>
      <c r="F1620" s="52" t="str">
        <f aca="false">IF(A1620="","",INDEX(הגדרות!$H$16:$H$27,MONTH(A1620)))</f>
        <v/>
      </c>
    </row>
    <row r="1621" customFormat="false" ht="15" hidden="false" customHeight="false" outlineLevel="0" collapsed="false">
      <c r="A1621" s="55"/>
      <c r="B1621" s="56"/>
      <c r="C1621" s="57" t="str">
        <f aca="false">IF(B1621="","",IFERROR(INDEX(הגדרות!$A$8:$A$53,MATCH(B1621,הגדרות!$B$8:$B$53,0)),"⚠ לא בהגדרות"))</f>
        <v/>
      </c>
      <c r="D1621" s="56"/>
      <c r="E1621" s="58"/>
      <c r="F1621" s="57" t="str">
        <f aca="false">IF(A1621="","",INDEX(הגדרות!$H$16:$H$27,MONTH(A1621)))</f>
        <v/>
      </c>
    </row>
    <row r="1622" customFormat="false" ht="15" hidden="false" customHeight="false" outlineLevel="0" collapsed="false">
      <c r="A1622" s="50"/>
      <c r="B1622" s="51"/>
      <c r="C1622" s="52" t="str">
        <f aca="false">IF(B1622="","",IFERROR(INDEX(הגדרות!$A$8:$A$53,MATCH(B1622,הגדרות!$B$8:$B$53,0)),"⚠ לא בהגדרות"))</f>
        <v/>
      </c>
      <c r="D1622" s="51"/>
      <c r="E1622" s="53"/>
      <c r="F1622" s="52" t="str">
        <f aca="false">IF(A1622="","",INDEX(הגדרות!$H$16:$H$27,MONTH(A1622)))</f>
        <v/>
      </c>
    </row>
    <row r="1623" customFormat="false" ht="15" hidden="false" customHeight="false" outlineLevel="0" collapsed="false">
      <c r="A1623" s="55"/>
      <c r="B1623" s="56"/>
      <c r="C1623" s="57" t="str">
        <f aca="false">IF(B1623="","",IFERROR(INDEX(הגדרות!$A$8:$A$53,MATCH(B1623,הגדרות!$B$8:$B$53,0)),"⚠ לא בהגדרות"))</f>
        <v/>
      </c>
      <c r="D1623" s="56"/>
      <c r="E1623" s="58"/>
      <c r="F1623" s="57" t="str">
        <f aca="false">IF(A1623="","",INDEX(הגדרות!$H$16:$H$27,MONTH(A1623)))</f>
        <v/>
      </c>
    </row>
    <row r="1624" customFormat="false" ht="15" hidden="false" customHeight="false" outlineLevel="0" collapsed="false">
      <c r="A1624" s="50"/>
      <c r="B1624" s="51"/>
      <c r="C1624" s="52" t="str">
        <f aca="false">IF(B1624="","",IFERROR(INDEX(הגדרות!$A$8:$A$53,MATCH(B1624,הגדרות!$B$8:$B$53,0)),"⚠ לא בהגדרות"))</f>
        <v/>
      </c>
      <c r="D1624" s="51"/>
      <c r="E1624" s="53"/>
      <c r="F1624" s="52" t="str">
        <f aca="false">IF(A1624="","",INDEX(הגדרות!$H$16:$H$27,MONTH(A1624)))</f>
        <v/>
      </c>
    </row>
    <row r="1625" customFormat="false" ht="15" hidden="false" customHeight="false" outlineLevel="0" collapsed="false">
      <c r="A1625" s="55"/>
      <c r="B1625" s="56"/>
      <c r="C1625" s="57" t="str">
        <f aca="false">IF(B1625="","",IFERROR(INDEX(הגדרות!$A$8:$A$53,MATCH(B1625,הגדרות!$B$8:$B$53,0)),"⚠ לא בהגדרות"))</f>
        <v/>
      </c>
      <c r="D1625" s="56"/>
      <c r="E1625" s="58"/>
      <c r="F1625" s="57" t="str">
        <f aca="false">IF(A1625="","",INDEX(הגדרות!$H$16:$H$27,MONTH(A1625)))</f>
        <v/>
      </c>
    </row>
    <row r="1626" customFormat="false" ht="15" hidden="false" customHeight="false" outlineLevel="0" collapsed="false">
      <c r="A1626" s="50"/>
      <c r="B1626" s="51"/>
      <c r="C1626" s="52" t="str">
        <f aca="false">IF(B1626="","",IFERROR(INDEX(הגדרות!$A$8:$A$53,MATCH(B1626,הגדרות!$B$8:$B$53,0)),"⚠ לא בהגדרות"))</f>
        <v/>
      </c>
      <c r="D1626" s="51"/>
      <c r="E1626" s="53"/>
      <c r="F1626" s="52" t="str">
        <f aca="false">IF(A1626="","",INDEX(הגדרות!$H$16:$H$27,MONTH(A1626)))</f>
        <v/>
      </c>
    </row>
    <row r="1627" customFormat="false" ht="15" hidden="false" customHeight="false" outlineLevel="0" collapsed="false">
      <c r="A1627" s="55"/>
      <c r="B1627" s="56"/>
      <c r="C1627" s="57" t="str">
        <f aca="false">IF(B1627="","",IFERROR(INDEX(הגדרות!$A$8:$A$53,MATCH(B1627,הגדרות!$B$8:$B$53,0)),"⚠ לא בהגדרות"))</f>
        <v/>
      </c>
      <c r="D1627" s="56"/>
      <c r="E1627" s="58"/>
      <c r="F1627" s="57" t="str">
        <f aca="false">IF(A1627="","",INDEX(הגדרות!$H$16:$H$27,MONTH(A1627)))</f>
        <v/>
      </c>
    </row>
    <row r="1628" customFormat="false" ht="15" hidden="false" customHeight="false" outlineLevel="0" collapsed="false">
      <c r="A1628" s="50"/>
      <c r="B1628" s="51"/>
      <c r="C1628" s="52" t="str">
        <f aca="false">IF(B1628="","",IFERROR(INDEX(הגדרות!$A$8:$A$53,MATCH(B1628,הגדרות!$B$8:$B$53,0)),"⚠ לא בהגדרות"))</f>
        <v/>
      </c>
      <c r="D1628" s="51"/>
      <c r="E1628" s="53"/>
      <c r="F1628" s="52" t="str">
        <f aca="false">IF(A1628="","",INDEX(הגדרות!$H$16:$H$27,MONTH(A1628)))</f>
        <v/>
      </c>
    </row>
    <row r="1629" customFormat="false" ht="15" hidden="false" customHeight="false" outlineLevel="0" collapsed="false">
      <c r="A1629" s="55"/>
      <c r="B1629" s="56"/>
      <c r="C1629" s="57" t="str">
        <f aca="false">IF(B1629="","",IFERROR(INDEX(הגדרות!$A$8:$A$53,MATCH(B1629,הגדרות!$B$8:$B$53,0)),"⚠ לא בהגדרות"))</f>
        <v/>
      </c>
      <c r="D1629" s="56"/>
      <c r="E1629" s="58"/>
      <c r="F1629" s="57" t="str">
        <f aca="false">IF(A1629="","",INDEX(הגדרות!$H$16:$H$27,MONTH(A1629)))</f>
        <v/>
      </c>
    </row>
    <row r="1630" customFormat="false" ht="15" hidden="false" customHeight="false" outlineLevel="0" collapsed="false">
      <c r="A1630" s="50"/>
      <c r="B1630" s="51"/>
      <c r="C1630" s="52" t="str">
        <f aca="false">IF(B1630="","",IFERROR(INDEX(הגדרות!$A$8:$A$53,MATCH(B1630,הגדרות!$B$8:$B$53,0)),"⚠ לא בהגדרות"))</f>
        <v/>
      </c>
      <c r="D1630" s="51"/>
      <c r="E1630" s="53"/>
      <c r="F1630" s="52" t="str">
        <f aca="false">IF(A1630="","",INDEX(הגדרות!$H$16:$H$27,MONTH(A1630)))</f>
        <v/>
      </c>
    </row>
    <row r="1631" customFormat="false" ht="15" hidden="false" customHeight="false" outlineLevel="0" collapsed="false">
      <c r="A1631" s="55"/>
      <c r="B1631" s="56"/>
      <c r="C1631" s="57" t="str">
        <f aca="false">IF(B1631="","",IFERROR(INDEX(הגדרות!$A$8:$A$53,MATCH(B1631,הגדרות!$B$8:$B$53,0)),"⚠ לא בהגדרות"))</f>
        <v/>
      </c>
      <c r="D1631" s="56"/>
      <c r="E1631" s="58"/>
      <c r="F1631" s="57" t="str">
        <f aca="false">IF(A1631="","",INDEX(הגדרות!$H$16:$H$27,MONTH(A1631)))</f>
        <v/>
      </c>
    </row>
    <row r="1632" customFormat="false" ht="15" hidden="false" customHeight="false" outlineLevel="0" collapsed="false">
      <c r="A1632" s="50"/>
      <c r="B1632" s="51"/>
      <c r="C1632" s="52" t="str">
        <f aca="false">IF(B1632="","",IFERROR(INDEX(הגדרות!$A$8:$A$53,MATCH(B1632,הגדרות!$B$8:$B$53,0)),"⚠ לא בהגדרות"))</f>
        <v/>
      </c>
      <c r="D1632" s="51"/>
      <c r="E1632" s="53"/>
      <c r="F1632" s="52" t="str">
        <f aca="false">IF(A1632="","",INDEX(הגדרות!$H$16:$H$27,MONTH(A1632)))</f>
        <v/>
      </c>
    </row>
    <row r="1633" customFormat="false" ht="15" hidden="false" customHeight="false" outlineLevel="0" collapsed="false">
      <c r="A1633" s="55"/>
      <c r="B1633" s="56"/>
      <c r="C1633" s="57" t="str">
        <f aca="false">IF(B1633="","",IFERROR(INDEX(הגדרות!$A$8:$A$53,MATCH(B1633,הגדרות!$B$8:$B$53,0)),"⚠ לא בהגדרות"))</f>
        <v/>
      </c>
      <c r="D1633" s="56"/>
      <c r="E1633" s="58"/>
      <c r="F1633" s="57" t="str">
        <f aca="false">IF(A1633="","",INDEX(הגדרות!$H$16:$H$27,MONTH(A1633)))</f>
        <v/>
      </c>
    </row>
    <row r="1634" customFormat="false" ht="15" hidden="false" customHeight="false" outlineLevel="0" collapsed="false">
      <c r="A1634" s="50"/>
      <c r="B1634" s="51"/>
      <c r="C1634" s="52" t="str">
        <f aca="false">IF(B1634="","",IFERROR(INDEX(הגדרות!$A$8:$A$53,MATCH(B1634,הגדרות!$B$8:$B$53,0)),"⚠ לא בהגדרות"))</f>
        <v/>
      </c>
      <c r="D1634" s="51"/>
      <c r="E1634" s="53"/>
      <c r="F1634" s="52" t="str">
        <f aca="false">IF(A1634="","",INDEX(הגדרות!$H$16:$H$27,MONTH(A1634)))</f>
        <v/>
      </c>
    </row>
    <row r="1635" customFormat="false" ht="15" hidden="false" customHeight="false" outlineLevel="0" collapsed="false">
      <c r="A1635" s="55"/>
      <c r="B1635" s="56"/>
      <c r="C1635" s="57" t="str">
        <f aca="false">IF(B1635="","",IFERROR(INDEX(הגדרות!$A$8:$A$53,MATCH(B1635,הגדרות!$B$8:$B$53,0)),"⚠ לא בהגדרות"))</f>
        <v/>
      </c>
      <c r="D1635" s="56"/>
      <c r="E1635" s="58"/>
      <c r="F1635" s="57" t="str">
        <f aca="false">IF(A1635="","",INDEX(הגדרות!$H$16:$H$27,MONTH(A1635)))</f>
        <v/>
      </c>
    </row>
    <row r="1636" customFormat="false" ht="15" hidden="false" customHeight="false" outlineLevel="0" collapsed="false">
      <c r="A1636" s="50"/>
      <c r="B1636" s="51"/>
      <c r="C1636" s="52" t="str">
        <f aca="false">IF(B1636="","",IFERROR(INDEX(הגדרות!$A$8:$A$53,MATCH(B1636,הגדרות!$B$8:$B$53,0)),"⚠ לא בהגדרות"))</f>
        <v/>
      </c>
      <c r="D1636" s="51"/>
      <c r="E1636" s="53"/>
      <c r="F1636" s="52" t="str">
        <f aca="false">IF(A1636="","",INDEX(הגדרות!$H$16:$H$27,MONTH(A1636)))</f>
        <v/>
      </c>
    </row>
    <row r="1637" customFormat="false" ht="15" hidden="false" customHeight="false" outlineLevel="0" collapsed="false">
      <c r="A1637" s="55"/>
      <c r="B1637" s="56"/>
      <c r="C1637" s="57" t="str">
        <f aca="false">IF(B1637="","",IFERROR(INDEX(הגדרות!$A$8:$A$53,MATCH(B1637,הגדרות!$B$8:$B$53,0)),"⚠ לא בהגדרות"))</f>
        <v/>
      </c>
      <c r="D1637" s="56"/>
      <c r="E1637" s="58"/>
      <c r="F1637" s="57" t="str">
        <f aca="false">IF(A1637="","",INDEX(הגדרות!$H$16:$H$27,MONTH(A1637)))</f>
        <v/>
      </c>
    </row>
    <row r="1638" customFormat="false" ht="15" hidden="false" customHeight="false" outlineLevel="0" collapsed="false">
      <c r="A1638" s="50"/>
      <c r="B1638" s="51"/>
      <c r="C1638" s="52" t="str">
        <f aca="false">IF(B1638="","",IFERROR(INDEX(הגדרות!$A$8:$A$53,MATCH(B1638,הגדרות!$B$8:$B$53,0)),"⚠ לא בהגדרות"))</f>
        <v/>
      </c>
      <c r="D1638" s="51"/>
      <c r="E1638" s="53"/>
      <c r="F1638" s="52" t="str">
        <f aca="false">IF(A1638="","",INDEX(הגדרות!$H$16:$H$27,MONTH(A1638)))</f>
        <v/>
      </c>
    </row>
    <row r="1639" customFormat="false" ht="15" hidden="false" customHeight="false" outlineLevel="0" collapsed="false">
      <c r="A1639" s="55"/>
      <c r="B1639" s="56"/>
      <c r="C1639" s="57" t="str">
        <f aca="false">IF(B1639="","",IFERROR(INDEX(הגדרות!$A$8:$A$53,MATCH(B1639,הגדרות!$B$8:$B$53,0)),"⚠ לא בהגדרות"))</f>
        <v/>
      </c>
      <c r="D1639" s="56"/>
      <c r="E1639" s="58"/>
      <c r="F1639" s="57" t="str">
        <f aca="false">IF(A1639="","",INDEX(הגדרות!$H$16:$H$27,MONTH(A1639)))</f>
        <v/>
      </c>
    </row>
    <row r="1640" customFormat="false" ht="15" hidden="false" customHeight="false" outlineLevel="0" collapsed="false">
      <c r="A1640" s="50"/>
      <c r="B1640" s="51"/>
      <c r="C1640" s="52" t="str">
        <f aca="false">IF(B1640="","",IFERROR(INDEX(הגדרות!$A$8:$A$53,MATCH(B1640,הגדרות!$B$8:$B$53,0)),"⚠ לא בהגדרות"))</f>
        <v/>
      </c>
      <c r="D1640" s="51"/>
      <c r="E1640" s="53"/>
      <c r="F1640" s="52" t="str">
        <f aca="false">IF(A1640="","",INDEX(הגדרות!$H$16:$H$27,MONTH(A1640)))</f>
        <v/>
      </c>
    </row>
    <row r="1641" customFormat="false" ht="15" hidden="false" customHeight="false" outlineLevel="0" collapsed="false">
      <c r="A1641" s="55"/>
      <c r="B1641" s="56"/>
      <c r="C1641" s="57" t="str">
        <f aca="false">IF(B1641="","",IFERROR(INDEX(הגדרות!$A$8:$A$53,MATCH(B1641,הגדרות!$B$8:$B$53,0)),"⚠ לא בהגדרות"))</f>
        <v/>
      </c>
      <c r="D1641" s="56"/>
      <c r="E1641" s="58"/>
      <c r="F1641" s="57" t="str">
        <f aca="false">IF(A1641="","",INDEX(הגדרות!$H$16:$H$27,MONTH(A1641)))</f>
        <v/>
      </c>
    </row>
    <row r="1642" customFormat="false" ht="15" hidden="false" customHeight="false" outlineLevel="0" collapsed="false">
      <c r="A1642" s="50"/>
      <c r="B1642" s="51"/>
      <c r="C1642" s="52" t="str">
        <f aca="false">IF(B1642="","",IFERROR(INDEX(הגדרות!$A$8:$A$53,MATCH(B1642,הגדרות!$B$8:$B$53,0)),"⚠ לא בהגדרות"))</f>
        <v/>
      </c>
      <c r="D1642" s="51"/>
      <c r="E1642" s="53"/>
      <c r="F1642" s="52" t="str">
        <f aca="false">IF(A1642="","",INDEX(הגדרות!$H$16:$H$27,MONTH(A1642)))</f>
        <v/>
      </c>
    </row>
    <row r="1643" customFormat="false" ht="15" hidden="false" customHeight="false" outlineLevel="0" collapsed="false">
      <c r="A1643" s="55"/>
      <c r="B1643" s="56"/>
      <c r="C1643" s="57" t="str">
        <f aca="false">IF(B1643="","",IFERROR(INDEX(הגדרות!$A$8:$A$53,MATCH(B1643,הגדרות!$B$8:$B$53,0)),"⚠ לא בהגדרות"))</f>
        <v/>
      </c>
      <c r="D1643" s="56"/>
      <c r="E1643" s="58"/>
      <c r="F1643" s="57" t="str">
        <f aca="false">IF(A1643="","",INDEX(הגדרות!$H$16:$H$27,MONTH(A1643)))</f>
        <v/>
      </c>
    </row>
    <row r="1644" customFormat="false" ht="15" hidden="false" customHeight="false" outlineLevel="0" collapsed="false">
      <c r="A1644" s="50"/>
      <c r="B1644" s="51"/>
      <c r="C1644" s="52" t="str">
        <f aca="false">IF(B1644="","",IFERROR(INDEX(הגדרות!$A$8:$A$53,MATCH(B1644,הגדרות!$B$8:$B$53,0)),"⚠ לא בהגדרות"))</f>
        <v/>
      </c>
      <c r="D1644" s="51"/>
      <c r="E1644" s="53"/>
      <c r="F1644" s="52" t="str">
        <f aca="false">IF(A1644="","",INDEX(הגדרות!$H$16:$H$27,MONTH(A1644)))</f>
        <v/>
      </c>
    </row>
    <row r="1645" customFormat="false" ht="15" hidden="false" customHeight="false" outlineLevel="0" collapsed="false">
      <c r="A1645" s="55"/>
      <c r="B1645" s="56"/>
      <c r="C1645" s="57" t="str">
        <f aca="false">IF(B1645="","",IFERROR(INDEX(הגדרות!$A$8:$A$53,MATCH(B1645,הגדרות!$B$8:$B$53,0)),"⚠ לא בהגדרות"))</f>
        <v/>
      </c>
      <c r="D1645" s="56"/>
      <c r="E1645" s="58"/>
      <c r="F1645" s="57" t="str">
        <f aca="false">IF(A1645="","",INDEX(הגדרות!$H$16:$H$27,MONTH(A1645)))</f>
        <v/>
      </c>
    </row>
    <row r="1646" customFormat="false" ht="15" hidden="false" customHeight="false" outlineLevel="0" collapsed="false">
      <c r="A1646" s="50"/>
      <c r="B1646" s="51"/>
      <c r="C1646" s="52" t="str">
        <f aca="false">IF(B1646="","",IFERROR(INDEX(הגדרות!$A$8:$A$53,MATCH(B1646,הגדרות!$B$8:$B$53,0)),"⚠ לא בהגדרות"))</f>
        <v/>
      </c>
      <c r="D1646" s="51"/>
      <c r="E1646" s="53"/>
      <c r="F1646" s="52" t="str">
        <f aca="false">IF(A1646="","",INDEX(הגדרות!$H$16:$H$27,MONTH(A1646)))</f>
        <v/>
      </c>
    </row>
    <row r="1647" customFormat="false" ht="15" hidden="false" customHeight="false" outlineLevel="0" collapsed="false">
      <c r="A1647" s="55"/>
      <c r="B1647" s="56"/>
      <c r="C1647" s="57" t="str">
        <f aca="false">IF(B1647="","",IFERROR(INDEX(הגדרות!$A$8:$A$53,MATCH(B1647,הגדרות!$B$8:$B$53,0)),"⚠ לא בהגדרות"))</f>
        <v/>
      </c>
      <c r="D1647" s="56"/>
      <c r="E1647" s="58"/>
      <c r="F1647" s="57" t="str">
        <f aca="false">IF(A1647="","",INDEX(הגדרות!$H$16:$H$27,MONTH(A1647)))</f>
        <v/>
      </c>
    </row>
    <row r="1648" customFormat="false" ht="15" hidden="false" customHeight="false" outlineLevel="0" collapsed="false">
      <c r="A1648" s="50"/>
      <c r="B1648" s="51"/>
      <c r="C1648" s="52" t="str">
        <f aca="false">IF(B1648="","",IFERROR(INDEX(הגדרות!$A$8:$A$53,MATCH(B1648,הגדרות!$B$8:$B$53,0)),"⚠ לא בהגדרות"))</f>
        <v/>
      </c>
      <c r="D1648" s="51"/>
      <c r="E1648" s="53"/>
      <c r="F1648" s="52" t="str">
        <f aca="false">IF(A1648="","",INDEX(הגדרות!$H$16:$H$27,MONTH(A1648)))</f>
        <v/>
      </c>
    </row>
    <row r="1649" customFormat="false" ht="15" hidden="false" customHeight="false" outlineLevel="0" collapsed="false">
      <c r="A1649" s="55"/>
      <c r="B1649" s="56"/>
      <c r="C1649" s="57" t="str">
        <f aca="false">IF(B1649="","",IFERROR(INDEX(הגדרות!$A$8:$A$53,MATCH(B1649,הגדרות!$B$8:$B$53,0)),"⚠ לא בהגדרות"))</f>
        <v/>
      </c>
      <c r="D1649" s="56"/>
      <c r="E1649" s="58"/>
      <c r="F1649" s="57" t="str">
        <f aca="false">IF(A1649="","",INDEX(הגדרות!$H$16:$H$27,MONTH(A1649)))</f>
        <v/>
      </c>
    </row>
    <row r="1650" customFormat="false" ht="15" hidden="false" customHeight="false" outlineLevel="0" collapsed="false">
      <c r="A1650" s="50"/>
      <c r="B1650" s="51"/>
      <c r="C1650" s="52" t="str">
        <f aca="false">IF(B1650="","",IFERROR(INDEX(הגדרות!$A$8:$A$53,MATCH(B1650,הגדרות!$B$8:$B$53,0)),"⚠ לא בהגדרות"))</f>
        <v/>
      </c>
      <c r="D1650" s="51"/>
      <c r="E1650" s="53"/>
      <c r="F1650" s="52" t="str">
        <f aca="false">IF(A1650="","",INDEX(הגדרות!$H$16:$H$27,MONTH(A1650)))</f>
        <v/>
      </c>
    </row>
    <row r="1651" customFormat="false" ht="15" hidden="false" customHeight="false" outlineLevel="0" collapsed="false">
      <c r="A1651" s="55"/>
      <c r="B1651" s="56"/>
      <c r="C1651" s="57" t="str">
        <f aca="false">IF(B1651="","",IFERROR(INDEX(הגדרות!$A$8:$A$53,MATCH(B1651,הגדרות!$B$8:$B$53,0)),"⚠ לא בהגדרות"))</f>
        <v/>
      </c>
      <c r="D1651" s="56"/>
      <c r="E1651" s="58"/>
      <c r="F1651" s="57" t="str">
        <f aca="false">IF(A1651="","",INDEX(הגדרות!$H$16:$H$27,MONTH(A1651)))</f>
        <v/>
      </c>
    </row>
    <row r="1652" customFormat="false" ht="15" hidden="false" customHeight="false" outlineLevel="0" collapsed="false">
      <c r="A1652" s="50"/>
      <c r="B1652" s="51"/>
      <c r="C1652" s="52" t="str">
        <f aca="false">IF(B1652="","",IFERROR(INDEX(הגדרות!$A$8:$A$53,MATCH(B1652,הגדרות!$B$8:$B$53,0)),"⚠ לא בהגדרות"))</f>
        <v/>
      </c>
      <c r="D1652" s="51"/>
      <c r="E1652" s="53"/>
      <c r="F1652" s="52" t="str">
        <f aca="false">IF(A1652="","",INDEX(הגדרות!$H$16:$H$27,MONTH(A1652)))</f>
        <v/>
      </c>
    </row>
    <row r="1653" customFormat="false" ht="15" hidden="false" customHeight="false" outlineLevel="0" collapsed="false">
      <c r="A1653" s="55"/>
      <c r="B1653" s="56"/>
      <c r="C1653" s="57" t="str">
        <f aca="false">IF(B1653="","",IFERROR(INDEX(הגדרות!$A$8:$A$53,MATCH(B1653,הגדרות!$B$8:$B$53,0)),"⚠ לא בהגדרות"))</f>
        <v/>
      </c>
      <c r="D1653" s="56"/>
      <c r="E1653" s="58"/>
      <c r="F1653" s="57" t="str">
        <f aca="false">IF(A1653="","",INDEX(הגדרות!$H$16:$H$27,MONTH(A1653)))</f>
        <v/>
      </c>
    </row>
    <row r="1654" customFormat="false" ht="15" hidden="false" customHeight="false" outlineLevel="0" collapsed="false">
      <c r="A1654" s="50"/>
      <c r="B1654" s="51"/>
      <c r="C1654" s="52" t="str">
        <f aca="false">IF(B1654="","",IFERROR(INDEX(הגדרות!$A$8:$A$53,MATCH(B1654,הגדרות!$B$8:$B$53,0)),"⚠ לא בהגדרות"))</f>
        <v/>
      </c>
      <c r="D1654" s="51"/>
      <c r="E1654" s="53"/>
      <c r="F1654" s="52" t="str">
        <f aca="false">IF(A1654="","",INDEX(הגדרות!$H$16:$H$27,MONTH(A1654)))</f>
        <v/>
      </c>
    </row>
    <row r="1655" customFormat="false" ht="15" hidden="false" customHeight="false" outlineLevel="0" collapsed="false">
      <c r="A1655" s="55"/>
      <c r="B1655" s="56"/>
      <c r="C1655" s="57" t="str">
        <f aca="false">IF(B1655="","",IFERROR(INDEX(הגדרות!$A$8:$A$53,MATCH(B1655,הגדרות!$B$8:$B$53,0)),"⚠ לא בהגדרות"))</f>
        <v/>
      </c>
      <c r="D1655" s="56"/>
      <c r="E1655" s="58"/>
      <c r="F1655" s="57" t="str">
        <f aca="false">IF(A1655="","",INDEX(הגדרות!$H$16:$H$27,MONTH(A1655)))</f>
        <v/>
      </c>
    </row>
    <row r="1656" customFormat="false" ht="15" hidden="false" customHeight="false" outlineLevel="0" collapsed="false">
      <c r="A1656" s="50"/>
      <c r="B1656" s="51"/>
      <c r="C1656" s="52" t="str">
        <f aca="false">IF(B1656="","",IFERROR(INDEX(הגדרות!$A$8:$A$53,MATCH(B1656,הגדרות!$B$8:$B$53,0)),"⚠ לא בהגדרות"))</f>
        <v/>
      </c>
      <c r="D1656" s="51"/>
      <c r="E1656" s="53"/>
      <c r="F1656" s="52" t="str">
        <f aca="false">IF(A1656="","",INDEX(הגדרות!$H$16:$H$27,MONTH(A1656)))</f>
        <v/>
      </c>
    </row>
    <row r="1657" customFormat="false" ht="15" hidden="false" customHeight="false" outlineLevel="0" collapsed="false">
      <c r="A1657" s="55"/>
      <c r="B1657" s="56"/>
      <c r="C1657" s="57" t="str">
        <f aca="false">IF(B1657="","",IFERROR(INDEX(הגדרות!$A$8:$A$53,MATCH(B1657,הגדרות!$B$8:$B$53,0)),"⚠ לא בהגדרות"))</f>
        <v/>
      </c>
      <c r="D1657" s="56"/>
      <c r="E1657" s="58"/>
      <c r="F1657" s="57" t="str">
        <f aca="false">IF(A1657="","",INDEX(הגדרות!$H$16:$H$27,MONTH(A1657)))</f>
        <v/>
      </c>
    </row>
    <row r="1658" customFormat="false" ht="15" hidden="false" customHeight="false" outlineLevel="0" collapsed="false">
      <c r="A1658" s="50"/>
      <c r="B1658" s="51"/>
      <c r="C1658" s="52" t="str">
        <f aca="false">IF(B1658="","",IFERROR(INDEX(הגדרות!$A$8:$A$53,MATCH(B1658,הגדרות!$B$8:$B$53,0)),"⚠ לא בהגדרות"))</f>
        <v/>
      </c>
      <c r="D1658" s="51"/>
      <c r="E1658" s="53"/>
      <c r="F1658" s="52" t="str">
        <f aca="false">IF(A1658="","",INDEX(הגדרות!$H$16:$H$27,MONTH(A1658)))</f>
        <v/>
      </c>
    </row>
    <row r="1659" customFormat="false" ht="15" hidden="false" customHeight="false" outlineLevel="0" collapsed="false">
      <c r="A1659" s="55"/>
      <c r="B1659" s="56"/>
      <c r="C1659" s="57" t="str">
        <f aca="false">IF(B1659="","",IFERROR(INDEX(הגדרות!$A$8:$A$53,MATCH(B1659,הגדרות!$B$8:$B$53,0)),"⚠ לא בהגדרות"))</f>
        <v/>
      </c>
      <c r="D1659" s="56"/>
      <c r="E1659" s="58"/>
      <c r="F1659" s="57" t="str">
        <f aca="false">IF(A1659="","",INDEX(הגדרות!$H$16:$H$27,MONTH(A1659)))</f>
        <v/>
      </c>
    </row>
    <row r="1660" customFormat="false" ht="15" hidden="false" customHeight="false" outlineLevel="0" collapsed="false">
      <c r="A1660" s="50"/>
      <c r="B1660" s="51"/>
      <c r="C1660" s="52" t="str">
        <f aca="false">IF(B1660="","",IFERROR(INDEX(הגדרות!$A$8:$A$53,MATCH(B1660,הגדרות!$B$8:$B$53,0)),"⚠ לא בהגדרות"))</f>
        <v/>
      </c>
      <c r="D1660" s="51"/>
      <c r="E1660" s="53"/>
      <c r="F1660" s="52" t="str">
        <f aca="false">IF(A1660="","",INDEX(הגדרות!$H$16:$H$27,MONTH(A1660)))</f>
        <v/>
      </c>
    </row>
    <row r="1661" customFormat="false" ht="15" hidden="false" customHeight="false" outlineLevel="0" collapsed="false">
      <c r="A1661" s="55"/>
      <c r="B1661" s="56"/>
      <c r="C1661" s="57" t="str">
        <f aca="false">IF(B1661="","",IFERROR(INDEX(הגדרות!$A$8:$A$53,MATCH(B1661,הגדרות!$B$8:$B$53,0)),"⚠ לא בהגדרות"))</f>
        <v/>
      </c>
      <c r="D1661" s="56"/>
      <c r="E1661" s="58"/>
      <c r="F1661" s="57" t="str">
        <f aca="false">IF(A1661="","",INDEX(הגדרות!$H$16:$H$27,MONTH(A1661)))</f>
        <v/>
      </c>
    </row>
    <row r="1662" customFormat="false" ht="15" hidden="false" customHeight="false" outlineLevel="0" collapsed="false">
      <c r="A1662" s="50"/>
      <c r="B1662" s="51"/>
      <c r="C1662" s="52" t="str">
        <f aca="false">IF(B1662="","",IFERROR(INDEX(הגדרות!$A$8:$A$53,MATCH(B1662,הגדרות!$B$8:$B$53,0)),"⚠ לא בהגדרות"))</f>
        <v/>
      </c>
      <c r="D1662" s="51"/>
      <c r="E1662" s="53"/>
      <c r="F1662" s="52" t="str">
        <f aca="false">IF(A1662="","",INDEX(הגדרות!$H$16:$H$27,MONTH(A1662)))</f>
        <v/>
      </c>
    </row>
    <row r="1663" customFormat="false" ht="15" hidden="false" customHeight="false" outlineLevel="0" collapsed="false">
      <c r="A1663" s="55"/>
      <c r="B1663" s="56"/>
      <c r="C1663" s="57" t="str">
        <f aca="false">IF(B1663="","",IFERROR(INDEX(הגדרות!$A$8:$A$53,MATCH(B1663,הגדרות!$B$8:$B$53,0)),"⚠ לא בהגדרות"))</f>
        <v/>
      </c>
      <c r="D1663" s="56"/>
      <c r="E1663" s="58"/>
      <c r="F1663" s="57" t="str">
        <f aca="false">IF(A1663="","",INDEX(הגדרות!$H$16:$H$27,MONTH(A1663)))</f>
        <v/>
      </c>
    </row>
    <row r="1664" customFormat="false" ht="15" hidden="false" customHeight="false" outlineLevel="0" collapsed="false">
      <c r="A1664" s="50"/>
      <c r="B1664" s="51"/>
      <c r="C1664" s="52" t="str">
        <f aca="false">IF(B1664="","",IFERROR(INDEX(הגדרות!$A$8:$A$53,MATCH(B1664,הגדרות!$B$8:$B$53,0)),"⚠ לא בהגדרות"))</f>
        <v/>
      </c>
      <c r="D1664" s="51"/>
      <c r="E1664" s="53"/>
      <c r="F1664" s="52" t="str">
        <f aca="false">IF(A1664="","",INDEX(הגדרות!$H$16:$H$27,MONTH(A1664)))</f>
        <v/>
      </c>
    </row>
    <row r="1665" customFormat="false" ht="15" hidden="false" customHeight="false" outlineLevel="0" collapsed="false">
      <c r="A1665" s="55"/>
      <c r="B1665" s="56"/>
      <c r="C1665" s="57" t="str">
        <f aca="false">IF(B1665="","",IFERROR(INDEX(הגדרות!$A$8:$A$53,MATCH(B1665,הגדרות!$B$8:$B$53,0)),"⚠ לא בהגדרות"))</f>
        <v/>
      </c>
      <c r="D1665" s="56"/>
      <c r="E1665" s="58"/>
      <c r="F1665" s="57" t="str">
        <f aca="false">IF(A1665="","",INDEX(הגדרות!$H$16:$H$27,MONTH(A1665)))</f>
        <v/>
      </c>
    </row>
    <row r="1666" customFormat="false" ht="15" hidden="false" customHeight="false" outlineLevel="0" collapsed="false">
      <c r="A1666" s="50"/>
      <c r="B1666" s="51"/>
      <c r="C1666" s="52" t="str">
        <f aca="false">IF(B1666="","",IFERROR(INDEX(הגדרות!$A$8:$A$53,MATCH(B1666,הגדרות!$B$8:$B$53,0)),"⚠ לא בהגדרות"))</f>
        <v/>
      </c>
      <c r="D1666" s="51"/>
      <c r="E1666" s="53"/>
      <c r="F1666" s="52" t="str">
        <f aca="false">IF(A1666="","",INDEX(הגדרות!$H$16:$H$27,MONTH(A1666)))</f>
        <v/>
      </c>
    </row>
    <row r="1667" customFormat="false" ht="15" hidden="false" customHeight="false" outlineLevel="0" collapsed="false">
      <c r="A1667" s="55"/>
      <c r="B1667" s="56"/>
      <c r="C1667" s="57" t="str">
        <f aca="false">IF(B1667="","",IFERROR(INDEX(הגדרות!$A$8:$A$53,MATCH(B1667,הגדרות!$B$8:$B$53,0)),"⚠ לא בהגדרות"))</f>
        <v/>
      </c>
      <c r="D1667" s="56"/>
      <c r="E1667" s="58"/>
      <c r="F1667" s="57" t="str">
        <f aca="false">IF(A1667="","",INDEX(הגדרות!$H$16:$H$27,MONTH(A1667)))</f>
        <v/>
      </c>
    </row>
    <row r="1668" customFormat="false" ht="15" hidden="false" customHeight="false" outlineLevel="0" collapsed="false">
      <c r="A1668" s="50"/>
      <c r="B1668" s="51"/>
      <c r="C1668" s="52" t="str">
        <f aca="false">IF(B1668="","",IFERROR(INDEX(הגדרות!$A$8:$A$53,MATCH(B1668,הגדרות!$B$8:$B$53,0)),"⚠ לא בהגדרות"))</f>
        <v/>
      </c>
      <c r="D1668" s="51"/>
      <c r="E1668" s="53"/>
      <c r="F1668" s="52" t="str">
        <f aca="false">IF(A1668="","",INDEX(הגדרות!$H$16:$H$27,MONTH(A1668)))</f>
        <v/>
      </c>
    </row>
    <row r="1669" customFormat="false" ht="15" hidden="false" customHeight="false" outlineLevel="0" collapsed="false">
      <c r="A1669" s="55"/>
      <c r="B1669" s="56"/>
      <c r="C1669" s="57" t="str">
        <f aca="false">IF(B1669="","",IFERROR(INDEX(הגדרות!$A$8:$A$53,MATCH(B1669,הגדרות!$B$8:$B$53,0)),"⚠ לא בהגדרות"))</f>
        <v/>
      </c>
      <c r="D1669" s="56"/>
      <c r="E1669" s="58"/>
      <c r="F1669" s="57" t="str">
        <f aca="false">IF(A1669="","",INDEX(הגדרות!$H$16:$H$27,MONTH(A1669)))</f>
        <v/>
      </c>
    </row>
    <row r="1670" customFormat="false" ht="15" hidden="false" customHeight="false" outlineLevel="0" collapsed="false">
      <c r="A1670" s="50"/>
      <c r="B1670" s="51"/>
      <c r="C1670" s="52" t="str">
        <f aca="false">IF(B1670="","",IFERROR(INDEX(הגדרות!$A$8:$A$53,MATCH(B1670,הגדרות!$B$8:$B$53,0)),"⚠ לא בהגדרות"))</f>
        <v/>
      </c>
      <c r="D1670" s="51"/>
      <c r="E1670" s="53"/>
      <c r="F1670" s="52" t="str">
        <f aca="false">IF(A1670="","",INDEX(הגדרות!$H$16:$H$27,MONTH(A1670)))</f>
        <v/>
      </c>
    </row>
    <row r="1671" customFormat="false" ht="15" hidden="false" customHeight="false" outlineLevel="0" collapsed="false">
      <c r="A1671" s="55"/>
      <c r="B1671" s="56"/>
      <c r="C1671" s="57" t="str">
        <f aca="false">IF(B1671="","",IFERROR(INDEX(הגדרות!$A$8:$A$53,MATCH(B1671,הגדרות!$B$8:$B$53,0)),"⚠ לא בהגדרות"))</f>
        <v/>
      </c>
      <c r="D1671" s="56"/>
      <c r="E1671" s="58"/>
      <c r="F1671" s="57" t="str">
        <f aca="false">IF(A1671="","",INDEX(הגדרות!$H$16:$H$27,MONTH(A1671)))</f>
        <v/>
      </c>
    </row>
    <row r="1672" customFormat="false" ht="15" hidden="false" customHeight="false" outlineLevel="0" collapsed="false">
      <c r="A1672" s="50"/>
      <c r="B1672" s="51"/>
      <c r="C1672" s="52" t="str">
        <f aca="false">IF(B1672="","",IFERROR(INDEX(הגדרות!$A$8:$A$53,MATCH(B1672,הגדרות!$B$8:$B$53,0)),"⚠ לא בהגדרות"))</f>
        <v/>
      </c>
      <c r="D1672" s="51"/>
      <c r="E1672" s="53"/>
      <c r="F1672" s="52" t="str">
        <f aca="false">IF(A1672="","",INDEX(הגדרות!$H$16:$H$27,MONTH(A1672)))</f>
        <v/>
      </c>
    </row>
    <row r="1673" customFormat="false" ht="15" hidden="false" customHeight="false" outlineLevel="0" collapsed="false">
      <c r="A1673" s="55"/>
      <c r="B1673" s="56"/>
      <c r="C1673" s="57" t="str">
        <f aca="false">IF(B1673="","",IFERROR(INDEX(הגדרות!$A$8:$A$53,MATCH(B1673,הגדרות!$B$8:$B$53,0)),"⚠ לא בהגדרות"))</f>
        <v/>
      </c>
      <c r="D1673" s="56"/>
      <c r="E1673" s="58"/>
      <c r="F1673" s="57" t="str">
        <f aca="false">IF(A1673="","",INDEX(הגדרות!$H$16:$H$27,MONTH(A1673)))</f>
        <v/>
      </c>
    </row>
    <row r="1674" customFormat="false" ht="15" hidden="false" customHeight="false" outlineLevel="0" collapsed="false">
      <c r="A1674" s="50"/>
      <c r="B1674" s="51"/>
      <c r="C1674" s="52" t="str">
        <f aca="false">IF(B1674="","",IFERROR(INDEX(הגדרות!$A$8:$A$53,MATCH(B1674,הגדרות!$B$8:$B$53,0)),"⚠ לא בהגדרות"))</f>
        <v/>
      </c>
      <c r="D1674" s="51"/>
      <c r="E1674" s="53"/>
      <c r="F1674" s="52" t="str">
        <f aca="false">IF(A1674="","",INDEX(הגדרות!$H$16:$H$27,MONTH(A1674)))</f>
        <v/>
      </c>
    </row>
    <row r="1675" customFormat="false" ht="15" hidden="false" customHeight="false" outlineLevel="0" collapsed="false">
      <c r="A1675" s="55"/>
      <c r="B1675" s="56"/>
      <c r="C1675" s="57" t="str">
        <f aca="false">IF(B1675="","",IFERROR(INDEX(הגדרות!$A$8:$A$53,MATCH(B1675,הגדרות!$B$8:$B$53,0)),"⚠ לא בהגדרות"))</f>
        <v/>
      </c>
      <c r="D1675" s="56"/>
      <c r="E1675" s="58"/>
      <c r="F1675" s="57" t="str">
        <f aca="false">IF(A1675="","",INDEX(הגדרות!$H$16:$H$27,MONTH(A1675)))</f>
        <v/>
      </c>
    </row>
    <row r="1676" customFormat="false" ht="15" hidden="false" customHeight="false" outlineLevel="0" collapsed="false">
      <c r="A1676" s="50"/>
      <c r="B1676" s="51"/>
      <c r="C1676" s="52" t="str">
        <f aca="false">IF(B1676="","",IFERROR(INDEX(הגדרות!$A$8:$A$53,MATCH(B1676,הגדרות!$B$8:$B$53,0)),"⚠ לא בהגדרות"))</f>
        <v/>
      </c>
      <c r="D1676" s="51"/>
      <c r="E1676" s="53"/>
      <c r="F1676" s="52" t="str">
        <f aca="false">IF(A1676="","",INDEX(הגדרות!$H$16:$H$27,MONTH(A1676)))</f>
        <v/>
      </c>
    </row>
    <row r="1677" customFormat="false" ht="15" hidden="false" customHeight="false" outlineLevel="0" collapsed="false">
      <c r="A1677" s="55"/>
      <c r="B1677" s="56"/>
      <c r="C1677" s="57" t="str">
        <f aca="false">IF(B1677="","",IFERROR(INDEX(הגדרות!$A$8:$A$53,MATCH(B1677,הגדרות!$B$8:$B$53,0)),"⚠ לא בהגדרות"))</f>
        <v/>
      </c>
      <c r="D1677" s="56"/>
      <c r="E1677" s="58"/>
      <c r="F1677" s="57" t="str">
        <f aca="false">IF(A1677="","",INDEX(הגדרות!$H$16:$H$27,MONTH(A1677)))</f>
        <v/>
      </c>
    </row>
    <row r="1678" customFormat="false" ht="15" hidden="false" customHeight="false" outlineLevel="0" collapsed="false">
      <c r="A1678" s="50"/>
      <c r="B1678" s="51"/>
      <c r="C1678" s="52" t="str">
        <f aca="false">IF(B1678="","",IFERROR(INDEX(הגדרות!$A$8:$A$53,MATCH(B1678,הגדרות!$B$8:$B$53,0)),"⚠ לא בהגדרות"))</f>
        <v/>
      </c>
      <c r="D1678" s="51"/>
      <c r="E1678" s="53"/>
      <c r="F1678" s="52" t="str">
        <f aca="false">IF(A1678="","",INDEX(הגדרות!$H$16:$H$27,MONTH(A1678)))</f>
        <v/>
      </c>
    </row>
    <row r="1679" customFormat="false" ht="15" hidden="false" customHeight="false" outlineLevel="0" collapsed="false">
      <c r="A1679" s="55"/>
      <c r="B1679" s="56"/>
      <c r="C1679" s="57" t="str">
        <f aca="false">IF(B1679="","",IFERROR(INDEX(הגדרות!$A$8:$A$53,MATCH(B1679,הגדרות!$B$8:$B$53,0)),"⚠ לא בהגדרות"))</f>
        <v/>
      </c>
      <c r="D1679" s="56"/>
      <c r="E1679" s="58"/>
      <c r="F1679" s="57" t="str">
        <f aca="false">IF(A1679="","",INDEX(הגדרות!$H$16:$H$27,MONTH(A1679)))</f>
        <v/>
      </c>
    </row>
    <row r="1680" customFormat="false" ht="15" hidden="false" customHeight="false" outlineLevel="0" collapsed="false">
      <c r="A1680" s="50"/>
      <c r="B1680" s="51"/>
      <c r="C1680" s="52" t="str">
        <f aca="false">IF(B1680="","",IFERROR(INDEX(הגדרות!$A$8:$A$53,MATCH(B1680,הגדרות!$B$8:$B$53,0)),"⚠ לא בהגדרות"))</f>
        <v/>
      </c>
      <c r="D1680" s="51"/>
      <c r="E1680" s="53"/>
      <c r="F1680" s="52" t="str">
        <f aca="false">IF(A1680="","",INDEX(הגדרות!$H$16:$H$27,MONTH(A1680)))</f>
        <v/>
      </c>
    </row>
    <row r="1681" customFormat="false" ht="15" hidden="false" customHeight="false" outlineLevel="0" collapsed="false">
      <c r="A1681" s="55"/>
      <c r="B1681" s="56"/>
      <c r="C1681" s="57" t="str">
        <f aca="false">IF(B1681="","",IFERROR(INDEX(הגדרות!$A$8:$A$53,MATCH(B1681,הגדרות!$B$8:$B$53,0)),"⚠ לא בהגדרות"))</f>
        <v/>
      </c>
      <c r="D1681" s="56"/>
      <c r="E1681" s="58"/>
      <c r="F1681" s="57" t="str">
        <f aca="false">IF(A1681="","",INDEX(הגדרות!$H$16:$H$27,MONTH(A1681)))</f>
        <v/>
      </c>
    </row>
    <row r="1682" customFormat="false" ht="15" hidden="false" customHeight="false" outlineLevel="0" collapsed="false">
      <c r="A1682" s="50"/>
      <c r="B1682" s="51"/>
      <c r="C1682" s="52" t="str">
        <f aca="false">IF(B1682="","",IFERROR(INDEX(הגדרות!$A$8:$A$53,MATCH(B1682,הגדרות!$B$8:$B$53,0)),"⚠ לא בהגדרות"))</f>
        <v/>
      </c>
      <c r="D1682" s="51"/>
      <c r="E1682" s="53"/>
      <c r="F1682" s="52" t="str">
        <f aca="false">IF(A1682="","",INDEX(הגדרות!$H$16:$H$27,MONTH(A1682)))</f>
        <v/>
      </c>
    </row>
    <row r="1683" customFormat="false" ht="15" hidden="false" customHeight="false" outlineLevel="0" collapsed="false">
      <c r="A1683" s="55"/>
      <c r="B1683" s="56"/>
      <c r="C1683" s="57" t="str">
        <f aca="false">IF(B1683="","",IFERROR(INDEX(הגדרות!$A$8:$A$53,MATCH(B1683,הגדרות!$B$8:$B$53,0)),"⚠ לא בהגדרות"))</f>
        <v/>
      </c>
      <c r="D1683" s="56"/>
      <c r="E1683" s="58"/>
      <c r="F1683" s="57" t="str">
        <f aca="false">IF(A1683="","",INDEX(הגדרות!$H$16:$H$27,MONTH(A1683)))</f>
        <v/>
      </c>
    </row>
    <row r="1684" customFormat="false" ht="15" hidden="false" customHeight="false" outlineLevel="0" collapsed="false">
      <c r="A1684" s="50"/>
      <c r="B1684" s="51"/>
      <c r="C1684" s="52" t="str">
        <f aca="false">IF(B1684="","",IFERROR(INDEX(הגדרות!$A$8:$A$53,MATCH(B1684,הגדרות!$B$8:$B$53,0)),"⚠ לא בהגדרות"))</f>
        <v/>
      </c>
      <c r="D1684" s="51"/>
      <c r="E1684" s="53"/>
      <c r="F1684" s="52" t="str">
        <f aca="false">IF(A1684="","",INDEX(הגדרות!$H$16:$H$27,MONTH(A1684)))</f>
        <v/>
      </c>
    </row>
    <row r="1685" customFormat="false" ht="15" hidden="false" customHeight="false" outlineLevel="0" collapsed="false">
      <c r="A1685" s="55"/>
      <c r="B1685" s="56"/>
      <c r="C1685" s="57" t="str">
        <f aca="false">IF(B1685="","",IFERROR(INDEX(הגדרות!$A$8:$A$53,MATCH(B1685,הגדרות!$B$8:$B$53,0)),"⚠ לא בהגדרות"))</f>
        <v/>
      </c>
      <c r="D1685" s="56"/>
      <c r="E1685" s="58"/>
      <c r="F1685" s="57" t="str">
        <f aca="false">IF(A1685="","",INDEX(הגדרות!$H$16:$H$27,MONTH(A1685)))</f>
        <v/>
      </c>
    </row>
    <row r="1686" customFormat="false" ht="15" hidden="false" customHeight="false" outlineLevel="0" collapsed="false">
      <c r="A1686" s="50"/>
      <c r="B1686" s="51"/>
      <c r="C1686" s="52" t="str">
        <f aca="false">IF(B1686="","",IFERROR(INDEX(הגדרות!$A$8:$A$53,MATCH(B1686,הגדרות!$B$8:$B$53,0)),"⚠ לא בהגדרות"))</f>
        <v/>
      </c>
      <c r="D1686" s="51"/>
      <c r="E1686" s="53"/>
      <c r="F1686" s="52" t="str">
        <f aca="false">IF(A1686="","",INDEX(הגדרות!$H$16:$H$27,MONTH(A1686)))</f>
        <v/>
      </c>
    </row>
    <row r="1687" customFormat="false" ht="15" hidden="false" customHeight="false" outlineLevel="0" collapsed="false">
      <c r="A1687" s="55"/>
      <c r="B1687" s="56"/>
      <c r="C1687" s="57" t="str">
        <f aca="false">IF(B1687="","",IFERROR(INDEX(הגדרות!$A$8:$A$53,MATCH(B1687,הגדרות!$B$8:$B$53,0)),"⚠ לא בהגדרות"))</f>
        <v/>
      </c>
      <c r="D1687" s="56"/>
      <c r="E1687" s="58"/>
      <c r="F1687" s="57" t="str">
        <f aca="false">IF(A1687="","",INDEX(הגדרות!$H$16:$H$27,MONTH(A1687)))</f>
        <v/>
      </c>
    </row>
    <row r="1688" customFormat="false" ht="15" hidden="false" customHeight="false" outlineLevel="0" collapsed="false">
      <c r="A1688" s="50"/>
      <c r="B1688" s="51"/>
      <c r="C1688" s="52" t="str">
        <f aca="false">IF(B1688="","",IFERROR(INDEX(הגדרות!$A$8:$A$53,MATCH(B1688,הגדרות!$B$8:$B$53,0)),"⚠ לא בהגדרות"))</f>
        <v/>
      </c>
      <c r="D1688" s="51"/>
      <c r="E1688" s="53"/>
      <c r="F1688" s="52" t="str">
        <f aca="false">IF(A1688="","",INDEX(הגדרות!$H$16:$H$27,MONTH(A1688)))</f>
        <v/>
      </c>
    </row>
    <row r="1689" customFormat="false" ht="15" hidden="false" customHeight="false" outlineLevel="0" collapsed="false">
      <c r="A1689" s="55"/>
      <c r="B1689" s="56"/>
      <c r="C1689" s="57" t="str">
        <f aca="false">IF(B1689="","",IFERROR(INDEX(הגדרות!$A$8:$A$53,MATCH(B1689,הגדרות!$B$8:$B$53,0)),"⚠ לא בהגדרות"))</f>
        <v/>
      </c>
      <c r="D1689" s="56"/>
      <c r="E1689" s="58"/>
      <c r="F1689" s="57" t="str">
        <f aca="false">IF(A1689="","",INDEX(הגדרות!$H$16:$H$27,MONTH(A1689)))</f>
        <v/>
      </c>
    </row>
    <row r="1690" customFormat="false" ht="15" hidden="false" customHeight="false" outlineLevel="0" collapsed="false">
      <c r="A1690" s="50"/>
      <c r="B1690" s="51"/>
      <c r="C1690" s="52" t="str">
        <f aca="false">IF(B1690="","",IFERROR(INDEX(הגדרות!$A$8:$A$53,MATCH(B1690,הגדרות!$B$8:$B$53,0)),"⚠ לא בהגדרות"))</f>
        <v/>
      </c>
      <c r="D1690" s="51"/>
      <c r="E1690" s="53"/>
      <c r="F1690" s="52" t="str">
        <f aca="false">IF(A1690="","",INDEX(הגדרות!$H$16:$H$27,MONTH(A1690)))</f>
        <v/>
      </c>
    </row>
    <row r="1691" customFormat="false" ht="15" hidden="false" customHeight="false" outlineLevel="0" collapsed="false">
      <c r="A1691" s="55"/>
      <c r="B1691" s="56"/>
      <c r="C1691" s="57" t="str">
        <f aca="false">IF(B1691="","",IFERROR(INDEX(הגדרות!$A$8:$A$53,MATCH(B1691,הגדרות!$B$8:$B$53,0)),"⚠ לא בהגדרות"))</f>
        <v/>
      </c>
      <c r="D1691" s="56"/>
      <c r="E1691" s="58"/>
      <c r="F1691" s="57" t="str">
        <f aca="false">IF(A1691="","",INDEX(הגדרות!$H$16:$H$27,MONTH(A1691)))</f>
        <v/>
      </c>
    </row>
    <row r="1692" customFormat="false" ht="15" hidden="false" customHeight="false" outlineLevel="0" collapsed="false">
      <c r="A1692" s="50"/>
      <c r="B1692" s="51"/>
      <c r="C1692" s="52" t="str">
        <f aca="false">IF(B1692="","",IFERROR(INDEX(הגדרות!$A$8:$A$53,MATCH(B1692,הגדרות!$B$8:$B$53,0)),"⚠ לא בהגדרות"))</f>
        <v/>
      </c>
      <c r="D1692" s="51"/>
      <c r="E1692" s="53"/>
      <c r="F1692" s="52" t="str">
        <f aca="false">IF(A1692="","",INDEX(הגדרות!$H$16:$H$27,MONTH(A1692)))</f>
        <v/>
      </c>
    </row>
    <row r="1693" customFormat="false" ht="15" hidden="false" customHeight="false" outlineLevel="0" collapsed="false">
      <c r="A1693" s="55"/>
      <c r="B1693" s="56"/>
      <c r="C1693" s="57" t="str">
        <f aca="false">IF(B1693="","",IFERROR(INDEX(הגדרות!$A$8:$A$53,MATCH(B1693,הגדרות!$B$8:$B$53,0)),"⚠ לא בהגדרות"))</f>
        <v/>
      </c>
      <c r="D1693" s="56"/>
      <c r="E1693" s="58"/>
      <c r="F1693" s="57" t="str">
        <f aca="false">IF(A1693="","",INDEX(הגדרות!$H$16:$H$27,MONTH(A1693)))</f>
        <v/>
      </c>
    </row>
    <row r="1694" customFormat="false" ht="15" hidden="false" customHeight="false" outlineLevel="0" collapsed="false">
      <c r="A1694" s="50"/>
      <c r="B1694" s="51"/>
      <c r="C1694" s="52" t="str">
        <f aca="false">IF(B1694="","",IFERROR(INDEX(הגדרות!$A$8:$A$53,MATCH(B1694,הגדרות!$B$8:$B$53,0)),"⚠ לא בהגדרות"))</f>
        <v/>
      </c>
      <c r="D1694" s="51"/>
      <c r="E1694" s="53"/>
      <c r="F1694" s="52" t="str">
        <f aca="false">IF(A1694="","",INDEX(הגדרות!$H$16:$H$27,MONTH(A1694)))</f>
        <v/>
      </c>
    </row>
    <row r="1695" customFormat="false" ht="15" hidden="false" customHeight="false" outlineLevel="0" collapsed="false">
      <c r="A1695" s="55"/>
      <c r="B1695" s="56"/>
      <c r="C1695" s="57" t="str">
        <f aca="false">IF(B1695="","",IFERROR(INDEX(הגדרות!$A$8:$A$53,MATCH(B1695,הגדרות!$B$8:$B$53,0)),"⚠ לא בהגדרות"))</f>
        <v/>
      </c>
      <c r="D1695" s="56"/>
      <c r="E1695" s="58"/>
      <c r="F1695" s="57" t="str">
        <f aca="false">IF(A1695="","",INDEX(הגדרות!$H$16:$H$27,MONTH(A1695)))</f>
        <v/>
      </c>
    </row>
    <row r="1696" customFormat="false" ht="15" hidden="false" customHeight="false" outlineLevel="0" collapsed="false">
      <c r="A1696" s="50"/>
      <c r="B1696" s="51"/>
      <c r="C1696" s="52" t="str">
        <f aca="false">IF(B1696="","",IFERROR(INDEX(הגדרות!$A$8:$A$53,MATCH(B1696,הגדרות!$B$8:$B$53,0)),"⚠ לא בהגדרות"))</f>
        <v/>
      </c>
      <c r="D1696" s="51"/>
      <c r="E1696" s="53"/>
      <c r="F1696" s="52" t="str">
        <f aca="false">IF(A1696="","",INDEX(הגדרות!$H$16:$H$27,MONTH(A1696)))</f>
        <v/>
      </c>
    </row>
    <row r="1697" customFormat="false" ht="15" hidden="false" customHeight="false" outlineLevel="0" collapsed="false">
      <c r="A1697" s="55"/>
      <c r="B1697" s="56"/>
      <c r="C1697" s="57" t="str">
        <f aca="false">IF(B1697="","",IFERROR(INDEX(הגדרות!$A$8:$A$53,MATCH(B1697,הגדרות!$B$8:$B$53,0)),"⚠ לא בהגדרות"))</f>
        <v/>
      </c>
      <c r="D1697" s="56"/>
      <c r="E1697" s="58"/>
      <c r="F1697" s="57" t="str">
        <f aca="false">IF(A1697="","",INDEX(הגדרות!$H$16:$H$27,MONTH(A1697)))</f>
        <v/>
      </c>
    </row>
    <row r="1698" customFormat="false" ht="15" hidden="false" customHeight="false" outlineLevel="0" collapsed="false">
      <c r="A1698" s="50"/>
      <c r="B1698" s="51"/>
      <c r="C1698" s="52" t="str">
        <f aca="false">IF(B1698="","",IFERROR(INDEX(הגדרות!$A$8:$A$53,MATCH(B1698,הגדרות!$B$8:$B$53,0)),"⚠ לא בהגדרות"))</f>
        <v/>
      </c>
      <c r="D1698" s="51"/>
      <c r="E1698" s="53"/>
      <c r="F1698" s="52" t="str">
        <f aca="false">IF(A1698="","",INDEX(הגדרות!$H$16:$H$27,MONTH(A1698)))</f>
        <v/>
      </c>
    </row>
    <row r="1699" customFormat="false" ht="15" hidden="false" customHeight="false" outlineLevel="0" collapsed="false">
      <c r="A1699" s="55"/>
      <c r="B1699" s="56"/>
      <c r="C1699" s="57" t="str">
        <f aca="false">IF(B1699="","",IFERROR(INDEX(הגדרות!$A$8:$A$53,MATCH(B1699,הגדרות!$B$8:$B$53,0)),"⚠ לא בהגדרות"))</f>
        <v/>
      </c>
      <c r="D1699" s="56"/>
      <c r="E1699" s="58"/>
      <c r="F1699" s="57" t="str">
        <f aca="false">IF(A1699="","",INDEX(הגדרות!$H$16:$H$27,MONTH(A1699)))</f>
        <v/>
      </c>
    </row>
    <row r="1700" customFormat="false" ht="15" hidden="false" customHeight="false" outlineLevel="0" collapsed="false">
      <c r="A1700" s="50"/>
      <c r="B1700" s="51"/>
      <c r="C1700" s="52" t="str">
        <f aca="false">IF(B1700="","",IFERROR(INDEX(הגדרות!$A$8:$A$53,MATCH(B1700,הגדרות!$B$8:$B$53,0)),"⚠ לא בהגדרות"))</f>
        <v/>
      </c>
      <c r="D1700" s="51"/>
      <c r="E1700" s="53"/>
      <c r="F1700" s="52" t="str">
        <f aca="false">IF(A1700="","",INDEX(הגדרות!$H$16:$H$27,MONTH(A1700)))</f>
        <v/>
      </c>
    </row>
    <row r="1701" customFormat="false" ht="15" hidden="false" customHeight="false" outlineLevel="0" collapsed="false">
      <c r="A1701" s="55"/>
      <c r="B1701" s="56"/>
      <c r="C1701" s="57" t="str">
        <f aca="false">IF(B1701="","",IFERROR(INDEX(הגדרות!$A$8:$A$53,MATCH(B1701,הגדרות!$B$8:$B$53,0)),"⚠ לא בהגדרות"))</f>
        <v/>
      </c>
      <c r="D1701" s="56"/>
      <c r="E1701" s="58"/>
      <c r="F1701" s="57" t="str">
        <f aca="false">IF(A1701="","",INDEX(הגדרות!$H$16:$H$27,MONTH(A1701)))</f>
        <v/>
      </c>
    </row>
    <row r="1702" customFormat="false" ht="15" hidden="false" customHeight="false" outlineLevel="0" collapsed="false">
      <c r="A1702" s="50"/>
      <c r="B1702" s="51"/>
      <c r="C1702" s="52" t="str">
        <f aca="false">IF(B1702="","",IFERROR(INDEX(הגדרות!$A$8:$A$53,MATCH(B1702,הגדרות!$B$8:$B$53,0)),"⚠ לא בהגדרות"))</f>
        <v/>
      </c>
      <c r="D1702" s="51"/>
      <c r="E1702" s="53"/>
      <c r="F1702" s="52" t="str">
        <f aca="false">IF(A1702="","",INDEX(הגדרות!$H$16:$H$27,MONTH(A1702)))</f>
        <v/>
      </c>
    </row>
    <row r="1703" customFormat="false" ht="15" hidden="false" customHeight="false" outlineLevel="0" collapsed="false">
      <c r="A1703" s="55"/>
      <c r="B1703" s="56"/>
      <c r="C1703" s="57" t="str">
        <f aca="false">IF(B1703="","",IFERROR(INDEX(הגדרות!$A$8:$A$53,MATCH(B1703,הגדרות!$B$8:$B$53,0)),"⚠ לא בהגדרות"))</f>
        <v/>
      </c>
      <c r="D1703" s="56"/>
      <c r="E1703" s="58"/>
      <c r="F1703" s="57" t="str">
        <f aca="false">IF(A1703="","",INDEX(הגדרות!$H$16:$H$27,MONTH(A1703)))</f>
        <v/>
      </c>
    </row>
    <row r="1704" customFormat="false" ht="15" hidden="false" customHeight="false" outlineLevel="0" collapsed="false">
      <c r="A1704" s="50"/>
      <c r="B1704" s="51"/>
      <c r="C1704" s="52" t="str">
        <f aca="false">IF(B1704="","",IFERROR(INDEX(הגדרות!$A$8:$A$53,MATCH(B1704,הגדרות!$B$8:$B$53,0)),"⚠ לא בהגדרות"))</f>
        <v/>
      </c>
      <c r="D1704" s="51"/>
      <c r="E1704" s="53"/>
      <c r="F1704" s="52" t="str">
        <f aca="false">IF(A1704="","",INDEX(הגדרות!$H$16:$H$27,MONTH(A1704)))</f>
        <v/>
      </c>
    </row>
    <row r="1705" customFormat="false" ht="15" hidden="false" customHeight="false" outlineLevel="0" collapsed="false">
      <c r="A1705" s="55"/>
      <c r="B1705" s="56"/>
      <c r="C1705" s="57" t="str">
        <f aca="false">IF(B1705="","",IFERROR(INDEX(הגדרות!$A$8:$A$53,MATCH(B1705,הגדרות!$B$8:$B$53,0)),"⚠ לא בהגדרות"))</f>
        <v/>
      </c>
      <c r="D1705" s="56"/>
      <c r="E1705" s="58"/>
      <c r="F1705" s="57" t="str">
        <f aca="false">IF(A1705="","",INDEX(הגדרות!$H$16:$H$27,MONTH(A1705)))</f>
        <v/>
      </c>
    </row>
    <row r="1706" customFormat="false" ht="15" hidden="false" customHeight="false" outlineLevel="0" collapsed="false">
      <c r="A1706" s="50"/>
      <c r="B1706" s="51"/>
      <c r="C1706" s="52" t="str">
        <f aca="false">IF(B1706="","",IFERROR(INDEX(הגדרות!$A$8:$A$53,MATCH(B1706,הגדרות!$B$8:$B$53,0)),"⚠ לא בהגדרות"))</f>
        <v/>
      </c>
      <c r="D1706" s="51"/>
      <c r="E1706" s="53"/>
      <c r="F1706" s="52" t="str">
        <f aca="false">IF(A1706="","",INDEX(הגדרות!$H$16:$H$27,MONTH(A1706)))</f>
        <v/>
      </c>
    </row>
    <row r="1707" customFormat="false" ht="15" hidden="false" customHeight="false" outlineLevel="0" collapsed="false">
      <c r="A1707" s="55"/>
      <c r="B1707" s="56"/>
      <c r="C1707" s="57" t="str">
        <f aca="false">IF(B1707="","",IFERROR(INDEX(הגדרות!$A$8:$A$53,MATCH(B1707,הגדרות!$B$8:$B$53,0)),"⚠ לא בהגדרות"))</f>
        <v/>
      </c>
      <c r="D1707" s="56"/>
      <c r="E1707" s="58"/>
      <c r="F1707" s="57" t="str">
        <f aca="false">IF(A1707="","",INDEX(הגדרות!$H$16:$H$27,MONTH(A1707)))</f>
        <v/>
      </c>
    </row>
    <row r="1708" customFormat="false" ht="15" hidden="false" customHeight="false" outlineLevel="0" collapsed="false">
      <c r="A1708" s="50"/>
      <c r="B1708" s="51"/>
      <c r="C1708" s="52" t="str">
        <f aca="false">IF(B1708="","",IFERROR(INDEX(הגדרות!$A$8:$A$53,MATCH(B1708,הגדרות!$B$8:$B$53,0)),"⚠ לא בהגדרות"))</f>
        <v/>
      </c>
      <c r="D1708" s="51"/>
      <c r="E1708" s="53"/>
      <c r="F1708" s="52" t="str">
        <f aca="false">IF(A1708="","",INDEX(הגדרות!$H$16:$H$27,MONTH(A1708)))</f>
        <v/>
      </c>
    </row>
    <row r="1709" customFormat="false" ht="15" hidden="false" customHeight="false" outlineLevel="0" collapsed="false">
      <c r="A1709" s="55"/>
      <c r="B1709" s="56"/>
      <c r="C1709" s="57" t="str">
        <f aca="false">IF(B1709="","",IFERROR(INDEX(הגדרות!$A$8:$A$53,MATCH(B1709,הגדרות!$B$8:$B$53,0)),"⚠ לא בהגדרות"))</f>
        <v/>
      </c>
      <c r="D1709" s="56"/>
      <c r="E1709" s="58"/>
      <c r="F1709" s="57" t="str">
        <f aca="false">IF(A1709="","",INDEX(הגדרות!$H$16:$H$27,MONTH(A1709)))</f>
        <v/>
      </c>
    </row>
    <row r="1710" customFormat="false" ht="15" hidden="false" customHeight="false" outlineLevel="0" collapsed="false">
      <c r="A1710" s="50"/>
      <c r="B1710" s="51"/>
      <c r="C1710" s="52" t="str">
        <f aca="false">IF(B1710="","",IFERROR(INDEX(הגדרות!$A$8:$A$53,MATCH(B1710,הגדרות!$B$8:$B$53,0)),"⚠ לא בהגדרות"))</f>
        <v/>
      </c>
      <c r="D1710" s="51"/>
      <c r="E1710" s="53"/>
      <c r="F1710" s="52" t="str">
        <f aca="false">IF(A1710="","",INDEX(הגדרות!$H$16:$H$27,MONTH(A1710)))</f>
        <v/>
      </c>
    </row>
    <row r="1711" customFormat="false" ht="15" hidden="false" customHeight="false" outlineLevel="0" collapsed="false">
      <c r="A1711" s="55"/>
      <c r="B1711" s="56"/>
      <c r="C1711" s="57" t="str">
        <f aca="false">IF(B1711="","",IFERROR(INDEX(הגדרות!$A$8:$A$53,MATCH(B1711,הגדרות!$B$8:$B$53,0)),"⚠ לא בהגדרות"))</f>
        <v/>
      </c>
      <c r="D1711" s="56"/>
      <c r="E1711" s="58"/>
      <c r="F1711" s="57" t="str">
        <f aca="false">IF(A1711="","",INDEX(הגדרות!$H$16:$H$27,MONTH(A1711)))</f>
        <v/>
      </c>
    </row>
    <row r="1712" customFormat="false" ht="15" hidden="false" customHeight="false" outlineLevel="0" collapsed="false">
      <c r="A1712" s="50"/>
      <c r="B1712" s="51"/>
      <c r="C1712" s="52" t="str">
        <f aca="false">IF(B1712="","",IFERROR(INDEX(הגדרות!$A$8:$A$53,MATCH(B1712,הגדרות!$B$8:$B$53,0)),"⚠ לא בהגדרות"))</f>
        <v/>
      </c>
      <c r="D1712" s="51"/>
      <c r="E1712" s="53"/>
      <c r="F1712" s="52" t="str">
        <f aca="false">IF(A1712="","",INDEX(הגדרות!$H$16:$H$27,MONTH(A1712)))</f>
        <v/>
      </c>
    </row>
    <row r="1713" customFormat="false" ht="15" hidden="false" customHeight="false" outlineLevel="0" collapsed="false">
      <c r="A1713" s="55"/>
      <c r="B1713" s="56"/>
      <c r="C1713" s="57" t="str">
        <f aca="false">IF(B1713="","",IFERROR(INDEX(הגדרות!$A$8:$A$53,MATCH(B1713,הגדרות!$B$8:$B$53,0)),"⚠ לא בהגדרות"))</f>
        <v/>
      </c>
      <c r="D1713" s="56"/>
      <c r="E1713" s="58"/>
      <c r="F1713" s="57" t="str">
        <f aca="false">IF(A1713="","",INDEX(הגדרות!$H$16:$H$27,MONTH(A1713)))</f>
        <v/>
      </c>
    </row>
    <row r="1714" customFormat="false" ht="15" hidden="false" customHeight="false" outlineLevel="0" collapsed="false">
      <c r="A1714" s="50"/>
      <c r="B1714" s="51"/>
      <c r="C1714" s="52" t="str">
        <f aca="false">IF(B1714="","",IFERROR(INDEX(הגדרות!$A$8:$A$53,MATCH(B1714,הגדרות!$B$8:$B$53,0)),"⚠ לא בהגדרות"))</f>
        <v/>
      </c>
      <c r="D1714" s="51"/>
      <c r="E1714" s="53"/>
      <c r="F1714" s="52" t="str">
        <f aca="false">IF(A1714="","",INDEX(הגדרות!$H$16:$H$27,MONTH(A1714)))</f>
        <v/>
      </c>
    </row>
    <row r="1715" customFormat="false" ht="15" hidden="false" customHeight="false" outlineLevel="0" collapsed="false">
      <c r="A1715" s="55"/>
      <c r="B1715" s="56"/>
      <c r="C1715" s="57" t="str">
        <f aca="false">IF(B1715="","",IFERROR(INDEX(הגדרות!$A$8:$A$53,MATCH(B1715,הגדרות!$B$8:$B$53,0)),"⚠ לא בהגדרות"))</f>
        <v/>
      </c>
      <c r="D1715" s="56"/>
      <c r="E1715" s="58"/>
      <c r="F1715" s="57" t="str">
        <f aca="false">IF(A1715="","",INDEX(הגדרות!$H$16:$H$27,MONTH(A1715)))</f>
        <v/>
      </c>
    </row>
    <row r="1716" customFormat="false" ht="15" hidden="false" customHeight="false" outlineLevel="0" collapsed="false">
      <c r="A1716" s="50"/>
      <c r="B1716" s="51"/>
      <c r="C1716" s="52" t="str">
        <f aca="false">IF(B1716="","",IFERROR(INDEX(הגדרות!$A$8:$A$53,MATCH(B1716,הגדרות!$B$8:$B$53,0)),"⚠ לא בהגדרות"))</f>
        <v/>
      </c>
      <c r="D1716" s="51"/>
      <c r="E1716" s="53"/>
      <c r="F1716" s="52" t="str">
        <f aca="false">IF(A1716="","",INDEX(הגדרות!$H$16:$H$27,MONTH(A1716)))</f>
        <v/>
      </c>
    </row>
    <row r="1717" customFormat="false" ht="15" hidden="false" customHeight="false" outlineLevel="0" collapsed="false">
      <c r="A1717" s="55"/>
      <c r="B1717" s="56"/>
      <c r="C1717" s="57" t="str">
        <f aca="false">IF(B1717="","",IFERROR(INDEX(הגדרות!$A$8:$A$53,MATCH(B1717,הגדרות!$B$8:$B$53,0)),"⚠ לא בהגדרות"))</f>
        <v/>
      </c>
      <c r="D1717" s="56"/>
      <c r="E1717" s="58"/>
      <c r="F1717" s="57" t="str">
        <f aca="false">IF(A1717="","",INDEX(הגדרות!$H$16:$H$27,MONTH(A1717)))</f>
        <v/>
      </c>
    </row>
    <row r="1718" customFormat="false" ht="15" hidden="false" customHeight="false" outlineLevel="0" collapsed="false">
      <c r="A1718" s="50"/>
      <c r="B1718" s="51"/>
      <c r="C1718" s="52" t="str">
        <f aca="false">IF(B1718="","",IFERROR(INDEX(הגדרות!$A$8:$A$53,MATCH(B1718,הגדרות!$B$8:$B$53,0)),"⚠ לא בהגדרות"))</f>
        <v/>
      </c>
      <c r="D1718" s="51"/>
      <c r="E1718" s="53"/>
      <c r="F1718" s="52" t="str">
        <f aca="false">IF(A1718="","",INDEX(הגדרות!$H$16:$H$27,MONTH(A1718)))</f>
        <v/>
      </c>
    </row>
    <row r="1719" customFormat="false" ht="15" hidden="false" customHeight="false" outlineLevel="0" collapsed="false">
      <c r="A1719" s="55"/>
      <c r="B1719" s="56"/>
      <c r="C1719" s="57" t="str">
        <f aca="false">IF(B1719="","",IFERROR(INDEX(הגדרות!$A$8:$A$53,MATCH(B1719,הגדרות!$B$8:$B$53,0)),"⚠ לא בהגדרות"))</f>
        <v/>
      </c>
      <c r="D1719" s="56"/>
      <c r="E1719" s="58"/>
      <c r="F1719" s="57" t="str">
        <f aca="false">IF(A1719="","",INDEX(הגדרות!$H$16:$H$27,MONTH(A1719)))</f>
        <v/>
      </c>
    </row>
    <row r="1720" customFormat="false" ht="15" hidden="false" customHeight="false" outlineLevel="0" collapsed="false">
      <c r="A1720" s="50"/>
      <c r="B1720" s="51"/>
      <c r="C1720" s="52" t="str">
        <f aca="false">IF(B1720="","",IFERROR(INDEX(הגדרות!$A$8:$A$53,MATCH(B1720,הגדרות!$B$8:$B$53,0)),"⚠ לא בהגדרות"))</f>
        <v/>
      </c>
      <c r="D1720" s="51"/>
      <c r="E1720" s="53"/>
      <c r="F1720" s="52" t="str">
        <f aca="false">IF(A1720="","",INDEX(הגדרות!$H$16:$H$27,MONTH(A1720)))</f>
        <v/>
      </c>
    </row>
    <row r="1721" customFormat="false" ht="15" hidden="false" customHeight="false" outlineLevel="0" collapsed="false">
      <c r="A1721" s="55"/>
      <c r="B1721" s="56"/>
      <c r="C1721" s="57" t="str">
        <f aca="false">IF(B1721="","",IFERROR(INDEX(הגדרות!$A$8:$A$53,MATCH(B1721,הגדרות!$B$8:$B$53,0)),"⚠ לא בהגדרות"))</f>
        <v/>
      </c>
      <c r="D1721" s="56"/>
      <c r="E1721" s="58"/>
      <c r="F1721" s="57" t="str">
        <f aca="false">IF(A1721="","",INDEX(הגדרות!$H$16:$H$27,MONTH(A1721)))</f>
        <v/>
      </c>
    </row>
    <row r="1722" customFormat="false" ht="15" hidden="false" customHeight="false" outlineLevel="0" collapsed="false">
      <c r="A1722" s="50"/>
      <c r="B1722" s="51"/>
      <c r="C1722" s="52" t="str">
        <f aca="false">IF(B1722="","",IFERROR(INDEX(הגדרות!$A$8:$A$53,MATCH(B1722,הגדרות!$B$8:$B$53,0)),"⚠ לא בהגדרות"))</f>
        <v/>
      </c>
      <c r="D1722" s="51"/>
      <c r="E1722" s="53"/>
      <c r="F1722" s="52" t="str">
        <f aca="false">IF(A1722="","",INDEX(הגדרות!$H$16:$H$27,MONTH(A1722)))</f>
        <v/>
      </c>
    </row>
    <row r="1723" customFormat="false" ht="15" hidden="false" customHeight="false" outlineLevel="0" collapsed="false">
      <c r="A1723" s="55"/>
      <c r="B1723" s="56"/>
      <c r="C1723" s="57" t="str">
        <f aca="false">IF(B1723="","",IFERROR(INDEX(הגדרות!$A$8:$A$53,MATCH(B1723,הגדרות!$B$8:$B$53,0)),"⚠ לא בהגדרות"))</f>
        <v/>
      </c>
      <c r="D1723" s="56"/>
      <c r="E1723" s="58"/>
      <c r="F1723" s="57" t="str">
        <f aca="false">IF(A1723="","",INDEX(הגדרות!$H$16:$H$27,MONTH(A1723)))</f>
        <v/>
      </c>
    </row>
    <row r="1724" customFormat="false" ht="15" hidden="false" customHeight="false" outlineLevel="0" collapsed="false">
      <c r="A1724" s="50"/>
      <c r="B1724" s="51"/>
      <c r="C1724" s="52" t="str">
        <f aca="false">IF(B1724="","",IFERROR(INDEX(הגדרות!$A$8:$A$53,MATCH(B1724,הגדרות!$B$8:$B$53,0)),"⚠ לא בהגדרות"))</f>
        <v/>
      </c>
      <c r="D1724" s="51"/>
      <c r="E1724" s="53"/>
      <c r="F1724" s="52" t="str">
        <f aca="false">IF(A1724="","",INDEX(הגדרות!$H$16:$H$27,MONTH(A1724)))</f>
        <v/>
      </c>
    </row>
    <row r="1725" customFormat="false" ht="15" hidden="false" customHeight="false" outlineLevel="0" collapsed="false">
      <c r="A1725" s="55"/>
      <c r="B1725" s="56"/>
      <c r="C1725" s="57" t="str">
        <f aca="false">IF(B1725="","",IFERROR(INDEX(הגדרות!$A$8:$A$53,MATCH(B1725,הגדרות!$B$8:$B$53,0)),"⚠ לא בהגדרות"))</f>
        <v/>
      </c>
      <c r="D1725" s="56"/>
      <c r="E1725" s="58"/>
      <c r="F1725" s="57" t="str">
        <f aca="false">IF(A1725="","",INDEX(הגדרות!$H$16:$H$27,MONTH(A1725)))</f>
        <v/>
      </c>
    </row>
    <row r="1726" customFormat="false" ht="15" hidden="false" customHeight="false" outlineLevel="0" collapsed="false">
      <c r="A1726" s="50"/>
      <c r="B1726" s="51"/>
      <c r="C1726" s="52" t="str">
        <f aca="false">IF(B1726="","",IFERROR(INDEX(הגדרות!$A$8:$A$53,MATCH(B1726,הגדרות!$B$8:$B$53,0)),"⚠ לא בהגדרות"))</f>
        <v/>
      </c>
      <c r="D1726" s="51"/>
      <c r="E1726" s="53"/>
      <c r="F1726" s="52" t="str">
        <f aca="false">IF(A1726="","",INDEX(הגדרות!$H$16:$H$27,MONTH(A1726)))</f>
        <v/>
      </c>
    </row>
    <row r="1727" customFormat="false" ht="15" hidden="false" customHeight="false" outlineLevel="0" collapsed="false">
      <c r="A1727" s="55"/>
      <c r="B1727" s="56"/>
      <c r="C1727" s="57" t="str">
        <f aca="false">IF(B1727="","",IFERROR(INDEX(הגדרות!$A$8:$A$53,MATCH(B1727,הגדרות!$B$8:$B$53,0)),"⚠ לא בהגדרות"))</f>
        <v/>
      </c>
      <c r="D1727" s="56"/>
      <c r="E1727" s="58"/>
      <c r="F1727" s="57" t="str">
        <f aca="false">IF(A1727="","",INDEX(הגדרות!$H$16:$H$27,MONTH(A1727)))</f>
        <v/>
      </c>
    </row>
    <row r="1728" customFormat="false" ht="15" hidden="false" customHeight="false" outlineLevel="0" collapsed="false">
      <c r="A1728" s="50"/>
      <c r="B1728" s="51"/>
      <c r="C1728" s="52" t="str">
        <f aca="false">IF(B1728="","",IFERROR(INDEX(הגדרות!$A$8:$A$53,MATCH(B1728,הגדרות!$B$8:$B$53,0)),"⚠ לא בהגדרות"))</f>
        <v/>
      </c>
      <c r="D1728" s="51"/>
      <c r="E1728" s="53"/>
      <c r="F1728" s="52" t="str">
        <f aca="false">IF(A1728="","",INDEX(הגדרות!$H$16:$H$27,MONTH(A1728)))</f>
        <v/>
      </c>
    </row>
    <row r="1729" customFormat="false" ht="15" hidden="false" customHeight="false" outlineLevel="0" collapsed="false">
      <c r="A1729" s="55"/>
      <c r="B1729" s="56"/>
      <c r="C1729" s="57" t="str">
        <f aca="false">IF(B1729="","",IFERROR(INDEX(הגדרות!$A$8:$A$53,MATCH(B1729,הגדרות!$B$8:$B$53,0)),"⚠ לא בהגדרות"))</f>
        <v/>
      </c>
      <c r="D1729" s="56"/>
      <c r="E1729" s="58"/>
      <c r="F1729" s="57" t="str">
        <f aca="false">IF(A1729="","",INDEX(הגדרות!$H$16:$H$27,MONTH(A1729)))</f>
        <v/>
      </c>
    </row>
    <row r="1730" customFormat="false" ht="15" hidden="false" customHeight="false" outlineLevel="0" collapsed="false">
      <c r="A1730" s="50"/>
      <c r="B1730" s="51"/>
      <c r="C1730" s="52" t="str">
        <f aca="false">IF(B1730="","",IFERROR(INDEX(הגדרות!$A$8:$A$53,MATCH(B1730,הגדרות!$B$8:$B$53,0)),"⚠ לא בהגדרות"))</f>
        <v/>
      </c>
      <c r="D1730" s="51"/>
      <c r="E1730" s="53"/>
      <c r="F1730" s="52" t="str">
        <f aca="false">IF(A1730="","",INDEX(הגדרות!$H$16:$H$27,MONTH(A1730)))</f>
        <v/>
      </c>
    </row>
    <row r="1731" customFormat="false" ht="15" hidden="false" customHeight="false" outlineLevel="0" collapsed="false">
      <c r="A1731" s="55"/>
      <c r="B1731" s="56"/>
      <c r="C1731" s="57" t="str">
        <f aca="false">IF(B1731="","",IFERROR(INDEX(הגדרות!$A$8:$A$53,MATCH(B1731,הגדרות!$B$8:$B$53,0)),"⚠ לא בהגדרות"))</f>
        <v/>
      </c>
      <c r="D1731" s="56"/>
      <c r="E1731" s="58"/>
      <c r="F1731" s="57" t="str">
        <f aca="false">IF(A1731="","",INDEX(הגדרות!$H$16:$H$27,MONTH(A1731)))</f>
        <v/>
      </c>
    </row>
    <row r="1732" customFormat="false" ht="15" hidden="false" customHeight="false" outlineLevel="0" collapsed="false">
      <c r="A1732" s="50"/>
      <c r="B1732" s="51"/>
      <c r="C1732" s="52" t="str">
        <f aca="false">IF(B1732="","",IFERROR(INDEX(הגדרות!$A$8:$A$53,MATCH(B1732,הגדרות!$B$8:$B$53,0)),"⚠ לא בהגדרות"))</f>
        <v/>
      </c>
      <c r="D1732" s="51"/>
      <c r="E1732" s="53"/>
      <c r="F1732" s="52" t="str">
        <f aca="false">IF(A1732="","",INDEX(הגדרות!$H$16:$H$27,MONTH(A1732)))</f>
        <v/>
      </c>
    </row>
    <row r="1733" customFormat="false" ht="15" hidden="false" customHeight="false" outlineLevel="0" collapsed="false">
      <c r="A1733" s="55"/>
      <c r="B1733" s="56"/>
      <c r="C1733" s="57" t="str">
        <f aca="false">IF(B1733="","",IFERROR(INDEX(הגדרות!$A$8:$A$53,MATCH(B1733,הגדרות!$B$8:$B$53,0)),"⚠ לא בהגדרות"))</f>
        <v/>
      </c>
      <c r="D1733" s="56"/>
      <c r="E1733" s="58"/>
      <c r="F1733" s="57" t="str">
        <f aca="false">IF(A1733="","",INDEX(הגדרות!$H$16:$H$27,MONTH(A1733)))</f>
        <v/>
      </c>
    </row>
    <row r="1734" customFormat="false" ht="15" hidden="false" customHeight="false" outlineLevel="0" collapsed="false">
      <c r="A1734" s="50"/>
      <c r="B1734" s="51"/>
      <c r="C1734" s="52" t="str">
        <f aca="false">IF(B1734="","",IFERROR(INDEX(הגדרות!$A$8:$A$53,MATCH(B1734,הגדרות!$B$8:$B$53,0)),"⚠ לא בהגדרות"))</f>
        <v/>
      </c>
      <c r="D1734" s="51"/>
      <c r="E1734" s="53"/>
      <c r="F1734" s="52" t="str">
        <f aca="false">IF(A1734="","",INDEX(הגדרות!$H$16:$H$27,MONTH(A1734)))</f>
        <v/>
      </c>
    </row>
    <row r="1735" customFormat="false" ht="15" hidden="false" customHeight="false" outlineLevel="0" collapsed="false">
      <c r="A1735" s="55"/>
      <c r="B1735" s="56"/>
      <c r="C1735" s="57" t="str">
        <f aca="false">IF(B1735="","",IFERROR(INDEX(הגדרות!$A$8:$A$53,MATCH(B1735,הגדרות!$B$8:$B$53,0)),"⚠ לא בהגדרות"))</f>
        <v/>
      </c>
      <c r="D1735" s="56"/>
      <c r="E1735" s="58"/>
      <c r="F1735" s="57" t="str">
        <f aca="false">IF(A1735="","",INDEX(הגדרות!$H$16:$H$27,MONTH(A1735)))</f>
        <v/>
      </c>
    </row>
    <row r="1736" customFormat="false" ht="15" hidden="false" customHeight="false" outlineLevel="0" collapsed="false">
      <c r="A1736" s="50"/>
      <c r="B1736" s="51"/>
      <c r="C1736" s="52" t="str">
        <f aca="false">IF(B1736="","",IFERROR(INDEX(הגדרות!$A$8:$A$53,MATCH(B1736,הגדרות!$B$8:$B$53,0)),"⚠ לא בהגדרות"))</f>
        <v/>
      </c>
      <c r="D1736" s="51"/>
      <c r="E1736" s="53"/>
      <c r="F1736" s="52" t="str">
        <f aca="false">IF(A1736="","",INDEX(הגדרות!$H$16:$H$27,MONTH(A1736)))</f>
        <v/>
      </c>
    </row>
    <row r="1737" customFormat="false" ht="15" hidden="false" customHeight="false" outlineLevel="0" collapsed="false">
      <c r="A1737" s="55"/>
      <c r="B1737" s="56"/>
      <c r="C1737" s="57" t="str">
        <f aca="false">IF(B1737="","",IFERROR(INDEX(הגדרות!$A$8:$A$53,MATCH(B1737,הגדרות!$B$8:$B$53,0)),"⚠ לא בהגדרות"))</f>
        <v/>
      </c>
      <c r="D1737" s="56"/>
      <c r="E1737" s="58"/>
      <c r="F1737" s="57" t="str">
        <f aca="false">IF(A1737="","",INDEX(הגדרות!$H$16:$H$27,MONTH(A1737)))</f>
        <v/>
      </c>
    </row>
    <row r="1738" customFormat="false" ht="15" hidden="false" customHeight="false" outlineLevel="0" collapsed="false">
      <c r="A1738" s="50"/>
      <c r="B1738" s="51"/>
      <c r="C1738" s="52" t="str">
        <f aca="false">IF(B1738="","",IFERROR(INDEX(הגדרות!$A$8:$A$53,MATCH(B1738,הגדרות!$B$8:$B$53,0)),"⚠ לא בהגדרות"))</f>
        <v/>
      </c>
      <c r="D1738" s="51"/>
      <c r="E1738" s="53"/>
      <c r="F1738" s="52" t="str">
        <f aca="false">IF(A1738="","",INDEX(הגדרות!$H$16:$H$27,MONTH(A1738)))</f>
        <v/>
      </c>
    </row>
    <row r="1739" customFormat="false" ht="15" hidden="false" customHeight="false" outlineLevel="0" collapsed="false">
      <c r="A1739" s="55"/>
      <c r="B1739" s="56"/>
      <c r="C1739" s="57" t="str">
        <f aca="false">IF(B1739="","",IFERROR(INDEX(הגדרות!$A$8:$A$53,MATCH(B1739,הגדרות!$B$8:$B$53,0)),"⚠ לא בהגדרות"))</f>
        <v/>
      </c>
      <c r="D1739" s="56"/>
      <c r="E1739" s="58"/>
      <c r="F1739" s="57" t="str">
        <f aca="false">IF(A1739="","",INDEX(הגדרות!$H$16:$H$27,MONTH(A1739)))</f>
        <v/>
      </c>
    </row>
    <row r="1740" customFormat="false" ht="15" hidden="false" customHeight="false" outlineLevel="0" collapsed="false">
      <c r="A1740" s="50"/>
      <c r="B1740" s="51"/>
      <c r="C1740" s="52" t="str">
        <f aca="false">IF(B1740="","",IFERROR(INDEX(הגדרות!$A$8:$A$53,MATCH(B1740,הגדרות!$B$8:$B$53,0)),"⚠ לא בהגדרות"))</f>
        <v/>
      </c>
      <c r="D1740" s="51"/>
      <c r="E1740" s="53"/>
      <c r="F1740" s="52" t="str">
        <f aca="false">IF(A1740="","",INDEX(הגדרות!$H$16:$H$27,MONTH(A1740)))</f>
        <v/>
      </c>
    </row>
    <row r="1741" customFormat="false" ht="15" hidden="false" customHeight="false" outlineLevel="0" collapsed="false">
      <c r="A1741" s="55"/>
      <c r="B1741" s="56"/>
      <c r="C1741" s="57" t="str">
        <f aca="false">IF(B1741="","",IFERROR(INDEX(הגדרות!$A$8:$A$53,MATCH(B1741,הגדרות!$B$8:$B$53,0)),"⚠ לא בהגדרות"))</f>
        <v/>
      </c>
      <c r="D1741" s="56"/>
      <c r="E1741" s="58"/>
      <c r="F1741" s="57" t="str">
        <f aca="false">IF(A1741="","",INDEX(הגדרות!$H$16:$H$27,MONTH(A1741)))</f>
        <v/>
      </c>
    </row>
    <row r="1742" customFormat="false" ht="15" hidden="false" customHeight="false" outlineLevel="0" collapsed="false">
      <c r="A1742" s="50"/>
      <c r="B1742" s="51"/>
      <c r="C1742" s="52" t="str">
        <f aca="false">IF(B1742="","",IFERROR(INDEX(הגדרות!$A$8:$A$53,MATCH(B1742,הגדרות!$B$8:$B$53,0)),"⚠ לא בהגדרות"))</f>
        <v/>
      </c>
      <c r="D1742" s="51"/>
      <c r="E1742" s="53"/>
      <c r="F1742" s="52" t="str">
        <f aca="false">IF(A1742="","",INDEX(הגדרות!$H$16:$H$27,MONTH(A1742)))</f>
        <v/>
      </c>
    </row>
    <row r="1743" customFormat="false" ht="15" hidden="false" customHeight="false" outlineLevel="0" collapsed="false">
      <c r="A1743" s="55"/>
      <c r="B1743" s="56"/>
      <c r="C1743" s="57" t="str">
        <f aca="false">IF(B1743="","",IFERROR(INDEX(הגדרות!$A$8:$A$53,MATCH(B1743,הגדרות!$B$8:$B$53,0)),"⚠ לא בהגדרות"))</f>
        <v/>
      </c>
      <c r="D1743" s="56"/>
      <c r="E1743" s="58"/>
      <c r="F1743" s="57" t="str">
        <f aca="false">IF(A1743="","",INDEX(הגדרות!$H$16:$H$27,MONTH(A1743)))</f>
        <v/>
      </c>
    </row>
    <row r="1744" customFormat="false" ht="15" hidden="false" customHeight="false" outlineLevel="0" collapsed="false">
      <c r="A1744" s="50"/>
      <c r="B1744" s="51"/>
      <c r="C1744" s="52" t="str">
        <f aca="false">IF(B1744="","",IFERROR(INDEX(הגדרות!$A$8:$A$53,MATCH(B1744,הגדרות!$B$8:$B$53,0)),"⚠ לא בהגדרות"))</f>
        <v/>
      </c>
      <c r="D1744" s="51"/>
      <c r="E1744" s="53"/>
      <c r="F1744" s="52" t="str">
        <f aca="false">IF(A1744="","",INDEX(הגדרות!$H$16:$H$27,MONTH(A1744)))</f>
        <v/>
      </c>
    </row>
    <row r="1745" customFormat="false" ht="15" hidden="false" customHeight="false" outlineLevel="0" collapsed="false">
      <c r="A1745" s="55"/>
      <c r="B1745" s="56"/>
      <c r="C1745" s="57" t="str">
        <f aca="false">IF(B1745="","",IFERROR(INDEX(הגדרות!$A$8:$A$53,MATCH(B1745,הגדרות!$B$8:$B$53,0)),"⚠ לא בהגדרות"))</f>
        <v/>
      </c>
      <c r="D1745" s="56"/>
      <c r="E1745" s="58"/>
      <c r="F1745" s="57" t="str">
        <f aca="false">IF(A1745="","",INDEX(הגדרות!$H$16:$H$27,MONTH(A1745)))</f>
        <v/>
      </c>
    </row>
    <row r="1746" customFormat="false" ht="15" hidden="false" customHeight="false" outlineLevel="0" collapsed="false">
      <c r="A1746" s="50"/>
      <c r="B1746" s="51"/>
      <c r="C1746" s="52" t="str">
        <f aca="false">IF(B1746="","",IFERROR(INDEX(הגדרות!$A$8:$A$53,MATCH(B1746,הגדרות!$B$8:$B$53,0)),"⚠ לא בהגדרות"))</f>
        <v/>
      </c>
      <c r="D1746" s="51"/>
      <c r="E1746" s="53"/>
      <c r="F1746" s="52" t="str">
        <f aca="false">IF(A1746="","",INDEX(הגדרות!$H$16:$H$27,MONTH(A1746)))</f>
        <v/>
      </c>
    </row>
    <row r="1747" customFormat="false" ht="15" hidden="false" customHeight="false" outlineLevel="0" collapsed="false">
      <c r="A1747" s="55"/>
      <c r="B1747" s="56"/>
      <c r="C1747" s="57" t="str">
        <f aca="false">IF(B1747="","",IFERROR(INDEX(הגדרות!$A$8:$A$53,MATCH(B1747,הגדרות!$B$8:$B$53,0)),"⚠ לא בהגדרות"))</f>
        <v/>
      </c>
      <c r="D1747" s="56"/>
      <c r="E1747" s="58"/>
      <c r="F1747" s="57" t="str">
        <f aca="false">IF(A1747="","",INDEX(הגדרות!$H$16:$H$27,MONTH(A1747)))</f>
        <v/>
      </c>
    </row>
    <row r="1748" customFormat="false" ht="15" hidden="false" customHeight="false" outlineLevel="0" collapsed="false">
      <c r="A1748" s="50"/>
      <c r="B1748" s="51"/>
      <c r="C1748" s="52" t="str">
        <f aca="false">IF(B1748="","",IFERROR(INDEX(הגדרות!$A$8:$A$53,MATCH(B1748,הגדרות!$B$8:$B$53,0)),"⚠ לא בהגדרות"))</f>
        <v/>
      </c>
      <c r="D1748" s="51"/>
      <c r="E1748" s="53"/>
      <c r="F1748" s="52" t="str">
        <f aca="false">IF(A1748="","",INDEX(הגדרות!$H$16:$H$27,MONTH(A1748)))</f>
        <v/>
      </c>
    </row>
    <row r="1749" customFormat="false" ht="15" hidden="false" customHeight="false" outlineLevel="0" collapsed="false">
      <c r="A1749" s="55"/>
      <c r="B1749" s="56"/>
      <c r="C1749" s="57" t="str">
        <f aca="false">IF(B1749="","",IFERROR(INDEX(הגדרות!$A$8:$A$53,MATCH(B1749,הגדרות!$B$8:$B$53,0)),"⚠ לא בהגדרות"))</f>
        <v/>
      </c>
      <c r="D1749" s="56"/>
      <c r="E1749" s="58"/>
      <c r="F1749" s="57" t="str">
        <f aca="false">IF(A1749="","",INDEX(הגדרות!$H$16:$H$27,MONTH(A1749)))</f>
        <v/>
      </c>
    </row>
    <row r="1750" customFormat="false" ht="15" hidden="false" customHeight="false" outlineLevel="0" collapsed="false">
      <c r="A1750" s="50"/>
      <c r="B1750" s="51"/>
      <c r="C1750" s="52" t="str">
        <f aca="false">IF(B1750="","",IFERROR(INDEX(הגדרות!$A$8:$A$53,MATCH(B1750,הגדרות!$B$8:$B$53,0)),"⚠ לא בהגדרות"))</f>
        <v/>
      </c>
      <c r="D1750" s="51"/>
      <c r="E1750" s="53"/>
      <c r="F1750" s="52" t="str">
        <f aca="false">IF(A1750="","",INDEX(הגדרות!$H$16:$H$27,MONTH(A1750)))</f>
        <v/>
      </c>
    </row>
    <row r="1751" customFormat="false" ht="15" hidden="false" customHeight="false" outlineLevel="0" collapsed="false">
      <c r="A1751" s="55"/>
      <c r="B1751" s="56"/>
      <c r="C1751" s="57" t="str">
        <f aca="false">IF(B1751="","",IFERROR(INDEX(הגדרות!$A$8:$A$53,MATCH(B1751,הגדרות!$B$8:$B$53,0)),"⚠ לא בהגדרות"))</f>
        <v/>
      </c>
      <c r="D1751" s="56"/>
      <c r="E1751" s="58"/>
      <c r="F1751" s="57" t="str">
        <f aca="false">IF(A1751="","",INDEX(הגדרות!$H$16:$H$27,MONTH(A1751)))</f>
        <v/>
      </c>
    </row>
    <row r="1752" customFormat="false" ht="15" hidden="false" customHeight="false" outlineLevel="0" collapsed="false">
      <c r="A1752" s="50"/>
      <c r="B1752" s="51"/>
      <c r="C1752" s="52" t="str">
        <f aca="false">IF(B1752="","",IFERROR(INDEX(הגדרות!$A$8:$A$53,MATCH(B1752,הגדרות!$B$8:$B$53,0)),"⚠ לא בהגדרות"))</f>
        <v/>
      </c>
      <c r="D1752" s="51"/>
      <c r="E1752" s="53"/>
      <c r="F1752" s="52" t="str">
        <f aca="false">IF(A1752="","",INDEX(הגדרות!$H$16:$H$27,MONTH(A1752)))</f>
        <v/>
      </c>
    </row>
    <row r="1753" customFormat="false" ht="15" hidden="false" customHeight="false" outlineLevel="0" collapsed="false">
      <c r="A1753" s="55"/>
      <c r="B1753" s="56"/>
      <c r="C1753" s="57" t="str">
        <f aca="false">IF(B1753="","",IFERROR(INDEX(הגדרות!$A$8:$A$53,MATCH(B1753,הגדרות!$B$8:$B$53,0)),"⚠ לא בהגדרות"))</f>
        <v/>
      </c>
      <c r="D1753" s="56"/>
      <c r="E1753" s="58"/>
      <c r="F1753" s="57" t="str">
        <f aca="false">IF(A1753="","",INDEX(הגדרות!$H$16:$H$27,MONTH(A1753)))</f>
        <v/>
      </c>
    </row>
    <row r="1754" customFormat="false" ht="15" hidden="false" customHeight="false" outlineLevel="0" collapsed="false">
      <c r="A1754" s="50"/>
      <c r="B1754" s="51"/>
      <c r="C1754" s="52" t="str">
        <f aca="false">IF(B1754="","",IFERROR(INDEX(הגדרות!$A$8:$A$53,MATCH(B1754,הגדרות!$B$8:$B$53,0)),"⚠ לא בהגדרות"))</f>
        <v/>
      </c>
      <c r="D1754" s="51"/>
      <c r="E1754" s="53"/>
      <c r="F1754" s="52" t="str">
        <f aca="false">IF(A1754="","",INDEX(הגדרות!$H$16:$H$27,MONTH(A1754)))</f>
        <v/>
      </c>
    </row>
    <row r="1755" customFormat="false" ht="15" hidden="false" customHeight="false" outlineLevel="0" collapsed="false">
      <c r="A1755" s="55"/>
      <c r="B1755" s="56"/>
      <c r="C1755" s="57" t="str">
        <f aca="false">IF(B1755="","",IFERROR(INDEX(הגדרות!$A$8:$A$53,MATCH(B1755,הגדרות!$B$8:$B$53,0)),"⚠ לא בהגדרות"))</f>
        <v/>
      </c>
      <c r="D1755" s="56"/>
      <c r="E1755" s="58"/>
      <c r="F1755" s="57" t="str">
        <f aca="false">IF(A1755="","",INDEX(הגדרות!$H$16:$H$27,MONTH(A1755)))</f>
        <v/>
      </c>
    </row>
    <row r="1756" customFormat="false" ht="15" hidden="false" customHeight="false" outlineLevel="0" collapsed="false">
      <c r="A1756" s="50"/>
      <c r="B1756" s="51"/>
      <c r="C1756" s="52" t="str">
        <f aca="false">IF(B1756="","",IFERROR(INDEX(הגדרות!$A$8:$A$53,MATCH(B1756,הגדרות!$B$8:$B$53,0)),"⚠ לא בהגדרות"))</f>
        <v/>
      </c>
      <c r="D1756" s="51"/>
      <c r="E1756" s="53"/>
      <c r="F1756" s="52" t="str">
        <f aca="false">IF(A1756="","",INDEX(הגדרות!$H$16:$H$27,MONTH(A1756)))</f>
        <v/>
      </c>
    </row>
    <row r="1757" customFormat="false" ht="15" hidden="false" customHeight="false" outlineLevel="0" collapsed="false">
      <c r="A1757" s="55"/>
      <c r="B1757" s="56"/>
      <c r="C1757" s="57" t="str">
        <f aca="false">IF(B1757="","",IFERROR(INDEX(הגדרות!$A$8:$A$53,MATCH(B1757,הגדרות!$B$8:$B$53,0)),"⚠ לא בהגדרות"))</f>
        <v/>
      </c>
      <c r="D1757" s="56"/>
      <c r="E1757" s="58"/>
      <c r="F1757" s="57" t="str">
        <f aca="false">IF(A1757="","",INDEX(הגדרות!$H$16:$H$27,MONTH(A1757)))</f>
        <v/>
      </c>
    </row>
    <row r="1758" customFormat="false" ht="15" hidden="false" customHeight="false" outlineLevel="0" collapsed="false">
      <c r="A1758" s="50"/>
      <c r="B1758" s="51"/>
      <c r="C1758" s="52" t="str">
        <f aca="false">IF(B1758="","",IFERROR(INDEX(הגדרות!$A$8:$A$53,MATCH(B1758,הגדרות!$B$8:$B$53,0)),"⚠ לא בהגדרות"))</f>
        <v/>
      </c>
      <c r="D1758" s="51"/>
      <c r="E1758" s="53"/>
      <c r="F1758" s="52" t="str">
        <f aca="false">IF(A1758="","",INDEX(הגדרות!$H$16:$H$27,MONTH(A1758)))</f>
        <v/>
      </c>
    </row>
    <row r="1759" customFormat="false" ht="15" hidden="false" customHeight="false" outlineLevel="0" collapsed="false">
      <c r="A1759" s="55"/>
      <c r="B1759" s="56"/>
      <c r="C1759" s="57" t="str">
        <f aca="false">IF(B1759="","",IFERROR(INDEX(הגדרות!$A$8:$A$53,MATCH(B1759,הגדרות!$B$8:$B$53,0)),"⚠ לא בהגדרות"))</f>
        <v/>
      </c>
      <c r="D1759" s="56"/>
      <c r="E1759" s="58"/>
      <c r="F1759" s="57" t="str">
        <f aca="false">IF(A1759="","",INDEX(הגדרות!$H$16:$H$27,MONTH(A1759)))</f>
        <v/>
      </c>
    </row>
    <row r="1760" customFormat="false" ht="15" hidden="false" customHeight="false" outlineLevel="0" collapsed="false">
      <c r="A1760" s="50"/>
      <c r="B1760" s="51"/>
      <c r="C1760" s="52" t="str">
        <f aca="false">IF(B1760="","",IFERROR(INDEX(הגדרות!$A$8:$A$53,MATCH(B1760,הגדרות!$B$8:$B$53,0)),"⚠ לא בהגדרות"))</f>
        <v/>
      </c>
      <c r="D1760" s="51"/>
      <c r="E1760" s="53"/>
      <c r="F1760" s="52" t="str">
        <f aca="false">IF(A1760="","",INDEX(הגדרות!$H$16:$H$27,MONTH(A1760)))</f>
        <v/>
      </c>
    </row>
    <row r="1761" customFormat="false" ht="15" hidden="false" customHeight="false" outlineLevel="0" collapsed="false">
      <c r="A1761" s="55"/>
      <c r="B1761" s="56"/>
      <c r="C1761" s="57" t="str">
        <f aca="false">IF(B1761="","",IFERROR(INDEX(הגדרות!$A$8:$A$53,MATCH(B1761,הגדרות!$B$8:$B$53,0)),"⚠ לא בהגדרות"))</f>
        <v/>
      </c>
      <c r="D1761" s="56"/>
      <c r="E1761" s="58"/>
      <c r="F1761" s="57" t="str">
        <f aca="false">IF(A1761="","",INDEX(הגדרות!$H$16:$H$27,MONTH(A1761)))</f>
        <v/>
      </c>
    </row>
    <row r="1762" customFormat="false" ht="15" hidden="false" customHeight="false" outlineLevel="0" collapsed="false">
      <c r="A1762" s="50"/>
      <c r="B1762" s="51"/>
      <c r="C1762" s="52" t="str">
        <f aca="false">IF(B1762="","",IFERROR(INDEX(הגדרות!$A$8:$A$53,MATCH(B1762,הגדרות!$B$8:$B$53,0)),"⚠ לא בהגדרות"))</f>
        <v/>
      </c>
      <c r="D1762" s="51"/>
      <c r="E1762" s="53"/>
      <c r="F1762" s="52" t="str">
        <f aca="false">IF(A1762="","",INDEX(הגדרות!$H$16:$H$27,MONTH(A1762)))</f>
        <v/>
      </c>
    </row>
    <row r="1763" customFormat="false" ht="15" hidden="false" customHeight="false" outlineLevel="0" collapsed="false">
      <c r="A1763" s="55"/>
      <c r="B1763" s="56"/>
      <c r="C1763" s="57" t="str">
        <f aca="false">IF(B1763="","",IFERROR(INDEX(הגדרות!$A$8:$A$53,MATCH(B1763,הגדרות!$B$8:$B$53,0)),"⚠ לא בהגדרות"))</f>
        <v/>
      </c>
      <c r="D1763" s="56"/>
      <c r="E1763" s="58"/>
      <c r="F1763" s="57" t="str">
        <f aca="false">IF(A1763="","",INDEX(הגדרות!$H$16:$H$27,MONTH(A1763)))</f>
        <v/>
      </c>
    </row>
    <row r="1764" customFormat="false" ht="15" hidden="false" customHeight="false" outlineLevel="0" collapsed="false">
      <c r="A1764" s="50"/>
      <c r="B1764" s="51"/>
      <c r="C1764" s="52" t="str">
        <f aca="false">IF(B1764="","",IFERROR(INDEX(הגדרות!$A$8:$A$53,MATCH(B1764,הגדרות!$B$8:$B$53,0)),"⚠ לא בהגדרות"))</f>
        <v/>
      </c>
      <c r="D1764" s="51"/>
      <c r="E1764" s="53"/>
      <c r="F1764" s="52" t="str">
        <f aca="false">IF(A1764="","",INDEX(הגדרות!$H$16:$H$27,MONTH(A1764)))</f>
        <v/>
      </c>
    </row>
    <row r="1765" customFormat="false" ht="15" hidden="false" customHeight="false" outlineLevel="0" collapsed="false">
      <c r="A1765" s="55"/>
      <c r="B1765" s="56"/>
      <c r="C1765" s="57" t="str">
        <f aca="false">IF(B1765="","",IFERROR(INDEX(הגדרות!$A$8:$A$53,MATCH(B1765,הגדרות!$B$8:$B$53,0)),"⚠ לא בהגדרות"))</f>
        <v/>
      </c>
      <c r="D1765" s="56"/>
      <c r="E1765" s="58"/>
      <c r="F1765" s="57" t="str">
        <f aca="false">IF(A1765="","",INDEX(הגדרות!$H$16:$H$27,MONTH(A1765)))</f>
        <v/>
      </c>
    </row>
    <row r="1766" customFormat="false" ht="15" hidden="false" customHeight="false" outlineLevel="0" collapsed="false">
      <c r="A1766" s="50"/>
      <c r="B1766" s="51"/>
      <c r="C1766" s="52" t="str">
        <f aca="false">IF(B1766="","",IFERROR(INDEX(הגדרות!$A$8:$A$53,MATCH(B1766,הגדרות!$B$8:$B$53,0)),"⚠ לא בהגדרות"))</f>
        <v/>
      </c>
      <c r="D1766" s="51"/>
      <c r="E1766" s="53"/>
      <c r="F1766" s="52" t="str">
        <f aca="false">IF(A1766="","",INDEX(הגדרות!$H$16:$H$27,MONTH(A1766)))</f>
        <v/>
      </c>
    </row>
    <row r="1767" customFormat="false" ht="15" hidden="false" customHeight="false" outlineLevel="0" collapsed="false">
      <c r="A1767" s="55"/>
      <c r="B1767" s="56"/>
      <c r="C1767" s="57" t="str">
        <f aca="false">IF(B1767="","",IFERROR(INDEX(הגדרות!$A$8:$A$53,MATCH(B1767,הגדרות!$B$8:$B$53,0)),"⚠ לא בהגדרות"))</f>
        <v/>
      </c>
      <c r="D1767" s="56"/>
      <c r="E1767" s="58"/>
      <c r="F1767" s="57" t="str">
        <f aca="false">IF(A1767="","",INDEX(הגדרות!$H$16:$H$27,MONTH(A1767)))</f>
        <v/>
      </c>
    </row>
    <row r="1768" customFormat="false" ht="15" hidden="false" customHeight="false" outlineLevel="0" collapsed="false">
      <c r="A1768" s="50"/>
      <c r="B1768" s="51"/>
      <c r="C1768" s="52" t="str">
        <f aca="false">IF(B1768="","",IFERROR(INDEX(הגדרות!$A$8:$A$53,MATCH(B1768,הגדרות!$B$8:$B$53,0)),"⚠ לא בהגדרות"))</f>
        <v/>
      </c>
      <c r="D1768" s="51"/>
      <c r="E1768" s="53"/>
      <c r="F1768" s="52" t="str">
        <f aca="false">IF(A1768="","",INDEX(הגדרות!$H$16:$H$27,MONTH(A1768)))</f>
        <v/>
      </c>
    </row>
    <row r="1769" customFormat="false" ht="15" hidden="false" customHeight="false" outlineLevel="0" collapsed="false">
      <c r="A1769" s="55"/>
      <c r="B1769" s="56"/>
      <c r="C1769" s="57" t="str">
        <f aca="false">IF(B1769="","",IFERROR(INDEX(הגדרות!$A$8:$A$53,MATCH(B1769,הגדרות!$B$8:$B$53,0)),"⚠ לא בהגדרות"))</f>
        <v/>
      </c>
      <c r="D1769" s="56"/>
      <c r="E1769" s="58"/>
      <c r="F1769" s="57" t="str">
        <f aca="false">IF(A1769="","",INDEX(הגדרות!$H$16:$H$27,MONTH(A1769)))</f>
        <v/>
      </c>
    </row>
    <row r="1770" customFormat="false" ht="15" hidden="false" customHeight="false" outlineLevel="0" collapsed="false">
      <c r="A1770" s="50"/>
      <c r="B1770" s="51"/>
      <c r="C1770" s="52" t="str">
        <f aca="false">IF(B1770="","",IFERROR(INDEX(הגדרות!$A$8:$A$53,MATCH(B1770,הגדרות!$B$8:$B$53,0)),"⚠ לא בהגדרות"))</f>
        <v/>
      </c>
      <c r="D1770" s="51"/>
      <c r="E1770" s="53"/>
      <c r="F1770" s="52" t="str">
        <f aca="false">IF(A1770="","",INDEX(הגדרות!$H$16:$H$27,MONTH(A1770)))</f>
        <v/>
      </c>
    </row>
    <row r="1771" customFormat="false" ht="15" hidden="false" customHeight="false" outlineLevel="0" collapsed="false">
      <c r="A1771" s="55"/>
      <c r="B1771" s="56"/>
      <c r="C1771" s="57" t="str">
        <f aca="false">IF(B1771="","",IFERROR(INDEX(הגדרות!$A$8:$A$53,MATCH(B1771,הגדרות!$B$8:$B$53,0)),"⚠ לא בהגדרות"))</f>
        <v/>
      </c>
      <c r="D1771" s="56"/>
      <c r="E1771" s="58"/>
      <c r="F1771" s="57" t="str">
        <f aca="false">IF(A1771="","",INDEX(הגדרות!$H$16:$H$27,MONTH(A1771)))</f>
        <v/>
      </c>
    </row>
    <row r="1772" customFormat="false" ht="15" hidden="false" customHeight="false" outlineLevel="0" collapsed="false">
      <c r="A1772" s="50"/>
      <c r="B1772" s="51"/>
      <c r="C1772" s="52" t="str">
        <f aca="false">IF(B1772="","",IFERROR(INDEX(הגדרות!$A$8:$A$53,MATCH(B1772,הגדרות!$B$8:$B$53,0)),"⚠ לא בהגדרות"))</f>
        <v/>
      </c>
      <c r="D1772" s="51"/>
      <c r="E1772" s="53"/>
      <c r="F1772" s="52" t="str">
        <f aca="false">IF(A1772="","",INDEX(הגדרות!$H$16:$H$27,MONTH(A1772)))</f>
        <v/>
      </c>
    </row>
    <row r="1773" customFormat="false" ht="15" hidden="false" customHeight="false" outlineLevel="0" collapsed="false">
      <c r="A1773" s="55"/>
      <c r="B1773" s="56"/>
      <c r="C1773" s="57" t="str">
        <f aca="false">IF(B1773="","",IFERROR(INDEX(הגדרות!$A$8:$A$53,MATCH(B1773,הגדרות!$B$8:$B$53,0)),"⚠ לא בהגדרות"))</f>
        <v/>
      </c>
      <c r="D1773" s="56"/>
      <c r="E1773" s="58"/>
      <c r="F1773" s="57" t="str">
        <f aca="false">IF(A1773="","",INDEX(הגדרות!$H$16:$H$27,MONTH(A1773)))</f>
        <v/>
      </c>
    </row>
    <row r="1774" customFormat="false" ht="15" hidden="false" customHeight="false" outlineLevel="0" collapsed="false">
      <c r="A1774" s="50"/>
      <c r="B1774" s="51"/>
      <c r="C1774" s="52" t="str">
        <f aca="false">IF(B1774="","",IFERROR(INDEX(הגדרות!$A$8:$A$53,MATCH(B1774,הגדרות!$B$8:$B$53,0)),"⚠ לא בהגדרות"))</f>
        <v/>
      </c>
      <c r="D1774" s="51"/>
      <c r="E1774" s="53"/>
      <c r="F1774" s="52" t="str">
        <f aca="false">IF(A1774="","",INDEX(הגדרות!$H$16:$H$27,MONTH(A1774)))</f>
        <v/>
      </c>
    </row>
    <row r="1775" customFormat="false" ht="15" hidden="false" customHeight="false" outlineLevel="0" collapsed="false">
      <c r="A1775" s="55"/>
      <c r="B1775" s="56"/>
      <c r="C1775" s="57" t="str">
        <f aca="false">IF(B1775="","",IFERROR(INDEX(הגדרות!$A$8:$A$53,MATCH(B1775,הגדרות!$B$8:$B$53,0)),"⚠ לא בהגדרות"))</f>
        <v/>
      </c>
      <c r="D1775" s="56"/>
      <c r="E1775" s="58"/>
      <c r="F1775" s="57" t="str">
        <f aca="false">IF(A1775="","",INDEX(הגדרות!$H$16:$H$27,MONTH(A1775)))</f>
        <v/>
      </c>
    </row>
    <row r="1776" customFormat="false" ht="15" hidden="false" customHeight="false" outlineLevel="0" collapsed="false">
      <c r="A1776" s="50"/>
      <c r="B1776" s="51"/>
      <c r="C1776" s="52" t="str">
        <f aca="false">IF(B1776="","",IFERROR(INDEX(הגדרות!$A$8:$A$53,MATCH(B1776,הגדרות!$B$8:$B$53,0)),"⚠ לא בהגדרות"))</f>
        <v/>
      </c>
      <c r="D1776" s="51"/>
      <c r="E1776" s="53"/>
      <c r="F1776" s="52" t="str">
        <f aca="false">IF(A1776="","",INDEX(הגדרות!$H$16:$H$27,MONTH(A1776)))</f>
        <v/>
      </c>
    </row>
    <row r="1777" customFormat="false" ht="15" hidden="false" customHeight="false" outlineLevel="0" collapsed="false">
      <c r="A1777" s="55"/>
      <c r="B1777" s="56"/>
      <c r="C1777" s="57" t="str">
        <f aca="false">IF(B1777="","",IFERROR(INDEX(הגדרות!$A$8:$A$53,MATCH(B1777,הגדרות!$B$8:$B$53,0)),"⚠ לא בהגדרות"))</f>
        <v/>
      </c>
      <c r="D1777" s="56"/>
      <c r="E1777" s="58"/>
      <c r="F1777" s="57" t="str">
        <f aca="false">IF(A1777="","",INDEX(הגדרות!$H$16:$H$27,MONTH(A1777)))</f>
        <v/>
      </c>
    </row>
    <row r="1778" customFormat="false" ht="15" hidden="false" customHeight="false" outlineLevel="0" collapsed="false">
      <c r="A1778" s="50"/>
      <c r="B1778" s="51"/>
      <c r="C1778" s="52" t="str">
        <f aca="false">IF(B1778="","",IFERROR(INDEX(הגדרות!$A$8:$A$53,MATCH(B1778,הגדרות!$B$8:$B$53,0)),"⚠ לא בהגדרות"))</f>
        <v/>
      </c>
      <c r="D1778" s="51"/>
      <c r="E1778" s="53"/>
      <c r="F1778" s="52" t="str">
        <f aca="false">IF(A1778="","",INDEX(הגדרות!$H$16:$H$27,MONTH(A1778)))</f>
        <v/>
      </c>
    </row>
    <row r="1779" customFormat="false" ht="15" hidden="false" customHeight="false" outlineLevel="0" collapsed="false">
      <c r="A1779" s="55"/>
      <c r="B1779" s="56"/>
      <c r="C1779" s="57" t="str">
        <f aca="false">IF(B1779="","",IFERROR(INDEX(הגדרות!$A$8:$A$53,MATCH(B1779,הגדרות!$B$8:$B$53,0)),"⚠ לא בהגדרות"))</f>
        <v/>
      </c>
      <c r="D1779" s="56"/>
      <c r="E1779" s="58"/>
      <c r="F1779" s="57" t="str">
        <f aca="false">IF(A1779="","",INDEX(הגדרות!$H$16:$H$27,MONTH(A1779)))</f>
        <v/>
      </c>
    </row>
    <row r="1780" customFormat="false" ht="15" hidden="false" customHeight="false" outlineLevel="0" collapsed="false">
      <c r="A1780" s="50"/>
      <c r="B1780" s="51"/>
      <c r="C1780" s="52" t="str">
        <f aca="false">IF(B1780="","",IFERROR(INDEX(הגדרות!$A$8:$A$53,MATCH(B1780,הגדרות!$B$8:$B$53,0)),"⚠ לא בהגדרות"))</f>
        <v/>
      </c>
      <c r="D1780" s="51"/>
      <c r="E1780" s="53"/>
      <c r="F1780" s="52" t="str">
        <f aca="false">IF(A1780="","",INDEX(הגדרות!$H$16:$H$27,MONTH(A1780)))</f>
        <v/>
      </c>
    </row>
    <row r="1781" customFormat="false" ht="15" hidden="false" customHeight="false" outlineLevel="0" collapsed="false">
      <c r="A1781" s="55"/>
      <c r="B1781" s="56"/>
      <c r="C1781" s="57" t="str">
        <f aca="false">IF(B1781="","",IFERROR(INDEX(הגדרות!$A$8:$A$53,MATCH(B1781,הגדרות!$B$8:$B$53,0)),"⚠ לא בהגדרות"))</f>
        <v/>
      </c>
      <c r="D1781" s="56"/>
      <c r="E1781" s="58"/>
      <c r="F1781" s="57" t="str">
        <f aca="false">IF(A1781="","",INDEX(הגדרות!$H$16:$H$27,MONTH(A1781)))</f>
        <v/>
      </c>
    </row>
    <row r="1782" customFormat="false" ht="15" hidden="false" customHeight="false" outlineLevel="0" collapsed="false">
      <c r="A1782" s="50"/>
      <c r="B1782" s="51"/>
      <c r="C1782" s="52" t="str">
        <f aca="false">IF(B1782="","",IFERROR(INDEX(הגדרות!$A$8:$A$53,MATCH(B1782,הגדרות!$B$8:$B$53,0)),"⚠ לא בהגדרות"))</f>
        <v/>
      </c>
      <c r="D1782" s="51"/>
      <c r="E1782" s="53"/>
      <c r="F1782" s="52" t="str">
        <f aca="false">IF(A1782="","",INDEX(הגדרות!$H$16:$H$27,MONTH(A1782)))</f>
        <v/>
      </c>
    </row>
    <row r="1783" customFormat="false" ht="15" hidden="false" customHeight="false" outlineLevel="0" collapsed="false">
      <c r="A1783" s="55"/>
      <c r="B1783" s="56"/>
      <c r="C1783" s="57" t="str">
        <f aca="false">IF(B1783="","",IFERROR(INDEX(הגדרות!$A$8:$A$53,MATCH(B1783,הגדרות!$B$8:$B$53,0)),"⚠ לא בהגדרות"))</f>
        <v/>
      </c>
      <c r="D1783" s="56"/>
      <c r="E1783" s="58"/>
      <c r="F1783" s="57" t="str">
        <f aca="false">IF(A1783="","",INDEX(הגדרות!$H$16:$H$27,MONTH(A1783)))</f>
        <v/>
      </c>
    </row>
    <row r="1784" customFormat="false" ht="15" hidden="false" customHeight="false" outlineLevel="0" collapsed="false">
      <c r="A1784" s="50"/>
      <c r="B1784" s="51"/>
      <c r="C1784" s="52" t="str">
        <f aca="false">IF(B1784="","",IFERROR(INDEX(הגדרות!$A$8:$A$53,MATCH(B1784,הגדרות!$B$8:$B$53,0)),"⚠ לא בהגדרות"))</f>
        <v/>
      </c>
      <c r="D1784" s="51"/>
      <c r="E1784" s="53"/>
      <c r="F1784" s="52" t="str">
        <f aca="false">IF(A1784="","",INDEX(הגדרות!$H$16:$H$27,MONTH(A1784)))</f>
        <v/>
      </c>
    </row>
    <row r="1785" customFormat="false" ht="15" hidden="false" customHeight="false" outlineLevel="0" collapsed="false">
      <c r="A1785" s="55"/>
      <c r="B1785" s="56"/>
      <c r="C1785" s="57" t="str">
        <f aca="false">IF(B1785="","",IFERROR(INDEX(הגדרות!$A$8:$A$53,MATCH(B1785,הגדרות!$B$8:$B$53,0)),"⚠ לא בהגדרות"))</f>
        <v/>
      </c>
      <c r="D1785" s="56"/>
      <c r="E1785" s="58"/>
      <c r="F1785" s="57" t="str">
        <f aca="false">IF(A1785="","",INDEX(הגדרות!$H$16:$H$27,MONTH(A1785)))</f>
        <v/>
      </c>
    </row>
    <row r="1786" customFormat="false" ht="15" hidden="false" customHeight="false" outlineLevel="0" collapsed="false">
      <c r="A1786" s="50"/>
      <c r="B1786" s="51"/>
      <c r="C1786" s="52" t="str">
        <f aca="false">IF(B1786="","",IFERROR(INDEX(הגדרות!$A$8:$A$53,MATCH(B1786,הגדרות!$B$8:$B$53,0)),"⚠ לא בהגדרות"))</f>
        <v/>
      </c>
      <c r="D1786" s="51"/>
      <c r="E1786" s="53"/>
      <c r="F1786" s="52" t="str">
        <f aca="false">IF(A1786="","",INDEX(הגדרות!$H$16:$H$27,MONTH(A1786)))</f>
        <v/>
      </c>
    </row>
    <row r="1787" customFormat="false" ht="15" hidden="false" customHeight="false" outlineLevel="0" collapsed="false">
      <c r="A1787" s="55"/>
      <c r="B1787" s="56"/>
      <c r="C1787" s="57" t="str">
        <f aca="false">IF(B1787="","",IFERROR(INDEX(הגדרות!$A$8:$A$53,MATCH(B1787,הגדרות!$B$8:$B$53,0)),"⚠ לא בהגדרות"))</f>
        <v/>
      </c>
      <c r="D1787" s="56"/>
      <c r="E1787" s="58"/>
      <c r="F1787" s="57" t="str">
        <f aca="false">IF(A1787="","",INDEX(הגדרות!$H$16:$H$27,MONTH(A1787)))</f>
        <v/>
      </c>
    </row>
    <row r="1788" customFormat="false" ht="15" hidden="false" customHeight="false" outlineLevel="0" collapsed="false">
      <c r="A1788" s="50"/>
      <c r="B1788" s="51"/>
      <c r="C1788" s="52" t="str">
        <f aca="false">IF(B1788="","",IFERROR(INDEX(הגדרות!$A$8:$A$53,MATCH(B1788,הגדרות!$B$8:$B$53,0)),"⚠ לא בהגדרות"))</f>
        <v/>
      </c>
      <c r="D1788" s="51"/>
      <c r="E1788" s="53"/>
      <c r="F1788" s="52" t="str">
        <f aca="false">IF(A1788="","",INDEX(הגדרות!$H$16:$H$27,MONTH(A1788)))</f>
        <v/>
      </c>
    </row>
    <row r="1789" customFormat="false" ht="15" hidden="false" customHeight="false" outlineLevel="0" collapsed="false">
      <c r="A1789" s="55"/>
      <c r="B1789" s="56"/>
      <c r="C1789" s="57" t="str">
        <f aca="false">IF(B1789="","",IFERROR(INDEX(הגדרות!$A$8:$A$53,MATCH(B1789,הגדרות!$B$8:$B$53,0)),"⚠ לא בהגדרות"))</f>
        <v/>
      </c>
      <c r="D1789" s="56"/>
      <c r="E1789" s="58"/>
      <c r="F1789" s="57" t="str">
        <f aca="false">IF(A1789="","",INDEX(הגדרות!$H$16:$H$27,MONTH(A1789)))</f>
        <v/>
      </c>
    </row>
    <row r="1790" customFormat="false" ht="15" hidden="false" customHeight="false" outlineLevel="0" collapsed="false">
      <c r="A1790" s="50"/>
      <c r="B1790" s="51"/>
      <c r="C1790" s="52" t="str">
        <f aca="false">IF(B1790="","",IFERROR(INDEX(הגדרות!$A$8:$A$53,MATCH(B1790,הגדרות!$B$8:$B$53,0)),"⚠ לא בהגדרות"))</f>
        <v/>
      </c>
      <c r="D1790" s="51"/>
      <c r="E1790" s="53"/>
      <c r="F1790" s="52" t="str">
        <f aca="false">IF(A1790="","",INDEX(הגדרות!$H$16:$H$27,MONTH(A1790)))</f>
        <v/>
      </c>
    </row>
    <row r="1791" customFormat="false" ht="15" hidden="false" customHeight="false" outlineLevel="0" collapsed="false">
      <c r="A1791" s="55"/>
      <c r="B1791" s="56"/>
      <c r="C1791" s="57" t="str">
        <f aca="false">IF(B1791="","",IFERROR(INDEX(הגדרות!$A$8:$A$53,MATCH(B1791,הגדרות!$B$8:$B$53,0)),"⚠ לא בהגדרות"))</f>
        <v/>
      </c>
      <c r="D1791" s="56"/>
      <c r="E1791" s="58"/>
      <c r="F1791" s="57" t="str">
        <f aca="false">IF(A1791="","",INDEX(הגדרות!$H$16:$H$27,MONTH(A1791)))</f>
        <v/>
      </c>
    </row>
    <row r="1792" customFormat="false" ht="15" hidden="false" customHeight="false" outlineLevel="0" collapsed="false">
      <c r="A1792" s="50"/>
      <c r="B1792" s="51"/>
      <c r="C1792" s="52" t="str">
        <f aca="false">IF(B1792="","",IFERROR(INDEX(הגדרות!$A$8:$A$53,MATCH(B1792,הגדרות!$B$8:$B$53,0)),"⚠ לא בהגדרות"))</f>
        <v/>
      </c>
      <c r="D1792" s="51"/>
      <c r="E1792" s="53"/>
      <c r="F1792" s="52" t="str">
        <f aca="false">IF(A1792="","",INDEX(הגדרות!$H$16:$H$27,MONTH(A1792)))</f>
        <v/>
      </c>
    </row>
    <row r="1793" customFormat="false" ht="15" hidden="false" customHeight="false" outlineLevel="0" collapsed="false">
      <c r="A1793" s="55"/>
      <c r="B1793" s="56"/>
      <c r="C1793" s="57" t="str">
        <f aca="false">IF(B1793="","",IFERROR(INDEX(הגדרות!$A$8:$A$53,MATCH(B1793,הגדרות!$B$8:$B$53,0)),"⚠ לא בהגדרות"))</f>
        <v/>
      </c>
      <c r="D1793" s="56"/>
      <c r="E1793" s="58"/>
      <c r="F1793" s="57" t="str">
        <f aca="false">IF(A1793="","",INDEX(הגדרות!$H$16:$H$27,MONTH(A1793)))</f>
        <v/>
      </c>
    </row>
    <row r="1794" customFormat="false" ht="15" hidden="false" customHeight="false" outlineLevel="0" collapsed="false">
      <c r="A1794" s="50"/>
      <c r="B1794" s="51"/>
      <c r="C1794" s="52" t="str">
        <f aca="false">IF(B1794="","",IFERROR(INDEX(הגדרות!$A$8:$A$53,MATCH(B1794,הגדרות!$B$8:$B$53,0)),"⚠ לא בהגדרות"))</f>
        <v/>
      </c>
      <c r="D1794" s="51"/>
      <c r="E1794" s="53"/>
      <c r="F1794" s="52" t="str">
        <f aca="false">IF(A1794="","",INDEX(הגדרות!$H$16:$H$27,MONTH(A1794)))</f>
        <v/>
      </c>
    </row>
    <row r="1795" customFormat="false" ht="15" hidden="false" customHeight="false" outlineLevel="0" collapsed="false">
      <c r="A1795" s="55"/>
      <c r="B1795" s="56"/>
      <c r="C1795" s="57" t="str">
        <f aca="false">IF(B1795="","",IFERROR(INDEX(הגדרות!$A$8:$A$53,MATCH(B1795,הגדרות!$B$8:$B$53,0)),"⚠ לא בהגדרות"))</f>
        <v/>
      </c>
      <c r="D1795" s="56"/>
      <c r="E1795" s="58"/>
      <c r="F1795" s="57" t="str">
        <f aca="false">IF(A1795="","",INDEX(הגדרות!$H$16:$H$27,MONTH(A1795)))</f>
        <v/>
      </c>
    </row>
    <row r="1796" customFormat="false" ht="15" hidden="false" customHeight="false" outlineLevel="0" collapsed="false">
      <c r="A1796" s="50"/>
      <c r="B1796" s="51"/>
      <c r="C1796" s="52" t="str">
        <f aca="false">IF(B1796="","",IFERROR(INDEX(הגדרות!$A$8:$A$53,MATCH(B1796,הגדרות!$B$8:$B$53,0)),"⚠ לא בהגדרות"))</f>
        <v/>
      </c>
      <c r="D1796" s="51"/>
      <c r="E1796" s="53"/>
      <c r="F1796" s="52" t="str">
        <f aca="false">IF(A1796="","",INDEX(הגדרות!$H$16:$H$27,MONTH(A1796)))</f>
        <v/>
      </c>
    </row>
    <row r="1797" customFormat="false" ht="15" hidden="false" customHeight="false" outlineLevel="0" collapsed="false">
      <c r="A1797" s="55"/>
      <c r="B1797" s="56"/>
      <c r="C1797" s="57" t="str">
        <f aca="false">IF(B1797="","",IFERROR(INDEX(הגדרות!$A$8:$A$53,MATCH(B1797,הגדרות!$B$8:$B$53,0)),"⚠ לא בהגדרות"))</f>
        <v/>
      </c>
      <c r="D1797" s="56"/>
      <c r="E1797" s="58"/>
      <c r="F1797" s="57" t="str">
        <f aca="false">IF(A1797="","",INDEX(הגדרות!$H$16:$H$27,MONTH(A1797)))</f>
        <v/>
      </c>
    </row>
    <row r="1798" customFormat="false" ht="15" hidden="false" customHeight="false" outlineLevel="0" collapsed="false">
      <c r="A1798" s="50"/>
      <c r="B1798" s="51"/>
      <c r="C1798" s="52" t="str">
        <f aca="false">IF(B1798="","",IFERROR(INDEX(הגדרות!$A$8:$A$53,MATCH(B1798,הגדרות!$B$8:$B$53,0)),"⚠ לא בהגדרות"))</f>
        <v/>
      </c>
      <c r="D1798" s="51"/>
      <c r="E1798" s="53"/>
      <c r="F1798" s="52" t="str">
        <f aca="false">IF(A1798="","",INDEX(הגדרות!$H$16:$H$27,MONTH(A1798)))</f>
        <v/>
      </c>
    </row>
    <row r="1799" customFormat="false" ht="15" hidden="false" customHeight="false" outlineLevel="0" collapsed="false">
      <c r="A1799" s="55"/>
      <c r="B1799" s="56"/>
      <c r="C1799" s="57" t="str">
        <f aca="false">IF(B1799="","",IFERROR(INDEX(הגדרות!$A$8:$A$53,MATCH(B1799,הגדרות!$B$8:$B$53,0)),"⚠ לא בהגדרות"))</f>
        <v/>
      </c>
      <c r="D1799" s="56"/>
      <c r="E1799" s="58"/>
      <c r="F1799" s="57" t="str">
        <f aca="false">IF(A1799="","",INDEX(הגדרות!$H$16:$H$27,MONTH(A1799)))</f>
        <v/>
      </c>
    </row>
    <row r="1800" customFormat="false" ht="15" hidden="false" customHeight="false" outlineLevel="0" collapsed="false">
      <c r="A1800" s="50"/>
      <c r="B1800" s="51"/>
      <c r="C1800" s="52" t="str">
        <f aca="false">IF(B1800="","",IFERROR(INDEX(הגדרות!$A$8:$A$53,MATCH(B1800,הגדרות!$B$8:$B$53,0)),"⚠ לא בהגדרות"))</f>
        <v/>
      </c>
      <c r="D1800" s="51"/>
      <c r="E1800" s="53"/>
      <c r="F1800" s="52" t="str">
        <f aca="false">IF(A1800="","",INDEX(הגדרות!$H$16:$H$27,MONTH(A1800)))</f>
        <v/>
      </c>
    </row>
    <row r="1801" customFormat="false" ht="15" hidden="false" customHeight="false" outlineLevel="0" collapsed="false">
      <c r="A1801" s="55"/>
      <c r="B1801" s="56"/>
      <c r="C1801" s="57" t="str">
        <f aca="false">IF(B1801="","",IFERROR(INDEX(הגדרות!$A$8:$A$53,MATCH(B1801,הגדרות!$B$8:$B$53,0)),"⚠ לא בהגדרות"))</f>
        <v/>
      </c>
      <c r="D1801" s="56"/>
      <c r="E1801" s="58"/>
      <c r="F1801" s="57" t="str">
        <f aca="false">IF(A1801="","",INDEX(הגדרות!$H$16:$H$27,MONTH(A1801)))</f>
        <v/>
      </c>
    </row>
    <row r="1802" customFormat="false" ht="15" hidden="false" customHeight="false" outlineLevel="0" collapsed="false">
      <c r="A1802" s="50"/>
      <c r="B1802" s="51"/>
      <c r="C1802" s="52" t="str">
        <f aca="false">IF(B1802="","",IFERROR(INDEX(הגדרות!$A$8:$A$53,MATCH(B1802,הגדרות!$B$8:$B$53,0)),"⚠ לא בהגדרות"))</f>
        <v/>
      </c>
      <c r="D1802" s="51"/>
      <c r="E1802" s="53"/>
      <c r="F1802" s="52" t="str">
        <f aca="false">IF(A1802="","",INDEX(הגדרות!$H$16:$H$27,MONTH(A1802)))</f>
        <v/>
      </c>
    </row>
    <row r="1803" customFormat="false" ht="15" hidden="false" customHeight="false" outlineLevel="0" collapsed="false">
      <c r="A1803" s="55"/>
      <c r="B1803" s="56"/>
      <c r="C1803" s="57" t="str">
        <f aca="false">IF(B1803="","",IFERROR(INDEX(הגדרות!$A$8:$A$53,MATCH(B1803,הגדרות!$B$8:$B$53,0)),"⚠ לא בהגדרות"))</f>
        <v/>
      </c>
      <c r="D1803" s="56"/>
      <c r="E1803" s="58"/>
      <c r="F1803" s="57" t="str">
        <f aca="false">IF(A1803="","",INDEX(הגדרות!$H$16:$H$27,MONTH(A1803)))</f>
        <v/>
      </c>
    </row>
    <row r="1804" customFormat="false" ht="15" hidden="false" customHeight="false" outlineLevel="0" collapsed="false">
      <c r="A1804" s="50"/>
      <c r="B1804" s="51"/>
      <c r="C1804" s="52" t="str">
        <f aca="false">IF(B1804="","",IFERROR(INDEX(הגדרות!$A$8:$A$53,MATCH(B1804,הגדרות!$B$8:$B$53,0)),"⚠ לא בהגדרות"))</f>
        <v/>
      </c>
      <c r="D1804" s="51"/>
      <c r="E1804" s="53"/>
      <c r="F1804" s="52" t="str">
        <f aca="false">IF(A1804="","",INDEX(הגדרות!$H$16:$H$27,MONTH(A1804)))</f>
        <v/>
      </c>
    </row>
    <row r="1805" customFormat="false" ht="15" hidden="false" customHeight="false" outlineLevel="0" collapsed="false">
      <c r="A1805" s="55"/>
      <c r="B1805" s="56"/>
      <c r="C1805" s="57" t="str">
        <f aca="false">IF(B1805="","",IFERROR(INDEX(הגדרות!$A$8:$A$53,MATCH(B1805,הגדרות!$B$8:$B$53,0)),"⚠ לא בהגדרות"))</f>
        <v/>
      </c>
      <c r="D1805" s="56"/>
      <c r="E1805" s="58"/>
      <c r="F1805" s="57" t="str">
        <f aca="false">IF(A1805="","",INDEX(הגדרות!$H$16:$H$27,MONTH(A1805)))</f>
        <v/>
      </c>
    </row>
    <row r="1806" customFormat="false" ht="15" hidden="false" customHeight="false" outlineLevel="0" collapsed="false">
      <c r="A1806" s="50"/>
      <c r="B1806" s="51"/>
      <c r="C1806" s="52" t="str">
        <f aca="false">IF(B1806="","",IFERROR(INDEX(הגדרות!$A$8:$A$53,MATCH(B1806,הגדרות!$B$8:$B$53,0)),"⚠ לא בהגדרות"))</f>
        <v/>
      </c>
      <c r="D1806" s="51"/>
      <c r="E1806" s="53"/>
      <c r="F1806" s="52" t="str">
        <f aca="false">IF(A1806="","",INDEX(הגדרות!$H$16:$H$27,MONTH(A1806)))</f>
        <v/>
      </c>
    </row>
    <row r="1807" customFormat="false" ht="15" hidden="false" customHeight="false" outlineLevel="0" collapsed="false">
      <c r="A1807" s="55"/>
      <c r="B1807" s="56"/>
      <c r="C1807" s="57" t="str">
        <f aca="false">IF(B1807="","",IFERROR(INDEX(הגדרות!$A$8:$A$53,MATCH(B1807,הגדרות!$B$8:$B$53,0)),"⚠ לא בהגדרות"))</f>
        <v/>
      </c>
      <c r="D1807" s="56"/>
      <c r="E1807" s="58"/>
      <c r="F1807" s="57" t="str">
        <f aca="false">IF(A1807="","",INDEX(הגדרות!$H$16:$H$27,MONTH(A1807)))</f>
        <v/>
      </c>
    </row>
    <row r="1808" customFormat="false" ht="15" hidden="false" customHeight="false" outlineLevel="0" collapsed="false">
      <c r="A1808" s="50"/>
      <c r="B1808" s="51"/>
      <c r="C1808" s="52" t="str">
        <f aca="false">IF(B1808="","",IFERROR(INDEX(הגדרות!$A$8:$A$53,MATCH(B1808,הגדרות!$B$8:$B$53,0)),"⚠ לא בהגדרות"))</f>
        <v/>
      </c>
      <c r="D1808" s="51"/>
      <c r="E1808" s="53"/>
      <c r="F1808" s="52" t="str">
        <f aca="false">IF(A1808="","",INDEX(הגדרות!$H$16:$H$27,MONTH(A1808)))</f>
        <v/>
      </c>
    </row>
    <row r="1809" customFormat="false" ht="15" hidden="false" customHeight="false" outlineLevel="0" collapsed="false">
      <c r="A1809" s="55"/>
      <c r="B1809" s="56"/>
      <c r="C1809" s="57" t="str">
        <f aca="false">IF(B1809="","",IFERROR(INDEX(הגדרות!$A$8:$A$53,MATCH(B1809,הגדרות!$B$8:$B$53,0)),"⚠ לא בהגדרות"))</f>
        <v/>
      </c>
      <c r="D1809" s="56"/>
      <c r="E1809" s="58"/>
      <c r="F1809" s="57" t="str">
        <f aca="false">IF(A1809="","",INDEX(הגדרות!$H$16:$H$27,MONTH(A1809)))</f>
        <v/>
      </c>
    </row>
    <row r="1810" customFormat="false" ht="15" hidden="false" customHeight="false" outlineLevel="0" collapsed="false">
      <c r="A1810" s="50"/>
      <c r="B1810" s="51"/>
      <c r="C1810" s="52" t="str">
        <f aca="false">IF(B1810="","",IFERROR(INDEX(הגדרות!$A$8:$A$53,MATCH(B1810,הגדרות!$B$8:$B$53,0)),"⚠ לא בהגדרות"))</f>
        <v/>
      </c>
      <c r="D1810" s="51"/>
      <c r="E1810" s="53"/>
      <c r="F1810" s="52" t="str">
        <f aca="false">IF(A1810="","",INDEX(הגדרות!$H$16:$H$27,MONTH(A1810)))</f>
        <v/>
      </c>
    </row>
    <row r="1811" customFormat="false" ht="15" hidden="false" customHeight="false" outlineLevel="0" collapsed="false">
      <c r="A1811" s="55"/>
      <c r="B1811" s="56"/>
      <c r="C1811" s="57" t="str">
        <f aca="false">IF(B1811="","",IFERROR(INDEX(הגדרות!$A$8:$A$53,MATCH(B1811,הגדרות!$B$8:$B$53,0)),"⚠ לא בהגדרות"))</f>
        <v/>
      </c>
      <c r="D1811" s="56"/>
      <c r="E1811" s="58"/>
      <c r="F1811" s="57" t="str">
        <f aca="false">IF(A1811="","",INDEX(הגדרות!$H$16:$H$27,MONTH(A1811)))</f>
        <v/>
      </c>
    </row>
    <row r="1812" customFormat="false" ht="15" hidden="false" customHeight="false" outlineLevel="0" collapsed="false">
      <c r="A1812" s="50"/>
      <c r="B1812" s="51"/>
      <c r="C1812" s="52" t="str">
        <f aca="false">IF(B1812="","",IFERROR(INDEX(הגדרות!$A$8:$A$53,MATCH(B1812,הגדרות!$B$8:$B$53,0)),"⚠ לא בהגדרות"))</f>
        <v/>
      </c>
      <c r="D1812" s="51"/>
      <c r="E1812" s="53"/>
      <c r="F1812" s="52" t="str">
        <f aca="false">IF(A1812="","",INDEX(הגדרות!$H$16:$H$27,MONTH(A1812)))</f>
        <v/>
      </c>
    </row>
    <row r="1813" customFormat="false" ht="15" hidden="false" customHeight="false" outlineLevel="0" collapsed="false">
      <c r="A1813" s="55"/>
      <c r="B1813" s="56"/>
      <c r="C1813" s="57" t="str">
        <f aca="false">IF(B1813="","",IFERROR(INDEX(הגדרות!$A$8:$A$53,MATCH(B1813,הגדרות!$B$8:$B$53,0)),"⚠ לא בהגדרות"))</f>
        <v/>
      </c>
      <c r="D1813" s="56"/>
      <c r="E1813" s="58"/>
      <c r="F1813" s="57" t="str">
        <f aca="false">IF(A1813="","",INDEX(הגדרות!$H$16:$H$27,MONTH(A1813)))</f>
        <v/>
      </c>
    </row>
    <row r="1814" customFormat="false" ht="15" hidden="false" customHeight="false" outlineLevel="0" collapsed="false">
      <c r="A1814" s="50"/>
      <c r="B1814" s="51"/>
      <c r="C1814" s="52" t="str">
        <f aca="false">IF(B1814="","",IFERROR(INDEX(הגדרות!$A$8:$A$53,MATCH(B1814,הגדרות!$B$8:$B$53,0)),"⚠ לא בהגדרות"))</f>
        <v/>
      </c>
      <c r="D1814" s="51"/>
      <c r="E1814" s="53"/>
      <c r="F1814" s="52" t="str">
        <f aca="false">IF(A1814="","",INDEX(הגדרות!$H$16:$H$27,MONTH(A1814)))</f>
        <v/>
      </c>
    </row>
    <row r="1815" customFormat="false" ht="15" hidden="false" customHeight="false" outlineLevel="0" collapsed="false">
      <c r="A1815" s="55"/>
      <c r="B1815" s="56"/>
      <c r="C1815" s="57" t="str">
        <f aca="false">IF(B1815="","",IFERROR(INDEX(הגדרות!$A$8:$A$53,MATCH(B1815,הגדרות!$B$8:$B$53,0)),"⚠ לא בהגדרות"))</f>
        <v/>
      </c>
      <c r="D1815" s="56"/>
      <c r="E1815" s="58"/>
      <c r="F1815" s="57" t="str">
        <f aca="false">IF(A1815="","",INDEX(הגדרות!$H$16:$H$27,MONTH(A1815)))</f>
        <v/>
      </c>
    </row>
    <row r="1816" customFormat="false" ht="15" hidden="false" customHeight="false" outlineLevel="0" collapsed="false">
      <c r="A1816" s="50"/>
      <c r="B1816" s="51"/>
      <c r="C1816" s="52" t="str">
        <f aca="false">IF(B1816="","",IFERROR(INDEX(הגדרות!$A$8:$A$53,MATCH(B1816,הגדרות!$B$8:$B$53,0)),"⚠ לא בהגדרות"))</f>
        <v/>
      </c>
      <c r="D1816" s="51"/>
      <c r="E1816" s="53"/>
      <c r="F1816" s="52" t="str">
        <f aca="false">IF(A1816="","",INDEX(הגדרות!$H$16:$H$27,MONTH(A1816)))</f>
        <v/>
      </c>
    </row>
    <row r="1817" customFormat="false" ht="15" hidden="false" customHeight="false" outlineLevel="0" collapsed="false">
      <c r="A1817" s="55"/>
      <c r="B1817" s="56"/>
      <c r="C1817" s="57" t="str">
        <f aca="false">IF(B1817="","",IFERROR(INDEX(הגדרות!$A$8:$A$53,MATCH(B1817,הגדרות!$B$8:$B$53,0)),"⚠ לא בהגדרות"))</f>
        <v/>
      </c>
      <c r="D1817" s="56"/>
      <c r="E1817" s="58"/>
      <c r="F1817" s="57" t="str">
        <f aca="false">IF(A1817="","",INDEX(הגדרות!$H$16:$H$27,MONTH(A1817)))</f>
        <v/>
      </c>
    </row>
    <row r="1818" customFormat="false" ht="15" hidden="false" customHeight="false" outlineLevel="0" collapsed="false">
      <c r="A1818" s="50"/>
      <c r="B1818" s="51"/>
      <c r="C1818" s="52" t="str">
        <f aca="false">IF(B1818="","",IFERROR(INDEX(הגדרות!$A$8:$A$53,MATCH(B1818,הגדרות!$B$8:$B$53,0)),"⚠ לא בהגדרות"))</f>
        <v/>
      </c>
      <c r="D1818" s="51"/>
      <c r="E1818" s="53"/>
      <c r="F1818" s="52" t="str">
        <f aca="false">IF(A1818="","",INDEX(הגדרות!$H$16:$H$27,MONTH(A1818)))</f>
        <v/>
      </c>
    </row>
    <row r="1819" customFormat="false" ht="15" hidden="false" customHeight="false" outlineLevel="0" collapsed="false">
      <c r="A1819" s="55"/>
      <c r="B1819" s="56"/>
      <c r="C1819" s="57" t="str">
        <f aca="false">IF(B1819="","",IFERROR(INDEX(הגדרות!$A$8:$A$53,MATCH(B1819,הגדרות!$B$8:$B$53,0)),"⚠ לא בהגדרות"))</f>
        <v/>
      </c>
      <c r="D1819" s="56"/>
      <c r="E1819" s="58"/>
      <c r="F1819" s="57" t="str">
        <f aca="false">IF(A1819="","",INDEX(הגדרות!$H$16:$H$27,MONTH(A1819)))</f>
        <v/>
      </c>
    </row>
    <row r="1820" customFormat="false" ht="15" hidden="false" customHeight="false" outlineLevel="0" collapsed="false">
      <c r="A1820" s="50"/>
      <c r="B1820" s="51"/>
      <c r="C1820" s="52" t="str">
        <f aca="false">IF(B1820="","",IFERROR(INDEX(הגדרות!$A$8:$A$53,MATCH(B1820,הגדרות!$B$8:$B$53,0)),"⚠ לא בהגדרות"))</f>
        <v/>
      </c>
      <c r="D1820" s="51"/>
      <c r="E1820" s="53"/>
      <c r="F1820" s="52" t="str">
        <f aca="false">IF(A1820="","",INDEX(הגדרות!$H$16:$H$27,MONTH(A1820)))</f>
        <v/>
      </c>
    </row>
    <row r="1821" customFormat="false" ht="15" hidden="false" customHeight="false" outlineLevel="0" collapsed="false">
      <c r="A1821" s="55"/>
      <c r="B1821" s="56"/>
      <c r="C1821" s="57" t="str">
        <f aca="false">IF(B1821="","",IFERROR(INDEX(הגדרות!$A$8:$A$53,MATCH(B1821,הגדרות!$B$8:$B$53,0)),"⚠ לא בהגדרות"))</f>
        <v/>
      </c>
      <c r="D1821" s="56"/>
      <c r="E1821" s="58"/>
      <c r="F1821" s="57" t="str">
        <f aca="false">IF(A1821="","",INDEX(הגדרות!$H$16:$H$27,MONTH(A1821)))</f>
        <v/>
      </c>
    </row>
    <row r="1822" customFormat="false" ht="15" hidden="false" customHeight="false" outlineLevel="0" collapsed="false">
      <c r="A1822" s="50"/>
      <c r="B1822" s="51"/>
      <c r="C1822" s="52" t="str">
        <f aca="false">IF(B1822="","",IFERROR(INDEX(הגדרות!$A$8:$A$53,MATCH(B1822,הגדרות!$B$8:$B$53,0)),"⚠ לא בהגדרות"))</f>
        <v/>
      </c>
      <c r="D1822" s="51"/>
      <c r="E1822" s="53"/>
      <c r="F1822" s="52" t="str">
        <f aca="false">IF(A1822="","",INDEX(הגדרות!$H$16:$H$27,MONTH(A1822)))</f>
        <v/>
      </c>
    </row>
    <row r="1823" customFormat="false" ht="15" hidden="false" customHeight="false" outlineLevel="0" collapsed="false">
      <c r="A1823" s="55"/>
      <c r="B1823" s="56"/>
      <c r="C1823" s="57" t="str">
        <f aca="false">IF(B1823="","",IFERROR(INDEX(הגדרות!$A$8:$A$53,MATCH(B1823,הגדרות!$B$8:$B$53,0)),"⚠ לא בהגדרות"))</f>
        <v/>
      </c>
      <c r="D1823" s="56"/>
      <c r="E1823" s="58"/>
      <c r="F1823" s="57" t="str">
        <f aca="false">IF(A1823="","",INDEX(הגדרות!$H$16:$H$27,MONTH(A1823)))</f>
        <v/>
      </c>
    </row>
    <row r="1824" customFormat="false" ht="15" hidden="false" customHeight="false" outlineLevel="0" collapsed="false">
      <c r="A1824" s="50"/>
      <c r="B1824" s="51"/>
      <c r="C1824" s="52" t="str">
        <f aca="false">IF(B1824="","",IFERROR(INDEX(הגדרות!$A$8:$A$53,MATCH(B1824,הגדרות!$B$8:$B$53,0)),"⚠ לא בהגדרות"))</f>
        <v/>
      </c>
      <c r="D1824" s="51"/>
      <c r="E1824" s="53"/>
      <c r="F1824" s="52" t="str">
        <f aca="false">IF(A1824="","",INDEX(הגדרות!$H$16:$H$27,MONTH(A1824)))</f>
        <v/>
      </c>
    </row>
    <row r="1825" customFormat="false" ht="15" hidden="false" customHeight="false" outlineLevel="0" collapsed="false">
      <c r="A1825" s="55"/>
      <c r="B1825" s="56"/>
      <c r="C1825" s="57" t="str">
        <f aca="false">IF(B1825="","",IFERROR(INDEX(הגדרות!$A$8:$A$53,MATCH(B1825,הגדרות!$B$8:$B$53,0)),"⚠ לא בהגדרות"))</f>
        <v/>
      </c>
      <c r="D1825" s="56"/>
      <c r="E1825" s="58"/>
      <c r="F1825" s="57" t="str">
        <f aca="false">IF(A1825="","",INDEX(הגדרות!$H$16:$H$27,MONTH(A1825)))</f>
        <v/>
      </c>
    </row>
    <row r="1826" customFormat="false" ht="15" hidden="false" customHeight="false" outlineLevel="0" collapsed="false">
      <c r="A1826" s="50"/>
      <c r="B1826" s="51"/>
      <c r="C1826" s="52" t="str">
        <f aca="false">IF(B1826="","",IFERROR(INDEX(הגדרות!$A$8:$A$53,MATCH(B1826,הגדרות!$B$8:$B$53,0)),"⚠ לא בהגדרות"))</f>
        <v/>
      </c>
      <c r="D1826" s="51"/>
      <c r="E1826" s="53"/>
      <c r="F1826" s="52" t="str">
        <f aca="false">IF(A1826="","",INDEX(הגדרות!$H$16:$H$27,MONTH(A1826)))</f>
        <v/>
      </c>
    </row>
    <row r="1827" customFormat="false" ht="15" hidden="false" customHeight="false" outlineLevel="0" collapsed="false">
      <c r="A1827" s="55"/>
      <c r="B1827" s="56"/>
      <c r="C1827" s="57" t="str">
        <f aca="false">IF(B1827="","",IFERROR(INDEX(הגדרות!$A$8:$A$53,MATCH(B1827,הגדרות!$B$8:$B$53,0)),"⚠ לא בהגדרות"))</f>
        <v/>
      </c>
      <c r="D1827" s="56"/>
      <c r="E1827" s="58"/>
      <c r="F1827" s="57" t="str">
        <f aca="false">IF(A1827="","",INDEX(הגדרות!$H$16:$H$27,MONTH(A1827)))</f>
        <v/>
      </c>
    </row>
    <row r="1828" customFormat="false" ht="15" hidden="false" customHeight="false" outlineLevel="0" collapsed="false">
      <c r="A1828" s="50"/>
      <c r="B1828" s="51"/>
      <c r="C1828" s="52" t="str">
        <f aca="false">IF(B1828="","",IFERROR(INDEX(הגדרות!$A$8:$A$53,MATCH(B1828,הגדרות!$B$8:$B$53,0)),"⚠ לא בהגדרות"))</f>
        <v/>
      </c>
      <c r="D1828" s="51"/>
      <c r="E1828" s="53"/>
      <c r="F1828" s="52" t="str">
        <f aca="false">IF(A1828="","",INDEX(הגדרות!$H$16:$H$27,MONTH(A1828)))</f>
        <v/>
      </c>
    </row>
    <row r="1829" customFormat="false" ht="15" hidden="false" customHeight="false" outlineLevel="0" collapsed="false">
      <c r="A1829" s="55"/>
      <c r="B1829" s="56"/>
      <c r="C1829" s="57" t="str">
        <f aca="false">IF(B1829="","",IFERROR(INDEX(הגדרות!$A$8:$A$53,MATCH(B1829,הגדרות!$B$8:$B$53,0)),"⚠ לא בהגדרות"))</f>
        <v/>
      </c>
      <c r="D1829" s="56"/>
      <c r="E1829" s="58"/>
      <c r="F1829" s="57" t="str">
        <f aca="false">IF(A1829="","",INDEX(הגדרות!$H$16:$H$27,MONTH(A1829)))</f>
        <v/>
      </c>
    </row>
    <row r="1830" customFormat="false" ht="15" hidden="false" customHeight="false" outlineLevel="0" collapsed="false">
      <c r="A1830" s="50"/>
      <c r="B1830" s="51"/>
      <c r="C1830" s="52" t="str">
        <f aca="false">IF(B1830="","",IFERROR(INDEX(הגדרות!$A$8:$A$53,MATCH(B1830,הגדרות!$B$8:$B$53,0)),"⚠ לא בהגדרות"))</f>
        <v/>
      </c>
      <c r="D1830" s="51"/>
      <c r="E1830" s="53"/>
      <c r="F1830" s="52" t="str">
        <f aca="false">IF(A1830="","",INDEX(הגדרות!$H$16:$H$27,MONTH(A1830)))</f>
        <v/>
      </c>
    </row>
    <row r="1831" customFormat="false" ht="15" hidden="false" customHeight="false" outlineLevel="0" collapsed="false">
      <c r="A1831" s="55"/>
      <c r="B1831" s="56"/>
      <c r="C1831" s="57" t="str">
        <f aca="false">IF(B1831="","",IFERROR(INDEX(הגדרות!$A$8:$A$53,MATCH(B1831,הגדרות!$B$8:$B$53,0)),"⚠ לא בהגדרות"))</f>
        <v/>
      </c>
      <c r="D1831" s="56"/>
      <c r="E1831" s="58"/>
      <c r="F1831" s="57" t="str">
        <f aca="false">IF(A1831="","",INDEX(הגדרות!$H$16:$H$27,MONTH(A1831)))</f>
        <v/>
      </c>
    </row>
    <row r="1832" customFormat="false" ht="15" hidden="false" customHeight="false" outlineLevel="0" collapsed="false">
      <c r="A1832" s="50"/>
      <c r="B1832" s="51"/>
      <c r="C1832" s="52" t="str">
        <f aca="false">IF(B1832="","",IFERROR(INDEX(הגדרות!$A$8:$A$53,MATCH(B1832,הגדרות!$B$8:$B$53,0)),"⚠ לא בהגדרות"))</f>
        <v/>
      </c>
      <c r="D1832" s="51"/>
      <c r="E1832" s="53"/>
      <c r="F1832" s="52" t="str">
        <f aca="false">IF(A1832="","",INDEX(הגדרות!$H$16:$H$27,MONTH(A1832)))</f>
        <v/>
      </c>
    </row>
    <row r="1833" customFormat="false" ht="15" hidden="false" customHeight="false" outlineLevel="0" collapsed="false">
      <c r="A1833" s="55"/>
      <c r="B1833" s="56"/>
      <c r="C1833" s="57" t="str">
        <f aca="false">IF(B1833="","",IFERROR(INDEX(הגדרות!$A$8:$A$53,MATCH(B1833,הגדרות!$B$8:$B$53,0)),"⚠ לא בהגדרות"))</f>
        <v/>
      </c>
      <c r="D1833" s="56"/>
      <c r="E1833" s="58"/>
      <c r="F1833" s="57" t="str">
        <f aca="false">IF(A1833="","",INDEX(הגדרות!$H$16:$H$27,MONTH(A1833)))</f>
        <v/>
      </c>
    </row>
    <row r="1834" customFormat="false" ht="15" hidden="false" customHeight="false" outlineLevel="0" collapsed="false">
      <c r="A1834" s="50"/>
      <c r="B1834" s="51"/>
      <c r="C1834" s="52" t="str">
        <f aca="false">IF(B1834="","",IFERROR(INDEX(הגדרות!$A$8:$A$53,MATCH(B1834,הגדרות!$B$8:$B$53,0)),"⚠ לא בהגדרות"))</f>
        <v/>
      </c>
      <c r="D1834" s="51"/>
      <c r="E1834" s="53"/>
      <c r="F1834" s="52" t="str">
        <f aca="false">IF(A1834="","",INDEX(הגדרות!$H$16:$H$27,MONTH(A1834)))</f>
        <v/>
      </c>
    </row>
    <row r="1835" customFormat="false" ht="15" hidden="false" customHeight="false" outlineLevel="0" collapsed="false">
      <c r="A1835" s="55"/>
      <c r="B1835" s="56"/>
      <c r="C1835" s="57" t="str">
        <f aca="false">IF(B1835="","",IFERROR(INDEX(הגדרות!$A$8:$A$53,MATCH(B1835,הגדרות!$B$8:$B$53,0)),"⚠ לא בהגדרות"))</f>
        <v/>
      </c>
      <c r="D1835" s="56"/>
      <c r="E1835" s="58"/>
      <c r="F1835" s="57" t="str">
        <f aca="false">IF(A1835="","",INDEX(הגדרות!$H$16:$H$27,MONTH(A1835)))</f>
        <v/>
      </c>
    </row>
    <row r="1836" customFormat="false" ht="15" hidden="false" customHeight="false" outlineLevel="0" collapsed="false">
      <c r="A1836" s="50"/>
      <c r="B1836" s="51"/>
      <c r="C1836" s="52" t="str">
        <f aca="false">IF(B1836="","",IFERROR(INDEX(הגדרות!$A$8:$A$53,MATCH(B1836,הגדרות!$B$8:$B$53,0)),"⚠ לא בהגדרות"))</f>
        <v/>
      </c>
      <c r="D1836" s="51"/>
      <c r="E1836" s="53"/>
      <c r="F1836" s="52" t="str">
        <f aca="false">IF(A1836="","",INDEX(הגדרות!$H$16:$H$27,MONTH(A1836)))</f>
        <v/>
      </c>
    </row>
    <row r="1837" customFormat="false" ht="15" hidden="false" customHeight="false" outlineLevel="0" collapsed="false">
      <c r="A1837" s="55"/>
      <c r="B1837" s="56"/>
      <c r="C1837" s="57" t="str">
        <f aca="false">IF(B1837="","",IFERROR(INDEX(הגדרות!$A$8:$A$53,MATCH(B1837,הגדרות!$B$8:$B$53,0)),"⚠ לא בהגדרות"))</f>
        <v/>
      </c>
      <c r="D1837" s="56"/>
      <c r="E1837" s="58"/>
      <c r="F1837" s="57" t="str">
        <f aca="false">IF(A1837="","",INDEX(הגדרות!$H$16:$H$27,MONTH(A1837)))</f>
        <v/>
      </c>
    </row>
    <row r="1838" customFormat="false" ht="15" hidden="false" customHeight="false" outlineLevel="0" collapsed="false">
      <c r="A1838" s="50"/>
      <c r="B1838" s="51"/>
      <c r="C1838" s="52" t="str">
        <f aca="false">IF(B1838="","",IFERROR(INDEX(הגדרות!$A$8:$A$53,MATCH(B1838,הגדרות!$B$8:$B$53,0)),"⚠ לא בהגדרות"))</f>
        <v/>
      </c>
      <c r="D1838" s="51"/>
      <c r="E1838" s="53"/>
      <c r="F1838" s="52" t="str">
        <f aca="false">IF(A1838="","",INDEX(הגדרות!$H$16:$H$27,MONTH(A1838)))</f>
        <v/>
      </c>
    </row>
    <row r="1839" customFormat="false" ht="15" hidden="false" customHeight="false" outlineLevel="0" collapsed="false">
      <c r="A1839" s="55"/>
      <c r="B1839" s="56"/>
      <c r="C1839" s="57" t="str">
        <f aca="false">IF(B1839="","",IFERROR(INDEX(הגדרות!$A$8:$A$53,MATCH(B1839,הגדרות!$B$8:$B$53,0)),"⚠ לא בהגדרות"))</f>
        <v/>
      </c>
      <c r="D1839" s="56"/>
      <c r="E1839" s="58"/>
      <c r="F1839" s="57" t="str">
        <f aca="false">IF(A1839="","",INDEX(הגדרות!$H$16:$H$27,MONTH(A1839)))</f>
        <v/>
      </c>
    </row>
    <row r="1840" customFormat="false" ht="15" hidden="false" customHeight="false" outlineLevel="0" collapsed="false">
      <c r="A1840" s="50"/>
      <c r="B1840" s="51"/>
      <c r="C1840" s="52" t="str">
        <f aca="false">IF(B1840="","",IFERROR(INDEX(הגדרות!$A$8:$A$53,MATCH(B1840,הגדרות!$B$8:$B$53,0)),"⚠ לא בהגדרות"))</f>
        <v/>
      </c>
      <c r="D1840" s="51"/>
      <c r="E1840" s="53"/>
      <c r="F1840" s="52" t="str">
        <f aca="false">IF(A1840="","",INDEX(הגדרות!$H$16:$H$27,MONTH(A1840)))</f>
        <v/>
      </c>
    </row>
    <row r="1841" customFormat="false" ht="15" hidden="false" customHeight="false" outlineLevel="0" collapsed="false">
      <c r="A1841" s="55"/>
      <c r="B1841" s="56"/>
      <c r="C1841" s="57" t="str">
        <f aca="false">IF(B1841="","",IFERROR(INDEX(הגדרות!$A$8:$A$53,MATCH(B1841,הגדרות!$B$8:$B$53,0)),"⚠ לא בהגדרות"))</f>
        <v/>
      </c>
      <c r="D1841" s="56"/>
      <c r="E1841" s="58"/>
      <c r="F1841" s="57" t="str">
        <f aca="false">IF(A1841="","",INDEX(הגדרות!$H$16:$H$27,MONTH(A1841)))</f>
        <v/>
      </c>
    </row>
    <row r="1842" customFormat="false" ht="15" hidden="false" customHeight="false" outlineLevel="0" collapsed="false">
      <c r="A1842" s="50"/>
      <c r="B1842" s="51"/>
      <c r="C1842" s="52" t="str">
        <f aca="false">IF(B1842="","",IFERROR(INDEX(הגדרות!$A$8:$A$53,MATCH(B1842,הגדרות!$B$8:$B$53,0)),"⚠ לא בהגדרות"))</f>
        <v/>
      </c>
      <c r="D1842" s="51"/>
      <c r="E1842" s="53"/>
      <c r="F1842" s="52" t="str">
        <f aca="false">IF(A1842="","",INDEX(הגדרות!$H$16:$H$27,MONTH(A1842)))</f>
        <v/>
      </c>
    </row>
    <row r="1843" customFormat="false" ht="15" hidden="false" customHeight="false" outlineLevel="0" collapsed="false">
      <c r="A1843" s="55"/>
      <c r="B1843" s="56"/>
      <c r="C1843" s="57" t="str">
        <f aca="false">IF(B1843="","",IFERROR(INDEX(הגדרות!$A$8:$A$53,MATCH(B1843,הגדרות!$B$8:$B$53,0)),"⚠ לא בהגדרות"))</f>
        <v/>
      </c>
      <c r="D1843" s="56"/>
      <c r="E1843" s="58"/>
      <c r="F1843" s="57" t="str">
        <f aca="false">IF(A1843="","",INDEX(הגדרות!$H$16:$H$27,MONTH(A1843)))</f>
        <v/>
      </c>
    </row>
    <row r="1844" customFormat="false" ht="15" hidden="false" customHeight="false" outlineLevel="0" collapsed="false">
      <c r="A1844" s="50"/>
      <c r="B1844" s="51"/>
      <c r="C1844" s="52" t="str">
        <f aca="false">IF(B1844="","",IFERROR(INDEX(הגדרות!$A$8:$A$53,MATCH(B1844,הגדרות!$B$8:$B$53,0)),"⚠ לא בהגדרות"))</f>
        <v/>
      </c>
      <c r="D1844" s="51"/>
      <c r="E1844" s="53"/>
      <c r="F1844" s="52" t="str">
        <f aca="false">IF(A1844="","",INDEX(הגדרות!$H$16:$H$27,MONTH(A1844)))</f>
        <v/>
      </c>
    </row>
    <row r="1845" customFormat="false" ht="15" hidden="false" customHeight="false" outlineLevel="0" collapsed="false">
      <c r="A1845" s="55"/>
      <c r="B1845" s="56"/>
      <c r="C1845" s="57" t="str">
        <f aca="false">IF(B1845="","",IFERROR(INDEX(הגדרות!$A$8:$A$53,MATCH(B1845,הגדרות!$B$8:$B$53,0)),"⚠ לא בהגדרות"))</f>
        <v/>
      </c>
      <c r="D1845" s="56"/>
      <c r="E1845" s="58"/>
      <c r="F1845" s="57" t="str">
        <f aca="false">IF(A1845="","",INDEX(הגדרות!$H$16:$H$27,MONTH(A1845)))</f>
        <v/>
      </c>
    </row>
    <row r="1846" customFormat="false" ht="15" hidden="false" customHeight="false" outlineLevel="0" collapsed="false">
      <c r="A1846" s="50"/>
      <c r="B1846" s="51"/>
      <c r="C1846" s="52" t="str">
        <f aca="false">IF(B1846="","",IFERROR(INDEX(הגדרות!$A$8:$A$53,MATCH(B1846,הגדרות!$B$8:$B$53,0)),"⚠ לא בהגדרות"))</f>
        <v/>
      </c>
      <c r="D1846" s="51"/>
      <c r="E1846" s="53"/>
      <c r="F1846" s="52" t="str">
        <f aca="false">IF(A1846="","",INDEX(הגדרות!$H$16:$H$27,MONTH(A1846)))</f>
        <v/>
      </c>
    </row>
    <row r="1847" customFormat="false" ht="15" hidden="false" customHeight="false" outlineLevel="0" collapsed="false">
      <c r="A1847" s="55"/>
      <c r="B1847" s="56"/>
      <c r="C1847" s="57" t="str">
        <f aca="false">IF(B1847="","",IFERROR(INDEX(הגדרות!$A$8:$A$53,MATCH(B1847,הגדרות!$B$8:$B$53,0)),"⚠ לא בהגדרות"))</f>
        <v/>
      </c>
      <c r="D1847" s="56"/>
      <c r="E1847" s="58"/>
      <c r="F1847" s="57" t="str">
        <f aca="false">IF(A1847="","",INDEX(הגדרות!$H$16:$H$27,MONTH(A1847)))</f>
        <v/>
      </c>
    </row>
    <row r="1848" customFormat="false" ht="15" hidden="false" customHeight="false" outlineLevel="0" collapsed="false">
      <c r="A1848" s="50"/>
      <c r="B1848" s="51"/>
      <c r="C1848" s="52" t="str">
        <f aca="false">IF(B1848="","",IFERROR(INDEX(הגדרות!$A$8:$A$53,MATCH(B1848,הגדרות!$B$8:$B$53,0)),"⚠ לא בהגדרות"))</f>
        <v/>
      </c>
      <c r="D1848" s="51"/>
      <c r="E1848" s="53"/>
      <c r="F1848" s="52" t="str">
        <f aca="false">IF(A1848="","",INDEX(הגדרות!$H$16:$H$27,MONTH(A1848)))</f>
        <v/>
      </c>
    </row>
    <row r="1849" customFormat="false" ht="15" hidden="false" customHeight="false" outlineLevel="0" collapsed="false">
      <c r="A1849" s="55"/>
      <c r="B1849" s="56"/>
      <c r="C1849" s="57" t="str">
        <f aca="false">IF(B1849="","",IFERROR(INDEX(הגדרות!$A$8:$A$53,MATCH(B1849,הגדרות!$B$8:$B$53,0)),"⚠ לא בהגדרות"))</f>
        <v/>
      </c>
      <c r="D1849" s="56"/>
      <c r="E1849" s="58"/>
      <c r="F1849" s="57" t="str">
        <f aca="false">IF(A1849="","",INDEX(הגדרות!$H$16:$H$27,MONTH(A1849)))</f>
        <v/>
      </c>
    </row>
    <row r="1850" customFormat="false" ht="15" hidden="false" customHeight="false" outlineLevel="0" collapsed="false">
      <c r="A1850" s="50"/>
      <c r="B1850" s="51"/>
      <c r="C1850" s="52" t="str">
        <f aca="false">IF(B1850="","",IFERROR(INDEX(הגדרות!$A$8:$A$53,MATCH(B1850,הגדרות!$B$8:$B$53,0)),"⚠ לא בהגדרות"))</f>
        <v/>
      </c>
      <c r="D1850" s="51"/>
      <c r="E1850" s="53"/>
      <c r="F1850" s="52" t="str">
        <f aca="false">IF(A1850="","",INDEX(הגדרות!$H$16:$H$27,MONTH(A1850)))</f>
        <v/>
      </c>
    </row>
    <row r="1851" customFormat="false" ht="15" hidden="false" customHeight="false" outlineLevel="0" collapsed="false">
      <c r="A1851" s="55"/>
      <c r="B1851" s="56"/>
      <c r="C1851" s="57" t="str">
        <f aca="false">IF(B1851="","",IFERROR(INDEX(הגדרות!$A$8:$A$53,MATCH(B1851,הגדרות!$B$8:$B$53,0)),"⚠ לא בהגדרות"))</f>
        <v/>
      </c>
      <c r="D1851" s="56"/>
      <c r="E1851" s="58"/>
      <c r="F1851" s="57" t="str">
        <f aca="false">IF(A1851="","",INDEX(הגדרות!$H$16:$H$27,MONTH(A1851)))</f>
        <v/>
      </c>
    </row>
    <row r="1852" customFormat="false" ht="15" hidden="false" customHeight="false" outlineLevel="0" collapsed="false">
      <c r="A1852" s="50"/>
      <c r="B1852" s="51"/>
      <c r="C1852" s="52" t="str">
        <f aca="false">IF(B1852="","",IFERROR(INDEX(הגדרות!$A$8:$A$53,MATCH(B1852,הגדרות!$B$8:$B$53,0)),"⚠ לא בהגדרות"))</f>
        <v/>
      </c>
      <c r="D1852" s="51"/>
      <c r="E1852" s="53"/>
      <c r="F1852" s="52" t="str">
        <f aca="false">IF(A1852="","",INDEX(הגדרות!$H$16:$H$27,MONTH(A1852)))</f>
        <v/>
      </c>
    </row>
    <row r="1853" customFormat="false" ht="15" hidden="false" customHeight="false" outlineLevel="0" collapsed="false">
      <c r="A1853" s="55"/>
      <c r="B1853" s="56"/>
      <c r="C1853" s="57" t="str">
        <f aca="false">IF(B1853="","",IFERROR(INDEX(הגדרות!$A$8:$A$53,MATCH(B1853,הגדרות!$B$8:$B$53,0)),"⚠ לא בהגדרות"))</f>
        <v/>
      </c>
      <c r="D1853" s="56"/>
      <c r="E1853" s="58"/>
      <c r="F1853" s="57" t="str">
        <f aca="false">IF(A1853="","",INDEX(הגדרות!$H$16:$H$27,MONTH(A1853)))</f>
        <v/>
      </c>
    </row>
    <row r="1854" customFormat="false" ht="15" hidden="false" customHeight="false" outlineLevel="0" collapsed="false">
      <c r="A1854" s="50"/>
      <c r="B1854" s="51"/>
      <c r="C1854" s="52" t="str">
        <f aca="false">IF(B1854="","",IFERROR(INDEX(הגדרות!$A$8:$A$53,MATCH(B1854,הגדרות!$B$8:$B$53,0)),"⚠ לא בהגדרות"))</f>
        <v/>
      </c>
      <c r="D1854" s="51"/>
      <c r="E1854" s="53"/>
      <c r="F1854" s="52" t="str">
        <f aca="false">IF(A1854="","",INDEX(הגדרות!$H$16:$H$27,MONTH(A1854)))</f>
        <v/>
      </c>
    </row>
    <row r="1855" customFormat="false" ht="15" hidden="false" customHeight="false" outlineLevel="0" collapsed="false">
      <c r="A1855" s="55"/>
      <c r="B1855" s="56"/>
      <c r="C1855" s="57" t="str">
        <f aca="false">IF(B1855="","",IFERROR(INDEX(הגדרות!$A$8:$A$53,MATCH(B1855,הגדרות!$B$8:$B$53,0)),"⚠ לא בהגדרות"))</f>
        <v/>
      </c>
      <c r="D1855" s="56"/>
      <c r="E1855" s="58"/>
      <c r="F1855" s="57" t="str">
        <f aca="false">IF(A1855="","",INDEX(הגדרות!$H$16:$H$27,MONTH(A1855)))</f>
        <v/>
      </c>
    </row>
    <row r="1856" customFormat="false" ht="15" hidden="false" customHeight="false" outlineLevel="0" collapsed="false">
      <c r="A1856" s="50"/>
      <c r="B1856" s="51"/>
      <c r="C1856" s="52" t="str">
        <f aca="false">IF(B1856="","",IFERROR(INDEX(הגדרות!$A$8:$A$53,MATCH(B1856,הגדרות!$B$8:$B$53,0)),"⚠ לא בהגדרות"))</f>
        <v/>
      </c>
      <c r="D1856" s="51"/>
      <c r="E1856" s="53"/>
      <c r="F1856" s="52" t="str">
        <f aca="false">IF(A1856="","",INDEX(הגדרות!$H$16:$H$27,MONTH(A1856)))</f>
        <v/>
      </c>
    </row>
    <row r="1857" customFormat="false" ht="15" hidden="false" customHeight="false" outlineLevel="0" collapsed="false">
      <c r="A1857" s="55"/>
      <c r="B1857" s="56"/>
      <c r="C1857" s="57" t="str">
        <f aca="false">IF(B1857="","",IFERROR(INDEX(הגדרות!$A$8:$A$53,MATCH(B1857,הגדרות!$B$8:$B$53,0)),"⚠ לא בהגדרות"))</f>
        <v/>
      </c>
      <c r="D1857" s="56"/>
      <c r="E1857" s="58"/>
      <c r="F1857" s="57" t="str">
        <f aca="false">IF(A1857="","",INDEX(הגדרות!$H$16:$H$27,MONTH(A1857)))</f>
        <v/>
      </c>
    </row>
    <row r="1858" customFormat="false" ht="15" hidden="false" customHeight="false" outlineLevel="0" collapsed="false">
      <c r="A1858" s="50"/>
      <c r="B1858" s="51"/>
      <c r="C1858" s="52" t="str">
        <f aca="false">IF(B1858="","",IFERROR(INDEX(הגדרות!$A$8:$A$53,MATCH(B1858,הגדרות!$B$8:$B$53,0)),"⚠ לא בהגדרות"))</f>
        <v/>
      </c>
      <c r="D1858" s="51"/>
      <c r="E1858" s="53"/>
      <c r="F1858" s="52" t="str">
        <f aca="false">IF(A1858="","",INDEX(הגדרות!$H$16:$H$27,MONTH(A1858)))</f>
        <v/>
      </c>
    </row>
    <row r="1859" customFormat="false" ht="15" hidden="false" customHeight="false" outlineLevel="0" collapsed="false">
      <c r="A1859" s="55"/>
      <c r="B1859" s="56"/>
      <c r="C1859" s="57" t="str">
        <f aca="false">IF(B1859="","",IFERROR(INDEX(הגדרות!$A$8:$A$53,MATCH(B1859,הגדרות!$B$8:$B$53,0)),"⚠ לא בהגדרות"))</f>
        <v/>
      </c>
      <c r="D1859" s="56"/>
      <c r="E1859" s="58"/>
      <c r="F1859" s="57" t="str">
        <f aca="false">IF(A1859="","",INDEX(הגדרות!$H$16:$H$27,MONTH(A1859)))</f>
        <v/>
      </c>
    </row>
    <row r="1860" customFormat="false" ht="15" hidden="false" customHeight="false" outlineLevel="0" collapsed="false">
      <c r="A1860" s="50"/>
      <c r="B1860" s="51"/>
      <c r="C1860" s="52" t="str">
        <f aca="false">IF(B1860="","",IFERROR(INDEX(הגדרות!$A$8:$A$53,MATCH(B1860,הגדרות!$B$8:$B$53,0)),"⚠ לא בהגדרות"))</f>
        <v/>
      </c>
      <c r="D1860" s="51"/>
      <c r="E1860" s="53"/>
      <c r="F1860" s="52" t="str">
        <f aca="false">IF(A1860="","",INDEX(הגדרות!$H$16:$H$27,MONTH(A1860)))</f>
        <v/>
      </c>
    </row>
    <row r="1861" customFormat="false" ht="15" hidden="false" customHeight="false" outlineLevel="0" collapsed="false">
      <c r="A1861" s="55"/>
      <c r="B1861" s="56"/>
      <c r="C1861" s="57" t="str">
        <f aca="false">IF(B1861="","",IFERROR(INDEX(הגדרות!$A$8:$A$53,MATCH(B1861,הגדרות!$B$8:$B$53,0)),"⚠ לא בהגדרות"))</f>
        <v/>
      </c>
      <c r="D1861" s="56"/>
      <c r="E1861" s="58"/>
      <c r="F1861" s="57" t="str">
        <f aca="false">IF(A1861="","",INDEX(הגדרות!$H$16:$H$27,MONTH(A1861)))</f>
        <v/>
      </c>
    </row>
    <row r="1862" customFormat="false" ht="15" hidden="false" customHeight="false" outlineLevel="0" collapsed="false">
      <c r="A1862" s="50"/>
      <c r="B1862" s="51"/>
      <c r="C1862" s="52" t="str">
        <f aca="false">IF(B1862="","",IFERROR(INDEX(הגדרות!$A$8:$A$53,MATCH(B1862,הגדרות!$B$8:$B$53,0)),"⚠ לא בהגדרות"))</f>
        <v/>
      </c>
      <c r="D1862" s="51"/>
      <c r="E1862" s="53"/>
      <c r="F1862" s="52" t="str">
        <f aca="false">IF(A1862="","",INDEX(הגדרות!$H$16:$H$27,MONTH(A1862)))</f>
        <v/>
      </c>
    </row>
    <row r="1863" customFormat="false" ht="15" hidden="false" customHeight="false" outlineLevel="0" collapsed="false">
      <c r="A1863" s="55"/>
      <c r="B1863" s="56"/>
      <c r="C1863" s="57" t="str">
        <f aca="false">IF(B1863="","",IFERROR(INDEX(הגדרות!$A$8:$A$53,MATCH(B1863,הגדרות!$B$8:$B$53,0)),"⚠ לא בהגדרות"))</f>
        <v/>
      </c>
      <c r="D1863" s="56"/>
      <c r="E1863" s="58"/>
      <c r="F1863" s="57" t="str">
        <f aca="false">IF(A1863="","",INDEX(הגדרות!$H$16:$H$27,MONTH(A1863)))</f>
        <v/>
      </c>
    </row>
    <row r="1864" customFormat="false" ht="15" hidden="false" customHeight="false" outlineLevel="0" collapsed="false">
      <c r="A1864" s="50"/>
      <c r="B1864" s="51"/>
      <c r="C1864" s="52" t="str">
        <f aca="false">IF(B1864="","",IFERROR(INDEX(הגדרות!$A$8:$A$53,MATCH(B1864,הגדרות!$B$8:$B$53,0)),"⚠ לא בהגדרות"))</f>
        <v/>
      </c>
      <c r="D1864" s="51"/>
      <c r="E1864" s="53"/>
      <c r="F1864" s="52" t="str">
        <f aca="false">IF(A1864="","",INDEX(הגדרות!$H$16:$H$27,MONTH(A1864)))</f>
        <v/>
      </c>
    </row>
    <row r="1865" customFormat="false" ht="15" hidden="false" customHeight="false" outlineLevel="0" collapsed="false">
      <c r="A1865" s="55"/>
      <c r="B1865" s="56"/>
      <c r="C1865" s="57" t="str">
        <f aca="false">IF(B1865="","",IFERROR(INDEX(הגדרות!$A$8:$A$53,MATCH(B1865,הגדרות!$B$8:$B$53,0)),"⚠ לא בהגדרות"))</f>
        <v/>
      </c>
      <c r="D1865" s="56"/>
      <c r="E1865" s="58"/>
      <c r="F1865" s="57" t="str">
        <f aca="false">IF(A1865="","",INDEX(הגדרות!$H$16:$H$27,MONTH(A1865)))</f>
        <v/>
      </c>
    </row>
    <row r="1866" customFormat="false" ht="15" hidden="false" customHeight="false" outlineLevel="0" collapsed="false">
      <c r="A1866" s="50"/>
      <c r="B1866" s="51"/>
      <c r="C1866" s="52" t="str">
        <f aca="false">IF(B1866="","",IFERROR(INDEX(הגדרות!$A$8:$A$53,MATCH(B1866,הגדרות!$B$8:$B$53,0)),"⚠ לא בהגדרות"))</f>
        <v/>
      </c>
      <c r="D1866" s="51"/>
      <c r="E1866" s="53"/>
      <c r="F1866" s="52" t="str">
        <f aca="false">IF(A1866="","",INDEX(הגדרות!$H$16:$H$27,MONTH(A1866)))</f>
        <v/>
      </c>
    </row>
    <row r="1867" customFormat="false" ht="15" hidden="false" customHeight="false" outlineLevel="0" collapsed="false">
      <c r="A1867" s="55"/>
      <c r="B1867" s="56"/>
      <c r="C1867" s="57" t="str">
        <f aca="false">IF(B1867="","",IFERROR(INDEX(הגדרות!$A$8:$A$53,MATCH(B1867,הגדרות!$B$8:$B$53,0)),"⚠ לא בהגדרות"))</f>
        <v/>
      </c>
      <c r="D1867" s="56"/>
      <c r="E1867" s="58"/>
      <c r="F1867" s="57" t="str">
        <f aca="false">IF(A1867="","",INDEX(הגדרות!$H$16:$H$27,MONTH(A1867)))</f>
        <v/>
      </c>
    </row>
    <row r="1868" customFormat="false" ht="15" hidden="false" customHeight="false" outlineLevel="0" collapsed="false">
      <c r="A1868" s="50"/>
      <c r="B1868" s="51"/>
      <c r="C1868" s="52" t="str">
        <f aca="false">IF(B1868="","",IFERROR(INDEX(הגדרות!$A$8:$A$53,MATCH(B1868,הגדרות!$B$8:$B$53,0)),"⚠ לא בהגדרות"))</f>
        <v/>
      </c>
      <c r="D1868" s="51"/>
      <c r="E1868" s="53"/>
      <c r="F1868" s="52" t="str">
        <f aca="false">IF(A1868="","",INDEX(הגדרות!$H$16:$H$27,MONTH(A1868)))</f>
        <v/>
      </c>
    </row>
    <row r="1869" customFormat="false" ht="15" hidden="false" customHeight="false" outlineLevel="0" collapsed="false">
      <c r="A1869" s="55"/>
      <c r="B1869" s="56"/>
      <c r="C1869" s="57" t="str">
        <f aca="false">IF(B1869="","",IFERROR(INDEX(הגדרות!$A$8:$A$53,MATCH(B1869,הגדרות!$B$8:$B$53,0)),"⚠ לא בהגדרות"))</f>
        <v/>
      </c>
      <c r="D1869" s="56"/>
      <c r="E1869" s="58"/>
      <c r="F1869" s="57" t="str">
        <f aca="false">IF(A1869="","",INDEX(הגדרות!$H$16:$H$27,MONTH(A1869)))</f>
        <v/>
      </c>
    </row>
    <row r="1870" customFormat="false" ht="15" hidden="false" customHeight="false" outlineLevel="0" collapsed="false">
      <c r="A1870" s="50"/>
      <c r="B1870" s="51"/>
      <c r="C1870" s="52" t="str">
        <f aca="false">IF(B1870="","",IFERROR(INDEX(הגדרות!$A$8:$A$53,MATCH(B1870,הגדרות!$B$8:$B$53,0)),"⚠ לא בהגדרות"))</f>
        <v/>
      </c>
      <c r="D1870" s="51"/>
      <c r="E1870" s="53"/>
      <c r="F1870" s="52" t="str">
        <f aca="false">IF(A1870="","",INDEX(הגדרות!$H$16:$H$27,MONTH(A1870)))</f>
        <v/>
      </c>
    </row>
    <row r="1871" customFormat="false" ht="15" hidden="false" customHeight="false" outlineLevel="0" collapsed="false">
      <c r="A1871" s="55"/>
      <c r="B1871" s="56"/>
      <c r="C1871" s="57" t="str">
        <f aca="false">IF(B1871="","",IFERROR(INDEX(הגדרות!$A$8:$A$53,MATCH(B1871,הגדרות!$B$8:$B$53,0)),"⚠ לא בהגדרות"))</f>
        <v/>
      </c>
      <c r="D1871" s="56"/>
      <c r="E1871" s="58"/>
      <c r="F1871" s="57" t="str">
        <f aca="false">IF(A1871="","",INDEX(הגדרות!$H$16:$H$27,MONTH(A1871)))</f>
        <v/>
      </c>
    </row>
    <row r="1872" customFormat="false" ht="15" hidden="false" customHeight="false" outlineLevel="0" collapsed="false">
      <c r="A1872" s="50"/>
      <c r="B1872" s="51"/>
      <c r="C1872" s="52" t="str">
        <f aca="false">IF(B1872="","",IFERROR(INDEX(הגדרות!$A$8:$A$53,MATCH(B1872,הגדרות!$B$8:$B$53,0)),"⚠ לא בהגדרות"))</f>
        <v/>
      </c>
      <c r="D1872" s="51"/>
      <c r="E1872" s="53"/>
      <c r="F1872" s="52" t="str">
        <f aca="false">IF(A1872="","",INDEX(הגדרות!$H$16:$H$27,MONTH(A1872)))</f>
        <v/>
      </c>
    </row>
    <row r="1873" customFormat="false" ht="15" hidden="false" customHeight="false" outlineLevel="0" collapsed="false">
      <c r="A1873" s="55"/>
      <c r="B1873" s="56"/>
      <c r="C1873" s="57" t="str">
        <f aca="false">IF(B1873="","",IFERROR(INDEX(הגדרות!$A$8:$A$53,MATCH(B1873,הגדרות!$B$8:$B$53,0)),"⚠ לא בהגדרות"))</f>
        <v/>
      </c>
      <c r="D1873" s="56"/>
      <c r="E1873" s="58"/>
      <c r="F1873" s="57" t="str">
        <f aca="false">IF(A1873="","",INDEX(הגדרות!$H$16:$H$27,MONTH(A1873)))</f>
        <v/>
      </c>
    </row>
    <row r="1874" customFormat="false" ht="15" hidden="false" customHeight="false" outlineLevel="0" collapsed="false">
      <c r="A1874" s="50"/>
      <c r="B1874" s="51"/>
      <c r="C1874" s="52" t="str">
        <f aca="false">IF(B1874="","",IFERROR(INDEX(הגדרות!$A$8:$A$53,MATCH(B1874,הגדרות!$B$8:$B$53,0)),"⚠ לא בהגדרות"))</f>
        <v/>
      </c>
      <c r="D1874" s="51"/>
      <c r="E1874" s="53"/>
      <c r="F1874" s="52" t="str">
        <f aca="false">IF(A1874="","",INDEX(הגדרות!$H$16:$H$27,MONTH(A1874)))</f>
        <v/>
      </c>
    </row>
    <row r="1875" customFormat="false" ht="15" hidden="false" customHeight="false" outlineLevel="0" collapsed="false">
      <c r="A1875" s="55"/>
      <c r="B1875" s="56"/>
      <c r="C1875" s="57" t="str">
        <f aca="false">IF(B1875="","",IFERROR(INDEX(הגדרות!$A$8:$A$53,MATCH(B1875,הגדרות!$B$8:$B$53,0)),"⚠ לא בהגדרות"))</f>
        <v/>
      </c>
      <c r="D1875" s="56"/>
      <c r="E1875" s="58"/>
      <c r="F1875" s="57" t="str">
        <f aca="false">IF(A1875="","",INDEX(הגדרות!$H$16:$H$27,MONTH(A1875)))</f>
        <v/>
      </c>
    </row>
    <row r="1876" customFormat="false" ht="15" hidden="false" customHeight="false" outlineLevel="0" collapsed="false">
      <c r="A1876" s="50"/>
      <c r="B1876" s="51"/>
      <c r="C1876" s="52" t="str">
        <f aca="false">IF(B1876="","",IFERROR(INDEX(הגדרות!$A$8:$A$53,MATCH(B1876,הגדרות!$B$8:$B$53,0)),"⚠ לא בהגדרות"))</f>
        <v/>
      </c>
      <c r="D1876" s="51"/>
      <c r="E1876" s="53"/>
      <c r="F1876" s="52" t="str">
        <f aca="false">IF(A1876="","",INDEX(הגדרות!$H$16:$H$27,MONTH(A1876)))</f>
        <v/>
      </c>
    </row>
    <row r="1877" customFormat="false" ht="15" hidden="false" customHeight="false" outlineLevel="0" collapsed="false">
      <c r="A1877" s="55"/>
      <c r="B1877" s="56"/>
      <c r="C1877" s="57" t="str">
        <f aca="false">IF(B1877="","",IFERROR(INDEX(הגדרות!$A$8:$A$53,MATCH(B1877,הגדרות!$B$8:$B$53,0)),"⚠ לא בהגדרות"))</f>
        <v/>
      </c>
      <c r="D1877" s="56"/>
      <c r="E1877" s="58"/>
      <c r="F1877" s="57" t="str">
        <f aca="false">IF(A1877="","",INDEX(הגדרות!$H$16:$H$27,MONTH(A1877)))</f>
        <v/>
      </c>
    </row>
    <row r="1878" customFormat="false" ht="15" hidden="false" customHeight="false" outlineLevel="0" collapsed="false">
      <c r="A1878" s="50"/>
      <c r="B1878" s="51"/>
      <c r="C1878" s="52" t="str">
        <f aca="false">IF(B1878="","",IFERROR(INDEX(הגדרות!$A$8:$A$53,MATCH(B1878,הגדרות!$B$8:$B$53,0)),"⚠ לא בהגדרות"))</f>
        <v/>
      </c>
      <c r="D1878" s="51"/>
      <c r="E1878" s="53"/>
      <c r="F1878" s="52" t="str">
        <f aca="false">IF(A1878="","",INDEX(הגדרות!$H$16:$H$27,MONTH(A1878)))</f>
        <v/>
      </c>
    </row>
    <row r="1879" customFormat="false" ht="15" hidden="false" customHeight="false" outlineLevel="0" collapsed="false">
      <c r="A1879" s="55"/>
      <c r="B1879" s="56"/>
      <c r="C1879" s="57" t="str">
        <f aca="false">IF(B1879="","",IFERROR(INDEX(הגדרות!$A$8:$A$53,MATCH(B1879,הגדרות!$B$8:$B$53,0)),"⚠ לא בהגדרות"))</f>
        <v/>
      </c>
      <c r="D1879" s="56"/>
      <c r="E1879" s="58"/>
      <c r="F1879" s="57" t="str">
        <f aca="false">IF(A1879="","",INDEX(הגדרות!$H$16:$H$27,MONTH(A1879)))</f>
        <v/>
      </c>
    </row>
    <row r="1880" customFormat="false" ht="15" hidden="false" customHeight="false" outlineLevel="0" collapsed="false">
      <c r="A1880" s="50"/>
      <c r="B1880" s="51"/>
      <c r="C1880" s="52" t="str">
        <f aca="false">IF(B1880="","",IFERROR(INDEX(הגדרות!$A$8:$A$53,MATCH(B1880,הגדרות!$B$8:$B$53,0)),"⚠ לא בהגדרות"))</f>
        <v/>
      </c>
      <c r="D1880" s="51"/>
      <c r="E1880" s="53"/>
      <c r="F1880" s="52" t="str">
        <f aca="false">IF(A1880="","",INDEX(הגדרות!$H$16:$H$27,MONTH(A1880)))</f>
        <v/>
      </c>
    </row>
    <row r="1881" customFormat="false" ht="15" hidden="false" customHeight="false" outlineLevel="0" collapsed="false">
      <c r="A1881" s="55"/>
      <c r="B1881" s="56"/>
      <c r="C1881" s="57" t="str">
        <f aca="false">IF(B1881="","",IFERROR(INDEX(הגדרות!$A$8:$A$53,MATCH(B1881,הגדרות!$B$8:$B$53,0)),"⚠ לא בהגדרות"))</f>
        <v/>
      </c>
      <c r="D1881" s="56"/>
      <c r="E1881" s="58"/>
      <c r="F1881" s="57" t="str">
        <f aca="false">IF(A1881="","",INDEX(הגדרות!$H$16:$H$27,MONTH(A1881)))</f>
        <v/>
      </c>
    </row>
    <row r="1882" customFormat="false" ht="15" hidden="false" customHeight="false" outlineLevel="0" collapsed="false">
      <c r="A1882" s="50"/>
      <c r="B1882" s="51"/>
      <c r="C1882" s="52" t="str">
        <f aca="false">IF(B1882="","",IFERROR(INDEX(הגדרות!$A$8:$A$53,MATCH(B1882,הגדרות!$B$8:$B$53,0)),"⚠ לא בהגדרות"))</f>
        <v/>
      </c>
      <c r="D1882" s="51"/>
      <c r="E1882" s="53"/>
      <c r="F1882" s="52" t="str">
        <f aca="false">IF(A1882="","",INDEX(הגדרות!$H$16:$H$27,MONTH(A1882)))</f>
        <v/>
      </c>
    </row>
    <row r="1883" customFormat="false" ht="15" hidden="false" customHeight="false" outlineLevel="0" collapsed="false">
      <c r="A1883" s="55"/>
      <c r="B1883" s="56"/>
      <c r="C1883" s="57" t="str">
        <f aca="false">IF(B1883="","",IFERROR(INDEX(הגדרות!$A$8:$A$53,MATCH(B1883,הגדרות!$B$8:$B$53,0)),"⚠ לא בהגדרות"))</f>
        <v/>
      </c>
      <c r="D1883" s="56"/>
      <c r="E1883" s="58"/>
      <c r="F1883" s="57" t="str">
        <f aca="false">IF(A1883="","",INDEX(הגדרות!$H$16:$H$27,MONTH(A1883)))</f>
        <v/>
      </c>
    </row>
    <row r="1884" customFormat="false" ht="15" hidden="false" customHeight="false" outlineLevel="0" collapsed="false">
      <c r="A1884" s="50"/>
      <c r="B1884" s="51"/>
      <c r="C1884" s="52" t="str">
        <f aca="false">IF(B1884="","",IFERROR(INDEX(הגדרות!$A$8:$A$53,MATCH(B1884,הגדרות!$B$8:$B$53,0)),"⚠ לא בהגדרות"))</f>
        <v/>
      </c>
      <c r="D1884" s="51"/>
      <c r="E1884" s="53"/>
      <c r="F1884" s="52" t="str">
        <f aca="false">IF(A1884="","",INDEX(הגדרות!$H$16:$H$27,MONTH(A1884)))</f>
        <v/>
      </c>
    </row>
    <row r="1885" customFormat="false" ht="15" hidden="false" customHeight="false" outlineLevel="0" collapsed="false">
      <c r="A1885" s="55"/>
      <c r="B1885" s="56"/>
      <c r="C1885" s="57" t="str">
        <f aca="false">IF(B1885="","",IFERROR(INDEX(הגדרות!$A$8:$A$53,MATCH(B1885,הגדרות!$B$8:$B$53,0)),"⚠ לא בהגדרות"))</f>
        <v/>
      </c>
      <c r="D1885" s="56"/>
      <c r="E1885" s="58"/>
      <c r="F1885" s="57" t="str">
        <f aca="false">IF(A1885="","",INDEX(הגדרות!$H$16:$H$27,MONTH(A1885)))</f>
        <v/>
      </c>
    </row>
    <row r="1886" customFormat="false" ht="15" hidden="false" customHeight="false" outlineLevel="0" collapsed="false">
      <c r="A1886" s="50"/>
      <c r="B1886" s="51"/>
      <c r="C1886" s="52" t="str">
        <f aca="false">IF(B1886="","",IFERROR(INDEX(הגדרות!$A$8:$A$53,MATCH(B1886,הגדרות!$B$8:$B$53,0)),"⚠ לא בהגדרות"))</f>
        <v/>
      </c>
      <c r="D1886" s="51"/>
      <c r="E1886" s="53"/>
      <c r="F1886" s="52" t="str">
        <f aca="false">IF(A1886="","",INDEX(הגדרות!$H$16:$H$27,MONTH(A1886)))</f>
        <v/>
      </c>
    </row>
    <row r="1887" customFormat="false" ht="15" hidden="false" customHeight="false" outlineLevel="0" collapsed="false">
      <c r="A1887" s="55"/>
      <c r="B1887" s="56"/>
      <c r="C1887" s="57" t="str">
        <f aca="false">IF(B1887="","",IFERROR(INDEX(הגדרות!$A$8:$A$53,MATCH(B1887,הגדרות!$B$8:$B$53,0)),"⚠ לא בהגדרות"))</f>
        <v/>
      </c>
      <c r="D1887" s="56"/>
      <c r="E1887" s="58"/>
      <c r="F1887" s="57" t="str">
        <f aca="false">IF(A1887="","",INDEX(הגדרות!$H$16:$H$27,MONTH(A1887)))</f>
        <v/>
      </c>
    </row>
    <row r="1888" customFormat="false" ht="15" hidden="false" customHeight="false" outlineLevel="0" collapsed="false">
      <c r="A1888" s="50"/>
      <c r="B1888" s="51"/>
      <c r="C1888" s="52" t="str">
        <f aca="false">IF(B1888="","",IFERROR(INDEX(הגדרות!$A$8:$A$53,MATCH(B1888,הגדרות!$B$8:$B$53,0)),"⚠ לא בהגדרות"))</f>
        <v/>
      </c>
      <c r="D1888" s="51"/>
      <c r="E1888" s="53"/>
      <c r="F1888" s="52" t="str">
        <f aca="false">IF(A1888="","",INDEX(הגדרות!$H$16:$H$27,MONTH(A1888)))</f>
        <v/>
      </c>
    </row>
    <row r="1889" customFormat="false" ht="15" hidden="false" customHeight="false" outlineLevel="0" collapsed="false">
      <c r="A1889" s="55"/>
      <c r="B1889" s="56"/>
      <c r="C1889" s="57" t="str">
        <f aca="false">IF(B1889="","",IFERROR(INDEX(הגדרות!$A$8:$A$53,MATCH(B1889,הגדרות!$B$8:$B$53,0)),"⚠ לא בהגדרות"))</f>
        <v/>
      </c>
      <c r="D1889" s="56"/>
      <c r="E1889" s="58"/>
      <c r="F1889" s="57" t="str">
        <f aca="false">IF(A1889="","",INDEX(הגדרות!$H$16:$H$27,MONTH(A1889)))</f>
        <v/>
      </c>
    </row>
    <row r="1890" customFormat="false" ht="15" hidden="false" customHeight="false" outlineLevel="0" collapsed="false">
      <c r="A1890" s="50"/>
      <c r="B1890" s="51"/>
      <c r="C1890" s="52" t="str">
        <f aca="false">IF(B1890="","",IFERROR(INDEX(הגדרות!$A$8:$A$53,MATCH(B1890,הגדרות!$B$8:$B$53,0)),"⚠ לא בהגדרות"))</f>
        <v/>
      </c>
      <c r="D1890" s="51"/>
      <c r="E1890" s="53"/>
      <c r="F1890" s="52" t="str">
        <f aca="false">IF(A1890="","",INDEX(הגדרות!$H$16:$H$27,MONTH(A1890)))</f>
        <v/>
      </c>
    </row>
    <row r="1891" customFormat="false" ht="15" hidden="false" customHeight="false" outlineLevel="0" collapsed="false">
      <c r="A1891" s="55"/>
      <c r="B1891" s="56"/>
      <c r="C1891" s="57" t="str">
        <f aca="false">IF(B1891="","",IFERROR(INDEX(הגדרות!$A$8:$A$53,MATCH(B1891,הגדרות!$B$8:$B$53,0)),"⚠ לא בהגדרות"))</f>
        <v/>
      </c>
      <c r="D1891" s="56"/>
      <c r="E1891" s="58"/>
      <c r="F1891" s="57" t="str">
        <f aca="false">IF(A1891="","",INDEX(הגדרות!$H$16:$H$27,MONTH(A1891)))</f>
        <v/>
      </c>
    </row>
    <row r="1892" customFormat="false" ht="15" hidden="false" customHeight="false" outlineLevel="0" collapsed="false">
      <c r="A1892" s="50"/>
      <c r="B1892" s="51"/>
      <c r="C1892" s="52" t="str">
        <f aca="false">IF(B1892="","",IFERROR(INDEX(הגדרות!$A$8:$A$53,MATCH(B1892,הגדרות!$B$8:$B$53,0)),"⚠ לא בהגדרות"))</f>
        <v/>
      </c>
      <c r="D1892" s="51"/>
      <c r="E1892" s="53"/>
      <c r="F1892" s="52" t="str">
        <f aca="false">IF(A1892="","",INDEX(הגדרות!$H$16:$H$27,MONTH(A1892)))</f>
        <v/>
      </c>
    </row>
    <row r="1893" customFormat="false" ht="15" hidden="false" customHeight="false" outlineLevel="0" collapsed="false">
      <c r="A1893" s="55"/>
      <c r="B1893" s="56"/>
      <c r="C1893" s="57" t="str">
        <f aca="false">IF(B1893="","",IFERROR(INDEX(הגדרות!$A$8:$A$53,MATCH(B1893,הגדרות!$B$8:$B$53,0)),"⚠ לא בהגדרות"))</f>
        <v/>
      </c>
      <c r="D1893" s="56"/>
      <c r="E1893" s="58"/>
      <c r="F1893" s="57" t="str">
        <f aca="false">IF(A1893="","",INDEX(הגדרות!$H$16:$H$27,MONTH(A1893)))</f>
        <v/>
      </c>
    </row>
    <row r="1894" customFormat="false" ht="15" hidden="false" customHeight="false" outlineLevel="0" collapsed="false">
      <c r="A1894" s="50"/>
      <c r="B1894" s="51"/>
      <c r="C1894" s="52" t="str">
        <f aca="false">IF(B1894="","",IFERROR(INDEX(הגדרות!$A$8:$A$53,MATCH(B1894,הגדרות!$B$8:$B$53,0)),"⚠ לא בהגדרות"))</f>
        <v/>
      </c>
      <c r="D1894" s="51"/>
      <c r="E1894" s="53"/>
      <c r="F1894" s="52" t="str">
        <f aca="false">IF(A1894="","",INDEX(הגדרות!$H$16:$H$27,MONTH(A1894)))</f>
        <v/>
      </c>
    </row>
    <row r="1895" customFormat="false" ht="15" hidden="false" customHeight="false" outlineLevel="0" collapsed="false">
      <c r="A1895" s="55"/>
      <c r="B1895" s="56"/>
      <c r="C1895" s="57" t="str">
        <f aca="false">IF(B1895="","",IFERROR(INDEX(הגדרות!$A$8:$A$53,MATCH(B1895,הגדרות!$B$8:$B$53,0)),"⚠ לא בהגדרות"))</f>
        <v/>
      </c>
      <c r="D1895" s="56"/>
      <c r="E1895" s="58"/>
      <c r="F1895" s="57" t="str">
        <f aca="false">IF(A1895="","",INDEX(הגדרות!$H$16:$H$27,MONTH(A1895)))</f>
        <v/>
      </c>
    </row>
    <row r="1896" customFormat="false" ht="15" hidden="false" customHeight="false" outlineLevel="0" collapsed="false">
      <c r="A1896" s="50"/>
      <c r="B1896" s="51"/>
      <c r="C1896" s="52" t="str">
        <f aca="false">IF(B1896="","",IFERROR(INDEX(הגדרות!$A$8:$A$53,MATCH(B1896,הגדרות!$B$8:$B$53,0)),"⚠ לא בהגדרות"))</f>
        <v/>
      </c>
      <c r="D1896" s="51"/>
      <c r="E1896" s="53"/>
      <c r="F1896" s="52" t="str">
        <f aca="false">IF(A1896="","",INDEX(הגדרות!$H$16:$H$27,MONTH(A1896)))</f>
        <v/>
      </c>
    </row>
    <row r="1897" customFormat="false" ht="15" hidden="false" customHeight="false" outlineLevel="0" collapsed="false">
      <c r="A1897" s="55"/>
      <c r="B1897" s="56"/>
      <c r="C1897" s="57" t="str">
        <f aca="false">IF(B1897="","",IFERROR(INDEX(הגדרות!$A$8:$A$53,MATCH(B1897,הגדרות!$B$8:$B$53,0)),"⚠ לא בהגדרות"))</f>
        <v/>
      </c>
      <c r="D1897" s="56"/>
      <c r="E1897" s="58"/>
      <c r="F1897" s="57" t="str">
        <f aca="false">IF(A1897="","",INDEX(הגדרות!$H$16:$H$27,MONTH(A1897)))</f>
        <v/>
      </c>
    </row>
    <row r="1898" customFormat="false" ht="15" hidden="false" customHeight="false" outlineLevel="0" collapsed="false">
      <c r="A1898" s="50"/>
      <c r="B1898" s="51"/>
      <c r="C1898" s="52" t="str">
        <f aca="false">IF(B1898="","",IFERROR(INDEX(הגדרות!$A$8:$A$53,MATCH(B1898,הגדרות!$B$8:$B$53,0)),"⚠ לא בהגדרות"))</f>
        <v/>
      </c>
      <c r="D1898" s="51"/>
      <c r="E1898" s="53"/>
      <c r="F1898" s="52" t="str">
        <f aca="false">IF(A1898="","",INDEX(הגדרות!$H$16:$H$27,MONTH(A1898)))</f>
        <v/>
      </c>
    </row>
    <row r="1899" customFormat="false" ht="15" hidden="false" customHeight="false" outlineLevel="0" collapsed="false">
      <c r="A1899" s="55"/>
      <c r="B1899" s="56"/>
      <c r="C1899" s="57" t="str">
        <f aca="false">IF(B1899="","",IFERROR(INDEX(הגדרות!$A$8:$A$53,MATCH(B1899,הגדרות!$B$8:$B$53,0)),"⚠ לא בהגדרות"))</f>
        <v/>
      </c>
      <c r="D1899" s="56"/>
      <c r="E1899" s="58"/>
      <c r="F1899" s="57" t="str">
        <f aca="false">IF(A1899="","",INDEX(הגדרות!$H$16:$H$27,MONTH(A1899)))</f>
        <v/>
      </c>
    </row>
    <row r="1900" customFormat="false" ht="15" hidden="false" customHeight="false" outlineLevel="0" collapsed="false">
      <c r="A1900" s="50"/>
      <c r="B1900" s="51"/>
      <c r="C1900" s="52" t="str">
        <f aca="false">IF(B1900="","",IFERROR(INDEX(הגדרות!$A$8:$A$53,MATCH(B1900,הגדרות!$B$8:$B$53,0)),"⚠ לא בהגדרות"))</f>
        <v/>
      </c>
      <c r="D1900" s="51"/>
      <c r="E1900" s="53"/>
      <c r="F1900" s="52" t="str">
        <f aca="false">IF(A1900="","",INDEX(הגדרות!$H$16:$H$27,MONTH(A1900)))</f>
        <v/>
      </c>
    </row>
    <row r="1901" customFormat="false" ht="15" hidden="false" customHeight="false" outlineLevel="0" collapsed="false">
      <c r="A1901" s="55"/>
      <c r="B1901" s="56"/>
      <c r="C1901" s="57" t="str">
        <f aca="false">IF(B1901="","",IFERROR(INDEX(הגדרות!$A$8:$A$53,MATCH(B1901,הגדרות!$B$8:$B$53,0)),"⚠ לא בהגדרות"))</f>
        <v/>
      </c>
      <c r="D1901" s="56"/>
      <c r="E1901" s="58"/>
      <c r="F1901" s="57" t="str">
        <f aca="false">IF(A1901="","",INDEX(הגדרות!$H$16:$H$27,MONTH(A1901)))</f>
        <v/>
      </c>
    </row>
    <row r="1902" customFormat="false" ht="15" hidden="false" customHeight="false" outlineLevel="0" collapsed="false">
      <c r="A1902" s="50"/>
      <c r="B1902" s="51"/>
      <c r="C1902" s="52" t="str">
        <f aca="false">IF(B1902="","",IFERROR(INDEX(הגדרות!$A$8:$A$53,MATCH(B1902,הגדרות!$B$8:$B$53,0)),"⚠ לא בהגדרות"))</f>
        <v/>
      </c>
      <c r="D1902" s="51"/>
      <c r="E1902" s="53"/>
      <c r="F1902" s="52" t="str">
        <f aca="false">IF(A1902="","",INDEX(הגדרות!$H$16:$H$27,MONTH(A1902)))</f>
        <v/>
      </c>
    </row>
    <row r="1903" customFormat="false" ht="15" hidden="false" customHeight="false" outlineLevel="0" collapsed="false">
      <c r="A1903" s="55"/>
      <c r="B1903" s="56"/>
      <c r="C1903" s="57" t="str">
        <f aca="false">IF(B1903="","",IFERROR(INDEX(הגדרות!$A$8:$A$53,MATCH(B1903,הגדרות!$B$8:$B$53,0)),"⚠ לא בהגדרות"))</f>
        <v/>
      </c>
      <c r="D1903" s="56"/>
      <c r="E1903" s="58"/>
      <c r="F1903" s="57" t="str">
        <f aca="false">IF(A1903="","",INDEX(הגדרות!$H$16:$H$27,MONTH(A1903)))</f>
        <v/>
      </c>
    </row>
    <row r="1904" customFormat="false" ht="15" hidden="false" customHeight="false" outlineLevel="0" collapsed="false">
      <c r="A1904" s="50"/>
      <c r="B1904" s="51"/>
      <c r="C1904" s="52" t="str">
        <f aca="false">IF(B1904="","",IFERROR(INDEX(הגדרות!$A$8:$A$53,MATCH(B1904,הגדרות!$B$8:$B$53,0)),"⚠ לא בהגדרות"))</f>
        <v/>
      </c>
      <c r="D1904" s="51"/>
      <c r="E1904" s="53"/>
      <c r="F1904" s="52" t="str">
        <f aca="false">IF(A1904="","",INDEX(הגדרות!$H$16:$H$27,MONTH(A1904)))</f>
        <v/>
      </c>
    </row>
    <row r="1905" customFormat="false" ht="15" hidden="false" customHeight="false" outlineLevel="0" collapsed="false">
      <c r="A1905" s="55"/>
      <c r="B1905" s="56"/>
      <c r="C1905" s="57" t="str">
        <f aca="false">IF(B1905="","",IFERROR(INDEX(הגדרות!$A$8:$A$53,MATCH(B1905,הגדרות!$B$8:$B$53,0)),"⚠ לא בהגדרות"))</f>
        <v/>
      </c>
      <c r="D1905" s="56"/>
      <c r="E1905" s="58"/>
      <c r="F1905" s="57" t="str">
        <f aca="false">IF(A1905="","",INDEX(הגדרות!$H$16:$H$27,MONTH(A1905)))</f>
        <v/>
      </c>
    </row>
    <row r="1906" customFormat="false" ht="15" hidden="false" customHeight="false" outlineLevel="0" collapsed="false">
      <c r="A1906" s="50"/>
      <c r="B1906" s="51"/>
      <c r="C1906" s="52" t="str">
        <f aca="false">IF(B1906="","",IFERROR(INDEX(הגדרות!$A$8:$A$53,MATCH(B1906,הגדרות!$B$8:$B$53,0)),"⚠ לא בהגדרות"))</f>
        <v/>
      </c>
      <c r="D1906" s="51"/>
      <c r="E1906" s="53"/>
      <c r="F1906" s="52" t="str">
        <f aca="false">IF(A1906="","",INDEX(הגדרות!$H$16:$H$27,MONTH(A1906)))</f>
        <v/>
      </c>
    </row>
    <row r="1907" customFormat="false" ht="15" hidden="false" customHeight="false" outlineLevel="0" collapsed="false">
      <c r="A1907" s="55"/>
      <c r="B1907" s="56"/>
      <c r="C1907" s="57" t="str">
        <f aca="false">IF(B1907="","",IFERROR(INDEX(הגדרות!$A$8:$A$53,MATCH(B1907,הגדרות!$B$8:$B$53,0)),"⚠ לא בהגדרות"))</f>
        <v/>
      </c>
      <c r="D1907" s="56"/>
      <c r="E1907" s="58"/>
      <c r="F1907" s="57" t="str">
        <f aca="false">IF(A1907="","",INDEX(הגדרות!$H$16:$H$27,MONTH(A1907)))</f>
        <v/>
      </c>
    </row>
    <row r="1908" customFormat="false" ht="15" hidden="false" customHeight="false" outlineLevel="0" collapsed="false">
      <c r="A1908" s="50"/>
      <c r="B1908" s="51"/>
      <c r="C1908" s="52" t="str">
        <f aca="false">IF(B1908="","",IFERROR(INDEX(הגדרות!$A$8:$A$53,MATCH(B1908,הגדרות!$B$8:$B$53,0)),"⚠ לא בהגדרות"))</f>
        <v/>
      </c>
      <c r="D1908" s="51"/>
      <c r="E1908" s="53"/>
      <c r="F1908" s="52" t="str">
        <f aca="false">IF(A1908="","",INDEX(הגדרות!$H$16:$H$27,MONTH(A1908)))</f>
        <v/>
      </c>
    </row>
    <row r="1909" customFormat="false" ht="15" hidden="false" customHeight="false" outlineLevel="0" collapsed="false">
      <c r="A1909" s="55"/>
      <c r="B1909" s="56"/>
      <c r="C1909" s="57" t="str">
        <f aca="false">IF(B1909="","",IFERROR(INDEX(הגדרות!$A$8:$A$53,MATCH(B1909,הגדרות!$B$8:$B$53,0)),"⚠ לא בהגדרות"))</f>
        <v/>
      </c>
      <c r="D1909" s="56"/>
      <c r="E1909" s="58"/>
      <c r="F1909" s="57" t="str">
        <f aca="false">IF(A1909="","",INDEX(הגדרות!$H$16:$H$27,MONTH(A1909)))</f>
        <v/>
      </c>
    </row>
    <row r="1910" customFormat="false" ht="15" hidden="false" customHeight="false" outlineLevel="0" collapsed="false">
      <c r="A1910" s="50"/>
      <c r="B1910" s="51"/>
      <c r="C1910" s="52" t="str">
        <f aca="false">IF(B1910="","",IFERROR(INDEX(הגדרות!$A$8:$A$53,MATCH(B1910,הגדרות!$B$8:$B$53,0)),"⚠ לא בהגדרות"))</f>
        <v/>
      </c>
      <c r="D1910" s="51"/>
      <c r="E1910" s="53"/>
      <c r="F1910" s="52" t="str">
        <f aca="false">IF(A1910="","",INDEX(הגדרות!$H$16:$H$27,MONTH(A1910)))</f>
        <v/>
      </c>
    </row>
    <row r="1911" customFormat="false" ht="15" hidden="false" customHeight="false" outlineLevel="0" collapsed="false">
      <c r="A1911" s="55"/>
      <c r="B1911" s="56"/>
      <c r="C1911" s="57" t="str">
        <f aca="false">IF(B1911="","",IFERROR(INDEX(הגדרות!$A$8:$A$53,MATCH(B1911,הגדרות!$B$8:$B$53,0)),"⚠ לא בהגדרות"))</f>
        <v/>
      </c>
      <c r="D1911" s="56"/>
      <c r="E1911" s="58"/>
      <c r="F1911" s="57" t="str">
        <f aca="false">IF(A1911="","",INDEX(הגדרות!$H$16:$H$27,MONTH(A1911)))</f>
        <v/>
      </c>
    </row>
    <row r="1912" customFormat="false" ht="15" hidden="false" customHeight="false" outlineLevel="0" collapsed="false">
      <c r="A1912" s="50"/>
      <c r="B1912" s="51"/>
      <c r="C1912" s="52" t="str">
        <f aca="false">IF(B1912="","",IFERROR(INDEX(הגדרות!$A$8:$A$53,MATCH(B1912,הגדרות!$B$8:$B$53,0)),"⚠ לא בהגדרות"))</f>
        <v/>
      </c>
      <c r="D1912" s="51"/>
      <c r="E1912" s="53"/>
      <c r="F1912" s="52" t="str">
        <f aca="false">IF(A1912="","",INDEX(הגדרות!$H$16:$H$27,MONTH(A1912)))</f>
        <v/>
      </c>
    </row>
    <row r="1913" customFormat="false" ht="15" hidden="false" customHeight="false" outlineLevel="0" collapsed="false">
      <c r="A1913" s="55"/>
      <c r="B1913" s="56"/>
      <c r="C1913" s="57" t="str">
        <f aca="false">IF(B1913="","",IFERROR(INDEX(הגדרות!$A$8:$A$53,MATCH(B1913,הגדרות!$B$8:$B$53,0)),"⚠ לא בהגדרות"))</f>
        <v/>
      </c>
      <c r="D1913" s="56"/>
      <c r="E1913" s="58"/>
      <c r="F1913" s="57" t="str">
        <f aca="false">IF(A1913="","",INDEX(הגדרות!$H$16:$H$27,MONTH(A1913)))</f>
        <v/>
      </c>
    </row>
    <row r="1914" customFormat="false" ht="15" hidden="false" customHeight="false" outlineLevel="0" collapsed="false">
      <c r="A1914" s="50"/>
      <c r="B1914" s="51"/>
      <c r="C1914" s="52" t="str">
        <f aca="false">IF(B1914="","",IFERROR(INDEX(הגדרות!$A$8:$A$53,MATCH(B1914,הגדרות!$B$8:$B$53,0)),"⚠ לא בהגדרות"))</f>
        <v/>
      </c>
      <c r="D1914" s="51"/>
      <c r="E1914" s="53"/>
      <c r="F1914" s="52" t="str">
        <f aca="false">IF(A1914="","",INDEX(הגדרות!$H$16:$H$27,MONTH(A1914)))</f>
        <v/>
      </c>
    </row>
    <row r="1915" customFormat="false" ht="15" hidden="false" customHeight="false" outlineLevel="0" collapsed="false">
      <c r="A1915" s="55"/>
      <c r="B1915" s="56"/>
      <c r="C1915" s="57" t="str">
        <f aca="false">IF(B1915="","",IFERROR(INDEX(הגדרות!$A$8:$A$53,MATCH(B1915,הגדרות!$B$8:$B$53,0)),"⚠ לא בהגדרות"))</f>
        <v/>
      </c>
      <c r="D1915" s="56"/>
      <c r="E1915" s="58"/>
      <c r="F1915" s="57" t="str">
        <f aca="false">IF(A1915="","",INDEX(הגדרות!$H$16:$H$27,MONTH(A1915)))</f>
        <v/>
      </c>
    </row>
    <row r="1916" customFormat="false" ht="15" hidden="false" customHeight="false" outlineLevel="0" collapsed="false">
      <c r="A1916" s="50"/>
      <c r="B1916" s="51"/>
      <c r="C1916" s="52" t="str">
        <f aca="false">IF(B1916="","",IFERROR(INDEX(הגדרות!$A$8:$A$53,MATCH(B1916,הגדרות!$B$8:$B$53,0)),"⚠ לא בהגדרות"))</f>
        <v/>
      </c>
      <c r="D1916" s="51"/>
      <c r="E1916" s="53"/>
      <c r="F1916" s="52" t="str">
        <f aca="false">IF(A1916="","",INDEX(הגדרות!$H$16:$H$27,MONTH(A1916)))</f>
        <v/>
      </c>
    </row>
    <row r="1917" customFormat="false" ht="15" hidden="false" customHeight="false" outlineLevel="0" collapsed="false">
      <c r="A1917" s="55"/>
      <c r="B1917" s="56"/>
      <c r="C1917" s="57" t="str">
        <f aca="false">IF(B1917="","",IFERROR(INDEX(הגדרות!$A$8:$A$53,MATCH(B1917,הגדרות!$B$8:$B$53,0)),"⚠ לא בהגדרות"))</f>
        <v/>
      </c>
      <c r="D1917" s="56"/>
      <c r="E1917" s="58"/>
      <c r="F1917" s="57" t="str">
        <f aca="false">IF(A1917="","",INDEX(הגדרות!$H$16:$H$27,MONTH(A1917)))</f>
        <v/>
      </c>
    </row>
    <row r="1918" customFormat="false" ht="15" hidden="false" customHeight="false" outlineLevel="0" collapsed="false">
      <c r="A1918" s="50"/>
      <c r="B1918" s="51"/>
      <c r="C1918" s="52" t="str">
        <f aca="false">IF(B1918="","",IFERROR(INDEX(הגדרות!$A$8:$A$53,MATCH(B1918,הגדרות!$B$8:$B$53,0)),"⚠ לא בהגדרות"))</f>
        <v/>
      </c>
      <c r="D1918" s="51"/>
      <c r="E1918" s="53"/>
      <c r="F1918" s="52" t="str">
        <f aca="false">IF(A1918="","",INDEX(הגדרות!$H$16:$H$27,MONTH(A1918)))</f>
        <v/>
      </c>
    </row>
    <row r="1919" customFormat="false" ht="15" hidden="false" customHeight="false" outlineLevel="0" collapsed="false">
      <c r="A1919" s="55"/>
      <c r="B1919" s="56"/>
      <c r="C1919" s="57" t="str">
        <f aca="false">IF(B1919="","",IFERROR(INDEX(הגדרות!$A$8:$A$53,MATCH(B1919,הגדרות!$B$8:$B$53,0)),"⚠ לא בהגדרות"))</f>
        <v/>
      </c>
      <c r="D1919" s="56"/>
      <c r="E1919" s="58"/>
      <c r="F1919" s="57" t="str">
        <f aca="false">IF(A1919="","",INDEX(הגדרות!$H$16:$H$27,MONTH(A1919)))</f>
        <v/>
      </c>
    </row>
    <row r="1920" customFormat="false" ht="15" hidden="false" customHeight="false" outlineLevel="0" collapsed="false">
      <c r="A1920" s="50"/>
      <c r="B1920" s="51"/>
      <c r="C1920" s="52" t="str">
        <f aca="false">IF(B1920="","",IFERROR(INDEX(הגדרות!$A$8:$A$53,MATCH(B1920,הגדרות!$B$8:$B$53,0)),"⚠ לא בהגדרות"))</f>
        <v/>
      </c>
      <c r="D1920" s="51"/>
      <c r="E1920" s="53"/>
      <c r="F1920" s="52" t="str">
        <f aca="false">IF(A1920="","",INDEX(הגדרות!$H$16:$H$27,MONTH(A1920)))</f>
        <v/>
      </c>
    </row>
    <row r="1921" customFormat="false" ht="15" hidden="false" customHeight="false" outlineLevel="0" collapsed="false">
      <c r="A1921" s="55"/>
      <c r="B1921" s="56"/>
      <c r="C1921" s="57" t="str">
        <f aca="false">IF(B1921="","",IFERROR(INDEX(הגדרות!$A$8:$A$53,MATCH(B1921,הגדרות!$B$8:$B$53,0)),"⚠ לא בהגדרות"))</f>
        <v/>
      </c>
      <c r="D1921" s="56"/>
      <c r="E1921" s="58"/>
      <c r="F1921" s="57" t="str">
        <f aca="false">IF(A1921="","",INDEX(הגדרות!$H$16:$H$27,MONTH(A1921)))</f>
        <v/>
      </c>
    </row>
    <row r="1922" customFormat="false" ht="15" hidden="false" customHeight="false" outlineLevel="0" collapsed="false">
      <c r="A1922" s="50"/>
      <c r="B1922" s="51"/>
      <c r="C1922" s="52" t="str">
        <f aca="false">IF(B1922="","",IFERROR(INDEX(הגדרות!$A$8:$A$53,MATCH(B1922,הגדרות!$B$8:$B$53,0)),"⚠ לא בהגדרות"))</f>
        <v/>
      </c>
      <c r="D1922" s="51"/>
      <c r="E1922" s="53"/>
      <c r="F1922" s="52" t="str">
        <f aca="false">IF(A1922="","",INDEX(הגדרות!$H$16:$H$27,MONTH(A1922)))</f>
        <v/>
      </c>
    </row>
    <row r="1923" customFormat="false" ht="15" hidden="false" customHeight="false" outlineLevel="0" collapsed="false">
      <c r="A1923" s="55"/>
      <c r="B1923" s="56"/>
      <c r="C1923" s="57" t="str">
        <f aca="false">IF(B1923="","",IFERROR(INDEX(הגדרות!$A$8:$A$53,MATCH(B1923,הגדרות!$B$8:$B$53,0)),"⚠ לא בהגדרות"))</f>
        <v/>
      </c>
      <c r="D1923" s="56"/>
      <c r="E1923" s="58"/>
      <c r="F1923" s="57" t="str">
        <f aca="false">IF(A1923="","",INDEX(הגדרות!$H$16:$H$27,MONTH(A1923)))</f>
        <v/>
      </c>
    </row>
    <row r="1924" customFormat="false" ht="15" hidden="false" customHeight="false" outlineLevel="0" collapsed="false">
      <c r="A1924" s="50"/>
      <c r="B1924" s="51"/>
      <c r="C1924" s="52" t="str">
        <f aca="false">IF(B1924="","",IFERROR(INDEX(הגדרות!$A$8:$A$53,MATCH(B1924,הגדרות!$B$8:$B$53,0)),"⚠ לא בהגדרות"))</f>
        <v/>
      </c>
      <c r="D1924" s="51"/>
      <c r="E1924" s="53"/>
      <c r="F1924" s="52" t="str">
        <f aca="false">IF(A1924="","",INDEX(הגדרות!$H$16:$H$27,MONTH(A1924)))</f>
        <v/>
      </c>
    </row>
    <row r="1925" customFormat="false" ht="15" hidden="false" customHeight="false" outlineLevel="0" collapsed="false">
      <c r="A1925" s="55"/>
      <c r="B1925" s="56"/>
      <c r="C1925" s="57" t="str">
        <f aca="false">IF(B1925="","",IFERROR(INDEX(הגדרות!$A$8:$A$53,MATCH(B1925,הגדרות!$B$8:$B$53,0)),"⚠ לא בהגדרות"))</f>
        <v/>
      </c>
      <c r="D1925" s="56"/>
      <c r="E1925" s="58"/>
      <c r="F1925" s="57" t="str">
        <f aca="false">IF(A1925="","",INDEX(הגדרות!$H$16:$H$27,MONTH(A1925)))</f>
        <v/>
      </c>
    </row>
    <row r="1926" customFormat="false" ht="15" hidden="false" customHeight="false" outlineLevel="0" collapsed="false">
      <c r="A1926" s="50"/>
      <c r="B1926" s="51"/>
      <c r="C1926" s="52" t="str">
        <f aca="false">IF(B1926="","",IFERROR(INDEX(הגדרות!$A$8:$A$53,MATCH(B1926,הגדרות!$B$8:$B$53,0)),"⚠ לא בהגדרות"))</f>
        <v/>
      </c>
      <c r="D1926" s="51"/>
      <c r="E1926" s="53"/>
      <c r="F1926" s="52" t="str">
        <f aca="false">IF(A1926="","",INDEX(הגדרות!$H$16:$H$27,MONTH(A1926)))</f>
        <v/>
      </c>
    </row>
    <row r="1927" customFormat="false" ht="15" hidden="false" customHeight="false" outlineLevel="0" collapsed="false">
      <c r="A1927" s="55"/>
      <c r="B1927" s="56"/>
      <c r="C1927" s="57" t="str">
        <f aca="false">IF(B1927="","",IFERROR(INDEX(הגדרות!$A$8:$A$53,MATCH(B1927,הגדרות!$B$8:$B$53,0)),"⚠ לא בהגדרות"))</f>
        <v/>
      </c>
      <c r="D1927" s="56"/>
      <c r="E1927" s="58"/>
      <c r="F1927" s="57" t="str">
        <f aca="false">IF(A1927="","",INDEX(הגדרות!$H$16:$H$27,MONTH(A1927)))</f>
        <v/>
      </c>
    </row>
    <row r="1928" customFormat="false" ht="15" hidden="false" customHeight="false" outlineLevel="0" collapsed="false">
      <c r="A1928" s="50"/>
      <c r="B1928" s="51"/>
      <c r="C1928" s="52" t="str">
        <f aca="false">IF(B1928="","",IFERROR(INDEX(הגדרות!$A$8:$A$53,MATCH(B1928,הגדרות!$B$8:$B$53,0)),"⚠ לא בהגדרות"))</f>
        <v/>
      </c>
      <c r="D1928" s="51"/>
      <c r="E1928" s="53"/>
      <c r="F1928" s="52" t="str">
        <f aca="false">IF(A1928="","",INDEX(הגדרות!$H$16:$H$27,MONTH(A1928)))</f>
        <v/>
      </c>
    </row>
    <row r="1929" customFormat="false" ht="15" hidden="false" customHeight="false" outlineLevel="0" collapsed="false">
      <c r="A1929" s="55"/>
      <c r="B1929" s="56"/>
      <c r="C1929" s="57" t="str">
        <f aca="false">IF(B1929="","",IFERROR(INDEX(הגדרות!$A$8:$A$53,MATCH(B1929,הגדרות!$B$8:$B$53,0)),"⚠ לא בהגדרות"))</f>
        <v/>
      </c>
      <c r="D1929" s="56"/>
      <c r="E1929" s="58"/>
      <c r="F1929" s="57" t="str">
        <f aca="false">IF(A1929="","",INDEX(הגדרות!$H$16:$H$27,MONTH(A1929)))</f>
        <v/>
      </c>
    </row>
    <row r="1930" customFormat="false" ht="15" hidden="false" customHeight="false" outlineLevel="0" collapsed="false">
      <c r="A1930" s="50"/>
      <c r="B1930" s="51"/>
      <c r="C1930" s="52" t="str">
        <f aca="false">IF(B1930="","",IFERROR(INDEX(הגדרות!$A$8:$A$53,MATCH(B1930,הגדרות!$B$8:$B$53,0)),"⚠ לא בהגדרות"))</f>
        <v/>
      </c>
      <c r="D1930" s="51"/>
      <c r="E1930" s="53"/>
      <c r="F1930" s="52" t="str">
        <f aca="false">IF(A1930="","",INDEX(הגדרות!$H$16:$H$27,MONTH(A1930)))</f>
        <v/>
      </c>
    </row>
    <row r="1931" customFormat="false" ht="15" hidden="false" customHeight="false" outlineLevel="0" collapsed="false">
      <c r="A1931" s="55"/>
      <c r="B1931" s="56"/>
      <c r="C1931" s="57" t="str">
        <f aca="false">IF(B1931="","",IFERROR(INDEX(הגדרות!$A$8:$A$53,MATCH(B1931,הגדרות!$B$8:$B$53,0)),"⚠ לא בהגדרות"))</f>
        <v/>
      </c>
      <c r="D1931" s="56"/>
      <c r="E1931" s="58"/>
      <c r="F1931" s="57" t="str">
        <f aca="false">IF(A1931="","",INDEX(הגדרות!$H$16:$H$27,MONTH(A1931)))</f>
        <v/>
      </c>
    </row>
    <row r="1932" customFormat="false" ht="15" hidden="false" customHeight="false" outlineLevel="0" collapsed="false">
      <c r="A1932" s="50"/>
      <c r="B1932" s="51"/>
      <c r="C1932" s="52" t="str">
        <f aca="false">IF(B1932="","",IFERROR(INDEX(הגדרות!$A$8:$A$53,MATCH(B1932,הגדרות!$B$8:$B$53,0)),"⚠ לא בהגדרות"))</f>
        <v/>
      </c>
      <c r="D1932" s="51"/>
      <c r="E1932" s="53"/>
      <c r="F1932" s="52" t="str">
        <f aca="false">IF(A1932="","",INDEX(הגדרות!$H$16:$H$27,MONTH(A1932)))</f>
        <v/>
      </c>
    </row>
    <row r="1933" customFormat="false" ht="15" hidden="false" customHeight="false" outlineLevel="0" collapsed="false">
      <c r="A1933" s="55"/>
      <c r="B1933" s="56"/>
      <c r="C1933" s="57" t="str">
        <f aca="false">IF(B1933="","",IFERROR(INDEX(הגדרות!$A$8:$A$53,MATCH(B1933,הגדרות!$B$8:$B$53,0)),"⚠ לא בהגדרות"))</f>
        <v/>
      </c>
      <c r="D1933" s="56"/>
      <c r="E1933" s="58"/>
      <c r="F1933" s="57" t="str">
        <f aca="false">IF(A1933="","",INDEX(הגדרות!$H$16:$H$27,MONTH(A1933)))</f>
        <v/>
      </c>
    </row>
    <row r="1934" customFormat="false" ht="15" hidden="false" customHeight="false" outlineLevel="0" collapsed="false">
      <c r="A1934" s="50"/>
      <c r="B1934" s="51"/>
      <c r="C1934" s="52" t="str">
        <f aca="false">IF(B1934="","",IFERROR(INDEX(הגדרות!$A$8:$A$53,MATCH(B1934,הגדרות!$B$8:$B$53,0)),"⚠ לא בהגדרות"))</f>
        <v/>
      </c>
      <c r="D1934" s="51"/>
      <c r="E1934" s="53"/>
      <c r="F1934" s="52" t="str">
        <f aca="false">IF(A1934="","",INDEX(הגדרות!$H$16:$H$27,MONTH(A1934)))</f>
        <v/>
      </c>
    </row>
    <row r="1935" customFormat="false" ht="15" hidden="false" customHeight="false" outlineLevel="0" collapsed="false">
      <c r="A1935" s="55"/>
      <c r="B1935" s="56"/>
      <c r="C1935" s="57" t="str">
        <f aca="false">IF(B1935="","",IFERROR(INDEX(הגדרות!$A$8:$A$53,MATCH(B1935,הגדרות!$B$8:$B$53,0)),"⚠ לא בהגדרות"))</f>
        <v/>
      </c>
      <c r="D1935" s="56"/>
      <c r="E1935" s="58"/>
      <c r="F1935" s="57" t="str">
        <f aca="false">IF(A1935="","",INDEX(הגדרות!$H$16:$H$27,MONTH(A1935)))</f>
        <v/>
      </c>
    </row>
    <row r="1936" customFormat="false" ht="15" hidden="false" customHeight="false" outlineLevel="0" collapsed="false">
      <c r="A1936" s="50"/>
      <c r="B1936" s="51"/>
      <c r="C1936" s="52" t="str">
        <f aca="false">IF(B1936="","",IFERROR(INDEX(הגדרות!$A$8:$A$53,MATCH(B1936,הגדרות!$B$8:$B$53,0)),"⚠ לא בהגדרות"))</f>
        <v/>
      </c>
      <c r="D1936" s="51"/>
      <c r="E1936" s="53"/>
      <c r="F1936" s="52" t="str">
        <f aca="false">IF(A1936="","",INDEX(הגדרות!$H$16:$H$27,MONTH(A1936)))</f>
        <v/>
      </c>
    </row>
    <row r="1937" customFormat="false" ht="15" hidden="false" customHeight="false" outlineLevel="0" collapsed="false">
      <c r="A1937" s="55"/>
      <c r="B1937" s="56"/>
      <c r="C1937" s="57" t="str">
        <f aca="false">IF(B1937="","",IFERROR(INDEX(הגדרות!$A$8:$A$53,MATCH(B1937,הגדרות!$B$8:$B$53,0)),"⚠ לא בהגדרות"))</f>
        <v/>
      </c>
      <c r="D1937" s="56"/>
      <c r="E1937" s="58"/>
      <c r="F1937" s="57" t="str">
        <f aca="false">IF(A1937="","",INDEX(הגדרות!$H$16:$H$27,MONTH(A1937)))</f>
        <v/>
      </c>
    </row>
    <row r="1938" customFormat="false" ht="15" hidden="false" customHeight="false" outlineLevel="0" collapsed="false">
      <c r="A1938" s="50"/>
      <c r="B1938" s="51"/>
      <c r="C1938" s="52" t="str">
        <f aca="false">IF(B1938="","",IFERROR(INDEX(הגדרות!$A$8:$A$53,MATCH(B1938,הגדרות!$B$8:$B$53,0)),"⚠ לא בהגדרות"))</f>
        <v/>
      </c>
      <c r="D1938" s="51"/>
      <c r="E1938" s="53"/>
      <c r="F1938" s="52" t="str">
        <f aca="false">IF(A1938="","",INDEX(הגדרות!$H$16:$H$27,MONTH(A1938)))</f>
        <v/>
      </c>
    </row>
    <row r="1939" customFormat="false" ht="15" hidden="false" customHeight="false" outlineLevel="0" collapsed="false">
      <c r="A1939" s="55"/>
      <c r="B1939" s="56"/>
      <c r="C1939" s="57" t="str">
        <f aca="false">IF(B1939="","",IFERROR(INDEX(הגדרות!$A$8:$A$53,MATCH(B1939,הגדרות!$B$8:$B$53,0)),"⚠ לא בהגדרות"))</f>
        <v/>
      </c>
      <c r="D1939" s="56"/>
      <c r="E1939" s="58"/>
      <c r="F1939" s="57" t="str">
        <f aca="false">IF(A1939="","",INDEX(הגדרות!$H$16:$H$27,MONTH(A1939)))</f>
        <v/>
      </c>
    </row>
    <row r="1940" customFormat="false" ht="15" hidden="false" customHeight="false" outlineLevel="0" collapsed="false">
      <c r="A1940" s="50"/>
      <c r="B1940" s="51"/>
      <c r="C1940" s="52" t="str">
        <f aca="false">IF(B1940="","",IFERROR(INDEX(הגדרות!$A$8:$A$53,MATCH(B1940,הגדרות!$B$8:$B$53,0)),"⚠ לא בהגדרות"))</f>
        <v/>
      </c>
      <c r="D1940" s="51"/>
      <c r="E1940" s="53"/>
      <c r="F1940" s="52" t="str">
        <f aca="false">IF(A1940="","",INDEX(הגדרות!$H$16:$H$27,MONTH(A1940)))</f>
        <v/>
      </c>
    </row>
    <row r="1941" customFormat="false" ht="15" hidden="false" customHeight="false" outlineLevel="0" collapsed="false">
      <c r="A1941" s="55"/>
      <c r="B1941" s="56"/>
      <c r="C1941" s="57" t="str">
        <f aca="false">IF(B1941="","",IFERROR(INDEX(הגדרות!$A$8:$A$53,MATCH(B1941,הגדרות!$B$8:$B$53,0)),"⚠ לא בהגדרות"))</f>
        <v/>
      </c>
      <c r="D1941" s="56"/>
      <c r="E1941" s="58"/>
      <c r="F1941" s="57" t="str">
        <f aca="false">IF(A1941="","",INDEX(הגדרות!$H$16:$H$27,MONTH(A1941)))</f>
        <v/>
      </c>
    </row>
    <row r="1942" customFormat="false" ht="15" hidden="false" customHeight="false" outlineLevel="0" collapsed="false">
      <c r="A1942" s="50"/>
      <c r="B1942" s="51"/>
      <c r="C1942" s="52" t="str">
        <f aca="false">IF(B1942="","",IFERROR(INDEX(הגדרות!$A$8:$A$53,MATCH(B1942,הגדרות!$B$8:$B$53,0)),"⚠ לא בהגדרות"))</f>
        <v/>
      </c>
      <c r="D1942" s="51"/>
      <c r="E1942" s="53"/>
      <c r="F1942" s="52" t="str">
        <f aca="false">IF(A1942="","",INDEX(הגדרות!$H$16:$H$27,MONTH(A1942)))</f>
        <v/>
      </c>
    </row>
    <row r="1943" customFormat="false" ht="15" hidden="false" customHeight="false" outlineLevel="0" collapsed="false">
      <c r="A1943" s="55"/>
      <c r="B1943" s="56"/>
      <c r="C1943" s="57" t="str">
        <f aca="false">IF(B1943="","",IFERROR(INDEX(הגדרות!$A$8:$A$53,MATCH(B1943,הגדרות!$B$8:$B$53,0)),"⚠ לא בהגדרות"))</f>
        <v/>
      </c>
      <c r="D1943" s="56"/>
      <c r="E1943" s="58"/>
      <c r="F1943" s="57" t="str">
        <f aca="false">IF(A1943="","",INDEX(הגדרות!$H$16:$H$27,MONTH(A1943)))</f>
        <v/>
      </c>
    </row>
    <row r="1944" customFormat="false" ht="15" hidden="false" customHeight="false" outlineLevel="0" collapsed="false">
      <c r="A1944" s="50"/>
      <c r="B1944" s="51"/>
      <c r="C1944" s="52" t="str">
        <f aca="false">IF(B1944="","",IFERROR(INDEX(הגדרות!$A$8:$A$53,MATCH(B1944,הגדרות!$B$8:$B$53,0)),"⚠ לא בהגדרות"))</f>
        <v/>
      </c>
      <c r="D1944" s="51"/>
      <c r="E1944" s="53"/>
      <c r="F1944" s="52" t="str">
        <f aca="false">IF(A1944="","",INDEX(הגדרות!$H$16:$H$27,MONTH(A1944)))</f>
        <v/>
      </c>
    </row>
    <row r="1945" customFormat="false" ht="15" hidden="false" customHeight="false" outlineLevel="0" collapsed="false">
      <c r="A1945" s="55"/>
      <c r="B1945" s="56"/>
      <c r="C1945" s="57" t="str">
        <f aca="false">IF(B1945="","",IFERROR(INDEX(הגדרות!$A$8:$A$53,MATCH(B1945,הגדרות!$B$8:$B$53,0)),"⚠ לא בהגדרות"))</f>
        <v/>
      </c>
      <c r="D1945" s="56"/>
      <c r="E1945" s="58"/>
      <c r="F1945" s="57" t="str">
        <f aca="false">IF(A1945="","",INDEX(הגדרות!$H$16:$H$27,MONTH(A1945)))</f>
        <v/>
      </c>
    </row>
    <row r="1946" customFormat="false" ht="15" hidden="false" customHeight="false" outlineLevel="0" collapsed="false">
      <c r="A1946" s="50"/>
      <c r="B1946" s="51"/>
      <c r="C1946" s="52" t="str">
        <f aca="false">IF(B1946="","",IFERROR(INDEX(הגדרות!$A$8:$A$53,MATCH(B1946,הגדרות!$B$8:$B$53,0)),"⚠ לא בהגדרות"))</f>
        <v/>
      </c>
      <c r="D1946" s="51"/>
      <c r="E1946" s="53"/>
      <c r="F1946" s="52" t="str">
        <f aca="false">IF(A1946="","",INDEX(הגדרות!$H$16:$H$27,MONTH(A1946)))</f>
        <v/>
      </c>
    </row>
    <row r="1947" customFormat="false" ht="15" hidden="false" customHeight="false" outlineLevel="0" collapsed="false">
      <c r="A1947" s="55"/>
      <c r="B1947" s="56"/>
      <c r="C1947" s="57" t="str">
        <f aca="false">IF(B1947="","",IFERROR(INDEX(הגדרות!$A$8:$A$53,MATCH(B1947,הגדרות!$B$8:$B$53,0)),"⚠ לא בהגדרות"))</f>
        <v/>
      </c>
      <c r="D1947" s="56"/>
      <c r="E1947" s="58"/>
      <c r="F1947" s="57" t="str">
        <f aca="false">IF(A1947="","",INDEX(הגדרות!$H$16:$H$27,MONTH(A1947)))</f>
        <v/>
      </c>
    </row>
    <row r="1948" customFormat="false" ht="15" hidden="false" customHeight="false" outlineLevel="0" collapsed="false">
      <c r="A1948" s="50"/>
      <c r="B1948" s="51"/>
      <c r="C1948" s="52" t="str">
        <f aca="false">IF(B1948="","",IFERROR(INDEX(הגדרות!$A$8:$A$53,MATCH(B1948,הגדרות!$B$8:$B$53,0)),"⚠ לא בהגדרות"))</f>
        <v/>
      </c>
      <c r="D1948" s="51"/>
      <c r="E1948" s="53"/>
      <c r="F1948" s="52" t="str">
        <f aca="false">IF(A1948="","",INDEX(הגדרות!$H$16:$H$27,MONTH(A1948)))</f>
        <v/>
      </c>
    </row>
    <row r="1949" customFormat="false" ht="15" hidden="false" customHeight="false" outlineLevel="0" collapsed="false">
      <c r="A1949" s="55"/>
      <c r="B1949" s="56"/>
      <c r="C1949" s="57" t="str">
        <f aca="false">IF(B1949="","",IFERROR(INDEX(הגדרות!$A$8:$A$53,MATCH(B1949,הגדרות!$B$8:$B$53,0)),"⚠ לא בהגדרות"))</f>
        <v/>
      </c>
      <c r="D1949" s="56"/>
      <c r="E1949" s="58"/>
      <c r="F1949" s="57" t="str">
        <f aca="false">IF(A1949="","",INDEX(הגדרות!$H$16:$H$27,MONTH(A1949)))</f>
        <v/>
      </c>
    </row>
    <row r="1950" customFormat="false" ht="15" hidden="false" customHeight="false" outlineLevel="0" collapsed="false">
      <c r="A1950" s="50"/>
      <c r="B1950" s="51"/>
      <c r="C1950" s="52" t="str">
        <f aca="false">IF(B1950="","",IFERROR(INDEX(הגדרות!$A$8:$A$53,MATCH(B1950,הגדרות!$B$8:$B$53,0)),"⚠ לא בהגדרות"))</f>
        <v/>
      </c>
      <c r="D1950" s="51"/>
      <c r="E1950" s="53"/>
      <c r="F1950" s="52" t="str">
        <f aca="false">IF(A1950="","",INDEX(הגדרות!$H$16:$H$27,MONTH(A1950)))</f>
        <v/>
      </c>
    </row>
    <row r="1951" customFormat="false" ht="15" hidden="false" customHeight="false" outlineLevel="0" collapsed="false">
      <c r="A1951" s="55"/>
      <c r="B1951" s="56"/>
      <c r="C1951" s="57" t="str">
        <f aca="false">IF(B1951="","",IFERROR(INDEX(הגדרות!$A$8:$A$53,MATCH(B1951,הגדרות!$B$8:$B$53,0)),"⚠ לא בהגדרות"))</f>
        <v/>
      </c>
      <c r="D1951" s="56"/>
      <c r="E1951" s="58"/>
      <c r="F1951" s="57" t="str">
        <f aca="false">IF(A1951="","",INDEX(הגדרות!$H$16:$H$27,MONTH(A1951)))</f>
        <v/>
      </c>
    </row>
    <row r="1952" customFormat="false" ht="15" hidden="false" customHeight="false" outlineLevel="0" collapsed="false">
      <c r="A1952" s="50"/>
      <c r="B1952" s="51"/>
      <c r="C1952" s="52" t="str">
        <f aca="false">IF(B1952="","",IFERROR(INDEX(הגדרות!$A$8:$A$53,MATCH(B1952,הגדרות!$B$8:$B$53,0)),"⚠ לא בהגדרות"))</f>
        <v/>
      </c>
      <c r="D1952" s="51"/>
      <c r="E1952" s="53"/>
      <c r="F1952" s="52" t="str">
        <f aca="false">IF(A1952="","",INDEX(הגדרות!$H$16:$H$27,MONTH(A1952)))</f>
        <v/>
      </c>
    </row>
    <row r="1953" customFormat="false" ht="15" hidden="false" customHeight="false" outlineLevel="0" collapsed="false">
      <c r="A1953" s="55"/>
      <c r="B1953" s="56"/>
      <c r="C1953" s="57" t="str">
        <f aca="false">IF(B1953="","",IFERROR(INDEX(הגדרות!$A$8:$A$53,MATCH(B1953,הגדרות!$B$8:$B$53,0)),"⚠ לא בהגדרות"))</f>
        <v/>
      </c>
      <c r="D1953" s="56"/>
      <c r="E1953" s="58"/>
      <c r="F1953" s="57" t="str">
        <f aca="false">IF(A1953="","",INDEX(הגדרות!$H$16:$H$27,MONTH(A1953)))</f>
        <v/>
      </c>
    </row>
    <row r="1954" customFormat="false" ht="15" hidden="false" customHeight="false" outlineLevel="0" collapsed="false">
      <c r="A1954" s="50"/>
      <c r="B1954" s="51"/>
      <c r="C1954" s="52" t="str">
        <f aca="false">IF(B1954="","",IFERROR(INDEX(הגדרות!$A$8:$A$53,MATCH(B1954,הגדרות!$B$8:$B$53,0)),"⚠ לא בהגדרות"))</f>
        <v/>
      </c>
      <c r="D1954" s="51"/>
      <c r="E1954" s="53"/>
      <c r="F1954" s="52" t="str">
        <f aca="false">IF(A1954="","",INDEX(הגדרות!$H$16:$H$27,MONTH(A1954)))</f>
        <v/>
      </c>
    </row>
    <row r="1955" customFormat="false" ht="15" hidden="false" customHeight="false" outlineLevel="0" collapsed="false">
      <c r="A1955" s="55"/>
      <c r="B1955" s="56"/>
      <c r="C1955" s="57" t="str">
        <f aca="false">IF(B1955="","",IFERROR(INDEX(הגדרות!$A$8:$A$53,MATCH(B1955,הגדרות!$B$8:$B$53,0)),"⚠ לא בהגדרות"))</f>
        <v/>
      </c>
      <c r="D1955" s="56"/>
      <c r="E1955" s="58"/>
      <c r="F1955" s="57" t="str">
        <f aca="false">IF(A1955="","",INDEX(הגדרות!$H$16:$H$27,MONTH(A1955)))</f>
        <v/>
      </c>
    </row>
    <row r="1956" customFormat="false" ht="15" hidden="false" customHeight="false" outlineLevel="0" collapsed="false">
      <c r="A1956" s="50"/>
      <c r="B1956" s="51"/>
      <c r="C1956" s="52" t="str">
        <f aca="false">IF(B1956="","",IFERROR(INDEX(הגדרות!$A$8:$A$53,MATCH(B1956,הגדרות!$B$8:$B$53,0)),"⚠ לא בהגדרות"))</f>
        <v/>
      </c>
      <c r="D1956" s="51"/>
      <c r="E1956" s="53"/>
      <c r="F1956" s="52" t="str">
        <f aca="false">IF(A1956="","",INDEX(הגדרות!$H$16:$H$27,MONTH(A1956)))</f>
        <v/>
      </c>
    </row>
    <row r="1957" customFormat="false" ht="15" hidden="false" customHeight="false" outlineLevel="0" collapsed="false">
      <c r="A1957" s="55"/>
      <c r="B1957" s="56"/>
      <c r="C1957" s="57" t="str">
        <f aca="false">IF(B1957="","",IFERROR(INDEX(הגדרות!$A$8:$A$53,MATCH(B1957,הגדרות!$B$8:$B$53,0)),"⚠ לא בהגדרות"))</f>
        <v/>
      </c>
      <c r="D1957" s="56"/>
      <c r="E1957" s="58"/>
      <c r="F1957" s="57" t="str">
        <f aca="false">IF(A1957="","",INDEX(הגדרות!$H$16:$H$27,MONTH(A1957)))</f>
        <v/>
      </c>
    </row>
    <row r="1958" customFormat="false" ht="15" hidden="false" customHeight="false" outlineLevel="0" collapsed="false">
      <c r="A1958" s="50"/>
      <c r="B1958" s="51"/>
      <c r="C1958" s="52" t="str">
        <f aca="false">IF(B1958="","",IFERROR(INDEX(הגדרות!$A$8:$A$53,MATCH(B1958,הגדרות!$B$8:$B$53,0)),"⚠ לא בהגדרות"))</f>
        <v/>
      </c>
      <c r="D1958" s="51"/>
      <c r="E1958" s="53"/>
      <c r="F1958" s="52" t="str">
        <f aca="false">IF(A1958="","",INDEX(הגדרות!$H$16:$H$27,MONTH(A1958)))</f>
        <v/>
      </c>
    </row>
    <row r="1959" customFormat="false" ht="15" hidden="false" customHeight="false" outlineLevel="0" collapsed="false">
      <c r="A1959" s="55"/>
      <c r="B1959" s="56"/>
      <c r="C1959" s="57" t="str">
        <f aca="false">IF(B1959="","",IFERROR(INDEX(הגדרות!$A$8:$A$53,MATCH(B1959,הגדרות!$B$8:$B$53,0)),"⚠ לא בהגדרות"))</f>
        <v/>
      </c>
      <c r="D1959" s="56"/>
      <c r="E1959" s="58"/>
      <c r="F1959" s="57" t="str">
        <f aca="false">IF(A1959="","",INDEX(הגדרות!$H$16:$H$27,MONTH(A1959)))</f>
        <v/>
      </c>
    </row>
    <row r="1960" customFormat="false" ht="15" hidden="false" customHeight="false" outlineLevel="0" collapsed="false">
      <c r="A1960" s="50"/>
      <c r="B1960" s="51"/>
      <c r="C1960" s="52" t="str">
        <f aca="false">IF(B1960="","",IFERROR(INDEX(הגדרות!$A$8:$A$53,MATCH(B1960,הגדרות!$B$8:$B$53,0)),"⚠ לא בהגדרות"))</f>
        <v/>
      </c>
      <c r="D1960" s="51"/>
      <c r="E1960" s="53"/>
      <c r="F1960" s="52" t="str">
        <f aca="false">IF(A1960="","",INDEX(הגדרות!$H$16:$H$27,MONTH(A1960)))</f>
        <v/>
      </c>
    </row>
    <row r="1961" customFormat="false" ht="15" hidden="false" customHeight="false" outlineLevel="0" collapsed="false">
      <c r="A1961" s="55"/>
      <c r="B1961" s="56"/>
      <c r="C1961" s="57" t="str">
        <f aca="false">IF(B1961="","",IFERROR(INDEX(הגדרות!$A$8:$A$53,MATCH(B1961,הגדרות!$B$8:$B$53,0)),"⚠ לא בהגדרות"))</f>
        <v/>
      </c>
      <c r="D1961" s="56"/>
      <c r="E1961" s="58"/>
      <c r="F1961" s="57" t="str">
        <f aca="false">IF(A1961="","",INDEX(הגדרות!$H$16:$H$27,MONTH(A1961)))</f>
        <v/>
      </c>
    </row>
    <row r="1962" customFormat="false" ht="15" hidden="false" customHeight="false" outlineLevel="0" collapsed="false">
      <c r="A1962" s="50"/>
      <c r="B1962" s="51"/>
      <c r="C1962" s="52" t="str">
        <f aca="false">IF(B1962="","",IFERROR(INDEX(הגדרות!$A$8:$A$53,MATCH(B1962,הגדרות!$B$8:$B$53,0)),"⚠ לא בהגדרות"))</f>
        <v/>
      </c>
      <c r="D1962" s="51"/>
      <c r="E1962" s="53"/>
      <c r="F1962" s="52" t="str">
        <f aca="false">IF(A1962="","",INDEX(הגדרות!$H$16:$H$27,MONTH(A1962)))</f>
        <v/>
      </c>
    </row>
    <row r="1963" customFormat="false" ht="15" hidden="false" customHeight="false" outlineLevel="0" collapsed="false">
      <c r="A1963" s="55"/>
      <c r="B1963" s="56"/>
      <c r="C1963" s="57" t="str">
        <f aca="false">IF(B1963="","",IFERROR(INDEX(הגדרות!$A$8:$A$53,MATCH(B1963,הגדרות!$B$8:$B$53,0)),"⚠ לא בהגדרות"))</f>
        <v/>
      </c>
      <c r="D1963" s="56"/>
      <c r="E1963" s="58"/>
      <c r="F1963" s="57" t="str">
        <f aca="false">IF(A1963="","",INDEX(הגדרות!$H$16:$H$27,MONTH(A1963)))</f>
        <v/>
      </c>
    </row>
    <row r="1964" customFormat="false" ht="15" hidden="false" customHeight="false" outlineLevel="0" collapsed="false">
      <c r="A1964" s="50"/>
      <c r="B1964" s="51"/>
      <c r="C1964" s="52" t="str">
        <f aca="false">IF(B1964="","",IFERROR(INDEX(הגדרות!$A$8:$A$53,MATCH(B1964,הגדרות!$B$8:$B$53,0)),"⚠ לא בהגדרות"))</f>
        <v/>
      </c>
      <c r="D1964" s="51"/>
      <c r="E1964" s="53"/>
      <c r="F1964" s="52" t="str">
        <f aca="false">IF(A1964="","",INDEX(הגדרות!$H$16:$H$27,MONTH(A1964)))</f>
        <v/>
      </c>
    </row>
    <row r="1965" customFormat="false" ht="15" hidden="false" customHeight="false" outlineLevel="0" collapsed="false">
      <c r="A1965" s="55"/>
      <c r="B1965" s="56"/>
      <c r="C1965" s="57" t="str">
        <f aca="false">IF(B1965="","",IFERROR(INDEX(הגדרות!$A$8:$A$53,MATCH(B1965,הגדרות!$B$8:$B$53,0)),"⚠ לא בהגדרות"))</f>
        <v/>
      </c>
      <c r="D1965" s="56"/>
      <c r="E1965" s="58"/>
      <c r="F1965" s="57" t="str">
        <f aca="false">IF(A1965="","",INDEX(הגדרות!$H$16:$H$27,MONTH(A1965)))</f>
        <v/>
      </c>
    </row>
    <row r="1966" customFormat="false" ht="15" hidden="false" customHeight="false" outlineLevel="0" collapsed="false">
      <c r="A1966" s="50"/>
      <c r="B1966" s="51"/>
      <c r="C1966" s="52" t="str">
        <f aca="false">IF(B1966="","",IFERROR(INDEX(הגדרות!$A$8:$A$53,MATCH(B1966,הגדרות!$B$8:$B$53,0)),"⚠ לא בהגדרות"))</f>
        <v/>
      </c>
      <c r="D1966" s="51"/>
      <c r="E1966" s="53"/>
      <c r="F1966" s="52" t="str">
        <f aca="false">IF(A1966="","",INDEX(הגדרות!$H$16:$H$27,MONTH(A1966)))</f>
        <v/>
      </c>
    </row>
    <row r="1967" customFormat="false" ht="15" hidden="false" customHeight="false" outlineLevel="0" collapsed="false">
      <c r="A1967" s="55"/>
      <c r="B1967" s="56"/>
      <c r="C1967" s="57" t="str">
        <f aca="false">IF(B1967="","",IFERROR(INDEX(הגדרות!$A$8:$A$53,MATCH(B1967,הגדרות!$B$8:$B$53,0)),"⚠ לא בהגדרות"))</f>
        <v/>
      </c>
      <c r="D1967" s="56"/>
      <c r="E1967" s="58"/>
      <c r="F1967" s="57" t="str">
        <f aca="false">IF(A1967="","",INDEX(הגדרות!$H$16:$H$27,MONTH(A1967)))</f>
        <v/>
      </c>
    </row>
    <row r="1968" customFormat="false" ht="15" hidden="false" customHeight="false" outlineLevel="0" collapsed="false">
      <c r="A1968" s="50"/>
      <c r="B1968" s="51"/>
      <c r="C1968" s="52" t="str">
        <f aca="false">IF(B1968="","",IFERROR(INDEX(הגדרות!$A$8:$A$53,MATCH(B1968,הגדרות!$B$8:$B$53,0)),"⚠ לא בהגדרות"))</f>
        <v/>
      </c>
      <c r="D1968" s="51"/>
      <c r="E1968" s="53"/>
      <c r="F1968" s="52" t="str">
        <f aca="false">IF(A1968="","",INDEX(הגדרות!$H$16:$H$27,MONTH(A1968)))</f>
        <v/>
      </c>
    </row>
    <row r="1969" customFormat="false" ht="15" hidden="false" customHeight="false" outlineLevel="0" collapsed="false">
      <c r="A1969" s="55"/>
      <c r="B1969" s="56"/>
      <c r="C1969" s="57" t="str">
        <f aca="false">IF(B1969="","",IFERROR(INDEX(הגדרות!$A$8:$A$53,MATCH(B1969,הגדרות!$B$8:$B$53,0)),"⚠ לא בהגדרות"))</f>
        <v/>
      </c>
      <c r="D1969" s="56"/>
      <c r="E1969" s="58"/>
      <c r="F1969" s="57" t="str">
        <f aca="false">IF(A1969="","",INDEX(הגדרות!$H$16:$H$27,MONTH(A1969)))</f>
        <v/>
      </c>
    </row>
    <row r="1970" customFormat="false" ht="15" hidden="false" customHeight="false" outlineLevel="0" collapsed="false">
      <c r="A1970" s="50"/>
      <c r="B1970" s="51"/>
      <c r="C1970" s="52" t="str">
        <f aca="false">IF(B1970="","",IFERROR(INDEX(הגדרות!$A$8:$A$53,MATCH(B1970,הגדרות!$B$8:$B$53,0)),"⚠ לא בהגדרות"))</f>
        <v/>
      </c>
      <c r="D1970" s="51"/>
      <c r="E1970" s="53"/>
      <c r="F1970" s="52" t="str">
        <f aca="false">IF(A1970="","",INDEX(הגדרות!$H$16:$H$27,MONTH(A1970)))</f>
        <v/>
      </c>
    </row>
    <row r="1971" customFormat="false" ht="15" hidden="false" customHeight="false" outlineLevel="0" collapsed="false">
      <c r="A1971" s="55"/>
      <c r="B1971" s="56"/>
      <c r="C1971" s="57" t="str">
        <f aca="false">IF(B1971="","",IFERROR(INDEX(הגדרות!$A$8:$A$53,MATCH(B1971,הגדרות!$B$8:$B$53,0)),"⚠ לא בהגדרות"))</f>
        <v/>
      </c>
      <c r="D1971" s="56"/>
      <c r="E1971" s="58"/>
      <c r="F1971" s="57" t="str">
        <f aca="false">IF(A1971="","",INDEX(הגדרות!$H$16:$H$27,MONTH(A1971)))</f>
        <v/>
      </c>
    </row>
    <row r="1972" customFormat="false" ht="15" hidden="false" customHeight="false" outlineLevel="0" collapsed="false">
      <c r="A1972" s="50"/>
      <c r="B1972" s="51"/>
      <c r="C1972" s="52" t="str">
        <f aca="false">IF(B1972="","",IFERROR(INDEX(הגדרות!$A$8:$A$53,MATCH(B1972,הגדרות!$B$8:$B$53,0)),"⚠ לא בהגדרות"))</f>
        <v/>
      </c>
      <c r="D1972" s="51"/>
      <c r="E1972" s="53"/>
      <c r="F1972" s="52" t="str">
        <f aca="false">IF(A1972="","",INDEX(הגדרות!$H$16:$H$27,MONTH(A1972)))</f>
        <v/>
      </c>
    </row>
    <row r="1973" customFormat="false" ht="15" hidden="false" customHeight="false" outlineLevel="0" collapsed="false">
      <c r="A1973" s="55"/>
      <c r="B1973" s="56"/>
      <c r="C1973" s="57" t="str">
        <f aca="false">IF(B1973="","",IFERROR(INDEX(הגדרות!$A$8:$A$53,MATCH(B1973,הגדרות!$B$8:$B$53,0)),"⚠ לא בהגדרות"))</f>
        <v/>
      </c>
      <c r="D1973" s="56"/>
      <c r="E1973" s="58"/>
      <c r="F1973" s="57" t="str">
        <f aca="false">IF(A1973="","",INDEX(הגדרות!$H$16:$H$27,MONTH(A1973)))</f>
        <v/>
      </c>
    </row>
    <row r="1974" customFormat="false" ht="15" hidden="false" customHeight="false" outlineLevel="0" collapsed="false">
      <c r="A1974" s="50"/>
      <c r="B1974" s="51"/>
      <c r="C1974" s="52" t="str">
        <f aca="false">IF(B1974="","",IFERROR(INDEX(הגדרות!$A$8:$A$53,MATCH(B1974,הגדרות!$B$8:$B$53,0)),"⚠ לא בהגדרות"))</f>
        <v/>
      </c>
      <c r="D1974" s="51"/>
      <c r="E1974" s="53"/>
      <c r="F1974" s="52" t="str">
        <f aca="false">IF(A1974="","",INDEX(הגדרות!$H$16:$H$27,MONTH(A1974)))</f>
        <v/>
      </c>
    </row>
    <row r="1975" customFormat="false" ht="15" hidden="false" customHeight="false" outlineLevel="0" collapsed="false">
      <c r="A1975" s="55"/>
      <c r="B1975" s="56"/>
      <c r="C1975" s="57" t="str">
        <f aca="false">IF(B1975="","",IFERROR(INDEX(הגדרות!$A$8:$A$53,MATCH(B1975,הגדרות!$B$8:$B$53,0)),"⚠ לא בהגדרות"))</f>
        <v/>
      </c>
      <c r="D1975" s="56"/>
      <c r="E1975" s="58"/>
      <c r="F1975" s="57" t="str">
        <f aca="false">IF(A1975="","",INDEX(הגדרות!$H$16:$H$27,MONTH(A1975)))</f>
        <v/>
      </c>
    </row>
    <row r="1976" customFormat="false" ht="15" hidden="false" customHeight="false" outlineLevel="0" collapsed="false">
      <c r="A1976" s="50"/>
      <c r="B1976" s="51"/>
      <c r="C1976" s="52" t="str">
        <f aca="false">IF(B1976="","",IFERROR(INDEX(הגדרות!$A$8:$A$53,MATCH(B1976,הגדרות!$B$8:$B$53,0)),"⚠ לא בהגדרות"))</f>
        <v/>
      </c>
      <c r="D1976" s="51"/>
      <c r="E1976" s="53"/>
      <c r="F1976" s="52" t="str">
        <f aca="false">IF(A1976="","",INDEX(הגדרות!$H$16:$H$27,MONTH(A1976)))</f>
        <v/>
      </c>
    </row>
    <row r="1977" customFormat="false" ht="15" hidden="false" customHeight="false" outlineLevel="0" collapsed="false">
      <c r="A1977" s="55"/>
      <c r="B1977" s="56"/>
      <c r="C1977" s="57" t="str">
        <f aca="false">IF(B1977="","",IFERROR(INDEX(הגדרות!$A$8:$A$53,MATCH(B1977,הגדרות!$B$8:$B$53,0)),"⚠ לא בהגדרות"))</f>
        <v/>
      </c>
      <c r="D1977" s="56"/>
      <c r="E1977" s="58"/>
      <c r="F1977" s="57" t="str">
        <f aca="false">IF(A1977="","",INDEX(הגדרות!$H$16:$H$27,MONTH(A1977)))</f>
        <v/>
      </c>
    </row>
    <row r="1978" customFormat="false" ht="15" hidden="false" customHeight="false" outlineLevel="0" collapsed="false">
      <c r="A1978" s="50"/>
      <c r="B1978" s="51"/>
      <c r="C1978" s="52" t="str">
        <f aca="false">IF(B1978="","",IFERROR(INDEX(הגדרות!$A$8:$A$53,MATCH(B1978,הגדרות!$B$8:$B$53,0)),"⚠ לא בהגדרות"))</f>
        <v/>
      </c>
      <c r="D1978" s="51"/>
      <c r="E1978" s="53"/>
      <c r="F1978" s="52" t="str">
        <f aca="false">IF(A1978="","",INDEX(הגדרות!$H$16:$H$27,MONTH(A1978)))</f>
        <v/>
      </c>
    </row>
    <row r="1979" customFormat="false" ht="15" hidden="false" customHeight="false" outlineLevel="0" collapsed="false">
      <c r="A1979" s="55"/>
      <c r="B1979" s="56"/>
      <c r="C1979" s="57" t="str">
        <f aca="false">IF(B1979="","",IFERROR(INDEX(הגדרות!$A$8:$A$53,MATCH(B1979,הגדרות!$B$8:$B$53,0)),"⚠ לא בהגדרות"))</f>
        <v/>
      </c>
      <c r="D1979" s="56"/>
      <c r="E1979" s="58"/>
      <c r="F1979" s="57" t="str">
        <f aca="false">IF(A1979="","",INDEX(הגדרות!$H$16:$H$27,MONTH(A1979)))</f>
        <v/>
      </c>
    </row>
    <row r="1980" customFormat="false" ht="15" hidden="false" customHeight="false" outlineLevel="0" collapsed="false">
      <c r="A1980" s="50"/>
      <c r="B1980" s="51"/>
      <c r="C1980" s="52" t="str">
        <f aca="false">IF(B1980="","",IFERROR(INDEX(הגדרות!$A$8:$A$53,MATCH(B1980,הגדרות!$B$8:$B$53,0)),"⚠ לא בהגדרות"))</f>
        <v/>
      </c>
      <c r="D1980" s="51"/>
      <c r="E1980" s="53"/>
      <c r="F1980" s="52" t="str">
        <f aca="false">IF(A1980="","",INDEX(הגדרות!$H$16:$H$27,MONTH(A1980)))</f>
        <v/>
      </c>
    </row>
    <row r="1981" customFormat="false" ht="15" hidden="false" customHeight="false" outlineLevel="0" collapsed="false">
      <c r="A1981" s="55"/>
      <c r="B1981" s="56"/>
      <c r="C1981" s="57" t="str">
        <f aca="false">IF(B1981="","",IFERROR(INDEX(הגדרות!$A$8:$A$53,MATCH(B1981,הגדרות!$B$8:$B$53,0)),"⚠ לא בהגדרות"))</f>
        <v/>
      </c>
      <c r="D1981" s="56"/>
      <c r="E1981" s="58"/>
      <c r="F1981" s="57" t="str">
        <f aca="false">IF(A1981="","",INDEX(הגדרות!$H$16:$H$27,MONTH(A1981)))</f>
        <v/>
      </c>
    </row>
    <row r="1982" customFormat="false" ht="15" hidden="false" customHeight="false" outlineLevel="0" collapsed="false">
      <c r="A1982" s="50"/>
      <c r="B1982" s="51"/>
      <c r="C1982" s="52" t="str">
        <f aca="false">IF(B1982="","",IFERROR(INDEX(הגדרות!$A$8:$A$53,MATCH(B1982,הגדרות!$B$8:$B$53,0)),"⚠ לא בהגדרות"))</f>
        <v/>
      </c>
      <c r="D1982" s="51"/>
      <c r="E1982" s="53"/>
      <c r="F1982" s="52" t="str">
        <f aca="false">IF(A1982="","",INDEX(הגדרות!$H$16:$H$27,MONTH(A1982)))</f>
        <v/>
      </c>
    </row>
    <row r="1983" customFormat="false" ht="15" hidden="false" customHeight="false" outlineLevel="0" collapsed="false">
      <c r="A1983" s="55"/>
      <c r="B1983" s="56"/>
      <c r="C1983" s="57" t="str">
        <f aca="false">IF(B1983="","",IFERROR(INDEX(הגדרות!$A$8:$A$53,MATCH(B1983,הגדרות!$B$8:$B$53,0)),"⚠ לא בהגדרות"))</f>
        <v/>
      </c>
      <c r="D1983" s="56"/>
      <c r="E1983" s="58"/>
      <c r="F1983" s="57" t="str">
        <f aca="false">IF(A1983="","",INDEX(הגדרות!$H$16:$H$27,MONTH(A1983)))</f>
        <v/>
      </c>
    </row>
    <row r="1984" customFormat="false" ht="15" hidden="false" customHeight="false" outlineLevel="0" collapsed="false">
      <c r="A1984" s="50"/>
      <c r="B1984" s="51"/>
      <c r="C1984" s="52" t="str">
        <f aca="false">IF(B1984="","",IFERROR(INDEX(הגדרות!$A$8:$A$53,MATCH(B1984,הגדרות!$B$8:$B$53,0)),"⚠ לא בהגדרות"))</f>
        <v/>
      </c>
      <c r="D1984" s="51"/>
      <c r="E1984" s="53"/>
      <c r="F1984" s="52" t="str">
        <f aca="false">IF(A1984="","",INDEX(הגדרות!$H$16:$H$27,MONTH(A1984)))</f>
        <v/>
      </c>
    </row>
    <row r="1985" customFormat="false" ht="15" hidden="false" customHeight="false" outlineLevel="0" collapsed="false">
      <c r="A1985" s="55"/>
      <c r="B1985" s="56"/>
      <c r="C1985" s="57" t="str">
        <f aca="false">IF(B1985="","",IFERROR(INDEX(הגדרות!$A$8:$A$53,MATCH(B1985,הגדרות!$B$8:$B$53,0)),"⚠ לא בהגדרות"))</f>
        <v/>
      </c>
      <c r="D1985" s="56"/>
      <c r="E1985" s="58"/>
      <c r="F1985" s="57" t="str">
        <f aca="false">IF(A1985="","",INDEX(הגדרות!$H$16:$H$27,MONTH(A1985)))</f>
        <v/>
      </c>
    </row>
    <row r="1986" customFormat="false" ht="15" hidden="false" customHeight="false" outlineLevel="0" collapsed="false">
      <c r="A1986" s="50"/>
      <c r="B1986" s="51"/>
      <c r="C1986" s="52" t="str">
        <f aca="false">IF(B1986="","",IFERROR(INDEX(הגדרות!$A$8:$A$53,MATCH(B1986,הגדרות!$B$8:$B$53,0)),"⚠ לא בהגדרות"))</f>
        <v/>
      </c>
      <c r="D1986" s="51"/>
      <c r="E1986" s="53"/>
      <c r="F1986" s="52" t="str">
        <f aca="false">IF(A1986="","",INDEX(הגדרות!$H$16:$H$27,MONTH(A1986)))</f>
        <v/>
      </c>
    </row>
    <row r="1987" customFormat="false" ht="15" hidden="false" customHeight="false" outlineLevel="0" collapsed="false">
      <c r="A1987" s="55"/>
      <c r="B1987" s="56"/>
      <c r="C1987" s="57" t="str">
        <f aca="false">IF(B1987="","",IFERROR(INDEX(הגדרות!$A$8:$A$53,MATCH(B1987,הגדרות!$B$8:$B$53,0)),"⚠ לא בהגדרות"))</f>
        <v/>
      </c>
      <c r="D1987" s="56"/>
      <c r="E1987" s="58"/>
      <c r="F1987" s="57" t="str">
        <f aca="false">IF(A1987="","",INDEX(הגדרות!$H$16:$H$27,MONTH(A1987)))</f>
        <v/>
      </c>
    </row>
    <row r="1988" customFormat="false" ht="15" hidden="false" customHeight="false" outlineLevel="0" collapsed="false">
      <c r="A1988" s="50"/>
      <c r="B1988" s="51"/>
      <c r="C1988" s="52" t="str">
        <f aca="false">IF(B1988="","",IFERROR(INDEX(הגדרות!$A$8:$A$53,MATCH(B1988,הגדרות!$B$8:$B$53,0)),"⚠ לא בהגדרות"))</f>
        <v/>
      </c>
      <c r="D1988" s="51"/>
      <c r="E1988" s="53"/>
      <c r="F1988" s="52" t="str">
        <f aca="false">IF(A1988="","",INDEX(הגדרות!$H$16:$H$27,MONTH(A1988)))</f>
        <v/>
      </c>
    </row>
    <row r="1989" customFormat="false" ht="15" hidden="false" customHeight="false" outlineLevel="0" collapsed="false">
      <c r="A1989" s="55"/>
      <c r="B1989" s="56"/>
      <c r="C1989" s="57" t="str">
        <f aca="false">IF(B1989="","",IFERROR(INDEX(הגדרות!$A$8:$A$53,MATCH(B1989,הגדרות!$B$8:$B$53,0)),"⚠ לא בהגדרות"))</f>
        <v/>
      </c>
      <c r="D1989" s="56"/>
      <c r="E1989" s="58"/>
      <c r="F1989" s="57" t="str">
        <f aca="false">IF(A1989="","",INDEX(הגדרות!$H$16:$H$27,MONTH(A1989)))</f>
        <v/>
      </c>
    </row>
    <row r="1990" customFormat="false" ht="15" hidden="false" customHeight="false" outlineLevel="0" collapsed="false">
      <c r="A1990" s="50"/>
      <c r="B1990" s="51"/>
      <c r="C1990" s="52" t="str">
        <f aca="false">IF(B1990="","",IFERROR(INDEX(הגדרות!$A$8:$A$53,MATCH(B1990,הגדרות!$B$8:$B$53,0)),"⚠ לא בהגדרות"))</f>
        <v/>
      </c>
      <c r="D1990" s="51"/>
      <c r="E1990" s="53"/>
      <c r="F1990" s="52" t="str">
        <f aca="false">IF(A1990="","",INDEX(הגדרות!$H$16:$H$27,MONTH(A1990)))</f>
        <v/>
      </c>
    </row>
    <row r="1991" customFormat="false" ht="15" hidden="false" customHeight="false" outlineLevel="0" collapsed="false">
      <c r="A1991" s="55"/>
      <c r="B1991" s="56"/>
      <c r="C1991" s="57" t="str">
        <f aca="false">IF(B1991="","",IFERROR(INDEX(הגדרות!$A$8:$A$53,MATCH(B1991,הגדרות!$B$8:$B$53,0)),"⚠ לא בהגדרות"))</f>
        <v/>
      </c>
      <c r="D1991" s="56"/>
      <c r="E1991" s="58"/>
      <c r="F1991" s="57" t="str">
        <f aca="false">IF(A1991="","",INDEX(הגדרות!$H$16:$H$27,MONTH(A1991)))</f>
        <v/>
      </c>
    </row>
    <row r="1992" customFormat="false" ht="15" hidden="false" customHeight="false" outlineLevel="0" collapsed="false">
      <c r="A1992" s="50"/>
      <c r="B1992" s="51"/>
      <c r="C1992" s="52" t="str">
        <f aca="false">IF(B1992="","",IFERROR(INDEX(הגדרות!$A$8:$A$53,MATCH(B1992,הגדרות!$B$8:$B$53,0)),"⚠ לא בהגדרות"))</f>
        <v/>
      </c>
      <c r="D1992" s="51"/>
      <c r="E1992" s="53"/>
      <c r="F1992" s="52" t="str">
        <f aca="false">IF(A1992="","",INDEX(הגדרות!$H$16:$H$27,MONTH(A1992)))</f>
        <v/>
      </c>
    </row>
    <row r="1993" customFormat="false" ht="15" hidden="false" customHeight="false" outlineLevel="0" collapsed="false">
      <c r="A1993" s="55"/>
      <c r="B1993" s="56"/>
      <c r="C1993" s="57" t="str">
        <f aca="false">IF(B1993="","",IFERROR(INDEX(הגדרות!$A$8:$A$53,MATCH(B1993,הגדרות!$B$8:$B$53,0)),"⚠ לא בהגדרות"))</f>
        <v/>
      </c>
      <c r="D1993" s="56"/>
      <c r="E1993" s="58"/>
      <c r="F1993" s="57" t="str">
        <f aca="false">IF(A1993="","",INDEX(הגדרות!$H$16:$H$27,MONTH(A1993)))</f>
        <v/>
      </c>
    </row>
    <row r="1994" customFormat="false" ht="15" hidden="false" customHeight="false" outlineLevel="0" collapsed="false">
      <c r="A1994" s="50"/>
      <c r="B1994" s="51"/>
      <c r="C1994" s="52" t="str">
        <f aca="false">IF(B1994="","",IFERROR(INDEX(הגדרות!$A$8:$A$53,MATCH(B1994,הגדרות!$B$8:$B$53,0)),"⚠ לא בהגדרות"))</f>
        <v/>
      </c>
      <c r="D1994" s="51"/>
      <c r="E1994" s="53"/>
      <c r="F1994" s="52" t="str">
        <f aca="false">IF(A1994="","",INDEX(הגדרות!$H$16:$H$27,MONTH(A1994)))</f>
        <v/>
      </c>
    </row>
    <row r="1995" customFormat="false" ht="15" hidden="false" customHeight="false" outlineLevel="0" collapsed="false">
      <c r="A1995" s="55"/>
      <c r="B1995" s="56"/>
      <c r="C1995" s="57" t="str">
        <f aca="false">IF(B1995="","",IFERROR(INDEX(הגדרות!$A$8:$A$53,MATCH(B1995,הגדרות!$B$8:$B$53,0)),"⚠ לא בהגדרות"))</f>
        <v/>
      </c>
      <c r="D1995" s="56"/>
      <c r="E1995" s="58"/>
      <c r="F1995" s="57" t="str">
        <f aca="false">IF(A1995="","",INDEX(הגדרות!$H$16:$H$27,MONTH(A1995)))</f>
        <v/>
      </c>
    </row>
    <row r="1996" customFormat="false" ht="15" hidden="false" customHeight="false" outlineLevel="0" collapsed="false">
      <c r="A1996" s="50"/>
      <c r="B1996" s="51"/>
      <c r="C1996" s="52" t="str">
        <f aca="false">IF(B1996="","",IFERROR(INDEX(הגדרות!$A$8:$A$53,MATCH(B1996,הגדרות!$B$8:$B$53,0)),"⚠ לא בהגדרות"))</f>
        <v/>
      </c>
      <c r="D1996" s="51"/>
      <c r="E1996" s="53"/>
      <c r="F1996" s="52" t="str">
        <f aca="false">IF(A1996="","",INDEX(הגדרות!$H$16:$H$27,MONTH(A1996)))</f>
        <v/>
      </c>
    </row>
    <row r="1997" customFormat="false" ht="15" hidden="false" customHeight="false" outlineLevel="0" collapsed="false">
      <c r="A1997" s="55"/>
      <c r="B1997" s="56"/>
      <c r="C1997" s="57" t="str">
        <f aca="false">IF(B1997="","",IFERROR(INDEX(הגדרות!$A$8:$A$53,MATCH(B1997,הגדרות!$B$8:$B$53,0)),"⚠ לא בהגדרות"))</f>
        <v/>
      </c>
      <c r="D1997" s="56"/>
      <c r="E1997" s="58"/>
      <c r="F1997" s="57" t="str">
        <f aca="false">IF(A1997="","",INDEX(הגדרות!$H$16:$H$27,MONTH(A1997)))</f>
        <v/>
      </c>
    </row>
    <row r="1998" customFormat="false" ht="15" hidden="false" customHeight="false" outlineLevel="0" collapsed="false">
      <c r="A1998" s="50"/>
      <c r="B1998" s="51"/>
      <c r="C1998" s="52" t="str">
        <f aca="false">IF(B1998="","",IFERROR(INDEX(הגדרות!$A$8:$A$53,MATCH(B1998,הגדרות!$B$8:$B$53,0)),"⚠ לא בהגדרות"))</f>
        <v/>
      </c>
      <c r="D1998" s="51"/>
      <c r="E1998" s="53"/>
      <c r="F1998" s="52" t="str">
        <f aca="false">IF(A1998="","",INDEX(הגדרות!$H$16:$H$27,MONTH(A1998)))</f>
        <v/>
      </c>
    </row>
    <row r="1999" customFormat="false" ht="15" hidden="false" customHeight="false" outlineLevel="0" collapsed="false">
      <c r="A1999" s="55"/>
      <c r="B1999" s="56"/>
      <c r="C1999" s="57" t="str">
        <f aca="false">IF(B1999="","",IFERROR(INDEX(הגדרות!$A$8:$A$53,MATCH(B1999,הגדרות!$B$8:$B$53,0)),"⚠ לא בהגדרות"))</f>
        <v/>
      </c>
      <c r="D1999" s="56"/>
      <c r="E1999" s="58"/>
      <c r="F1999" s="57" t="str">
        <f aca="false">IF(A1999="","",INDEX(הגדרות!$H$16:$H$27,MONTH(A1999)))</f>
        <v/>
      </c>
    </row>
    <row r="2000" customFormat="false" ht="15" hidden="false" customHeight="false" outlineLevel="0" collapsed="false">
      <c r="A2000" s="50"/>
      <c r="B2000" s="51"/>
      <c r="C2000" s="52" t="str">
        <f aca="false">IF(B2000="","",IFERROR(INDEX(הגדרות!$A$8:$A$53,MATCH(B2000,הגדרות!$B$8:$B$53,0)),"⚠ לא בהגדרות"))</f>
        <v/>
      </c>
      <c r="D2000" s="51"/>
      <c r="E2000" s="53"/>
      <c r="F2000" s="52" t="str">
        <f aca="false">IF(A2000="","",INDEX(הגדרות!$H$16:$H$27,MONTH(A2000)))</f>
        <v/>
      </c>
    </row>
    <row r="2001" customFormat="false" ht="15" hidden="false" customHeight="false" outlineLevel="0" collapsed="false">
      <c r="A2001" s="55"/>
      <c r="B2001" s="56"/>
      <c r="C2001" s="57" t="str">
        <f aca="false">IF(B2001="","",IFERROR(INDEX(הגדרות!$A$8:$A$53,MATCH(B2001,הגדרות!$B$8:$B$53,0)),"⚠ לא בהגדרות"))</f>
        <v/>
      </c>
      <c r="D2001" s="56"/>
      <c r="E2001" s="58"/>
      <c r="F2001" s="57" t="str">
        <f aca="false">IF(A2001="","",INDEX(הגדרות!$H$16:$H$27,MONTH(A2001)))</f>
        <v/>
      </c>
    </row>
    <row r="2002" customFormat="false" ht="15" hidden="false" customHeight="false" outlineLevel="0" collapsed="false">
      <c r="A2002" s="50"/>
      <c r="B2002" s="51"/>
      <c r="C2002" s="52" t="str">
        <f aca="false">IF(B2002="","",IFERROR(INDEX(הגדרות!$A$8:$A$53,MATCH(B2002,הגדרות!$B$8:$B$53,0)),"⚠ לא בהגדרות"))</f>
        <v/>
      </c>
      <c r="D2002" s="51"/>
      <c r="E2002" s="53"/>
      <c r="F2002" s="52" t="str">
        <f aca="false">IF(A2002="","",INDEX(הגדרות!$H$16:$H$27,MONTH(A2002)))</f>
        <v/>
      </c>
    </row>
    <row r="2003" customFormat="false" ht="15" hidden="false" customHeight="false" outlineLevel="0" collapsed="false">
      <c r="A2003" s="55"/>
      <c r="B2003" s="56"/>
      <c r="C2003" s="57" t="str">
        <f aca="false">IF(B2003="","",IFERROR(INDEX(הגדרות!$A$8:$A$53,MATCH(B2003,הגדרות!$B$8:$B$53,0)),"⚠ לא בהגדרות"))</f>
        <v/>
      </c>
      <c r="D2003" s="56"/>
      <c r="E2003" s="58"/>
      <c r="F2003" s="57" t="str">
        <f aca="false">IF(A2003="","",INDEX(הגדרות!$H$16:$H$27,MONTH(A2003)))</f>
        <v/>
      </c>
    </row>
    <row r="2004" customFormat="false" ht="15" hidden="false" customHeight="false" outlineLevel="0" collapsed="false">
      <c r="A2004" s="50"/>
      <c r="B2004" s="51"/>
      <c r="C2004" s="52" t="str">
        <f aca="false">IF(B2004="","",IFERROR(INDEX(הגדרות!$A$8:$A$53,MATCH(B2004,הגדרות!$B$8:$B$53,0)),"⚠ לא בהגדרות"))</f>
        <v/>
      </c>
      <c r="D2004" s="51"/>
      <c r="E2004" s="53"/>
      <c r="F2004" s="52" t="str">
        <f aca="false">IF(A2004="","",INDEX(הגדרות!$H$16:$H$27,MONTH(A2004)))</f>
        <v/>
      </c>
    </row>
    <row r="2005" customFormat="false" ht="15" hidden="false" customHeight="false" outlineLevel="0" collapsed="false">
      <c r="A2005" s="55"/>
      <c r="B2005" s="56"/>
      <c r="C2005" s="57" t="str">
        <f aca="false">IF(B2005="","",IFERROR(INDEX(הגדרות!$A$8:$A$53,MATCH(B2005,הגדרות!$B$8:$B$53,0)),"⚠ לא בהגדרות"))</f>
        <v/>
      </c>
      <c r="D2005" s="56"/>
      <c r="E2005" s="58"/>
      <c r="F2005" s="57" t="str">
        <f aca="false">IF(A2005="","",INDEX(הגדרות!$H$16:$H$27,MONTH(A2005)))</f>
        <v/>
      </c>
    </row>
  </sheetData>
  <mergeCells count="2">
    <mergeCell ref="A1:F1"/>
    <mergeCell ref="A2:F2"/>
  </mergeCells>
  <conditionalFormatting sqref="C6:C2005">
    <cfRule type="cellIs" priority="2" operator="equal" aboveAverage="0" equalAverage="0" bottom="0" percent="0" rank="0" text="" dxfId="1">
      <formula>"הכנסות"</formula>
    </cfRule>
    <cfRule type="cellIs" priority="3" operator="equal" aboveAverage="0" equalAverage="0" bottom="0" percent="0" rank="0" text="" dxfId="2">
      <formula>"תוכניות חיסכון"</formula>
    </cfRule>
    <cfRule type="cellIs" priority="4" operator="equal" aboveAverage="0" equalAverage="0" bottom="0" percent="0" rank="0" text="" dxfId="3">
      <formula>"חשבונות ומנויים"</formula>
    </cfRule>
    <cfRule type="cellIs" priority="5" operator="equal" aboveAverage="0" equalAverage="0" bottom="0" percent="0" rank="0" text="" dxfId="4">
      <formula>"הוצאות משתנות"</formula>
    </cfRule>
    <cfRule type="cellIs" priority="6" operator="equal" aboveAverage="0" equalAverage="0" bottom="0" percent="0" rank="0" text="" dxfId="5">
      <formula>"חובות"</formula>
    </cfRule>
  </conditionalFormatting>
  <dataValidations count="3">
    <dataValidation allowBlank="true" error="בחר קטגוריה מהרשימה (מגיליון ההגדרות)" errorStyle="stop" errorTitle="קטגוריה לא קיימת" operator="between" showDropDown="false" showErrorMessage="true" showInputMessage="false" sqref="B6:B2005" type="list">
      <formula1>הגדרות!$B$8:$B$53</formula1>
      <formula2>0</formula2>
    </dataValidation>
    <dataValidation allowBlank="true" error="הזן תאריך תקין, למשל 15/01/2026" errorStyle="stop" operator="greaterThan" showDropDown="false" showErrorMessage="true" showInputMessage="false" sqref="A6:A2005" type="date">
      <formula1>36526</formula1>
      <formula2>0</formula2>
    </dataValidation>
    <dataValidation allowBlank="true" error="הזן סכום חיובי" errorStyle="stop" operator="greaterThanOrEqual" showDropDown="false" showErrorMessage="true" showInputMessage="false" sqref="E6:E20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C5E8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"&amp;"ינואר"&amp;" "&amp;הגדרות!$C$3&amp;" – תקציב חודשי"</f>
        <v> 🗓️ ינואר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DATE(הגדרות!$C$3,1,1)</f>
        <v>46023</v>
      </c>
    </row>
    <row r="2" customFormat="false" ht="19.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DATE(הגדרות!$C$3,2,1)</f>
        <v>46054</v>
      </c>
    </row>
    <row r="3" customFormat="false" ht="15" hidden="false" customHeight="false" outlineLevel="0" collapsed="false">
      <c r="Z3" s="0" t="n">
        <f aca="false">Z2-Z1</f>
        <v>31</v>
      </c>
    </row>
    <row r="4" customFormat="false" ht="19.5" hidden="false" customHeight="true" outlineLevel="0" collapsed="false">
      <c r="A4" s="15" t="s">
        <v>65</v>
      </c>
      <c r="B4" s="15"/>
      <c r="C4" s="15"/>
      <c r="D4" s="15"/>
      <c r="F4" s="16" t="s">
        <v>66</v>
      </c>
      <c r="G4" s="16"/>
      <c r="H4" s="16"/>
      <c r="I4" s="16"/>
      <c r="K4" s="17" t="s">
        <v>30</v>
      </c>
      <c r="L4" s="17"/>
      <c r="M4" s="17"/>
      <c r="N4" s="17"/>
      <c r="P4" s="18" t="s">
        <v>31</v>
      </c>
      <c r="Q4" s="18"/>
      <c r="R4" s="18"/>
      <c r="S4" s="18"/>
      <c r="U4" s="65" t="s">
        <v>67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68</v>
      </c>
      <c r="B7" s="40" t="s">
        <v>69</v>
      </c>
      <c r="C7" s="40" t="s">
        <v>53</v>
      </c>
      <c r="D7" s="40" t="s">
        <v>54</v>
      </c>
      <c r="F7" s="67" t="s">
        <v>70</v>
      </c>
      <c r="G7" s="67" t="s">
        <v>69</v>
      </c>
      <c r="H7" s="67" t="s">
        <v>53</v>
      </c>
      <c r="I7" s="67" t="s">
        <v>71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72</v>
      </c>
      <c r="G8" s="42" t="n">
        <f aca="false">$B$11*7/$Z$3</f>
        <v>1670.96774193548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1670.96774193548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73</v>
      </c>
      <c r="G9" s="42" t="n">
        <f aca="false">$B$11*7/$Z$3</f>
        <v>1670.96774193548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1670.96774193548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74</v>
      </c>
      <c r="G10" s="42" t="n">
        <f aca="false">$B$11*7/$Z$3</f>
        <v>1670.96774193548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1670.96774193548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75</v>
      </c>
      <c r="G11" s="42" t="n">
        <f aca="false">$B$11*7/$Z$3</f>
        <v>1670.96774193548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1670.96774193548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76</v>
      </c>
      <c r="G12" s="42" t="n">
        <f aca="false">$B$11*($Z$3-28)/$Z$3</f>
        <v>716.129032258065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716.129032258065</v>
      </c>
    </row>
    <row r="13" customFormat="false" ht="15" hidden="false" customHeight="false" outlineLevel="0" collapsed="false">
      <c r="A13" s="35" t="s">
        <v>34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77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78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51</v>
      </c>
      <c r="B25" s="76" t="s">
        <v>69</v>
      </c>
      <c r="C25" s="76" t="s">
        <v>53</v>
      </c>
      <c r="D25" s="76" t="s">
        <v>54</v>
      </c>
      <c r="F25" s="77" t="s">
        <v>51</v>
      </c>
      <c r="G25" s="77" t="s">
        <v>69</v>
      </c>
      <c r="H25" s="77" t="s">
        <v>53</v>
      </c>
      <c r="I25" s="77" t="s">
        <v>71</v>
      </c>
      <c r="K25" s="78" t="s">
        <v>51</v>
      </c>
      <c r="L25" s="78" t="s">
        <v>69</v>
      </c>
      <c r="M25" s="78" t="s">
        <v>53</v>
      </c>
      <c r="N25" s="78" t="s">
        <v>71</v>
      </c>
      <c r="P25" s="67" t="s">
        <v>51</v>
      </c>
      <c r="Q25" s="67" t="s">
        <v>69</v>
      </c>
      <c r="R25" s="67" t="s">
        <v>53</v>
      </c>
      <c r="S25" s="67" t="s">
        <v>71</v>
      </c>
      <c r="U25" s="79" t="s">
        <v>51</v>
      </c>
      <c r="V25" s="79" t="s">
        <v>69</v>
      </c>
      <c r="W25" s="79" t="s">
        <v>53</v>
      </c>
      <c r="X25" s="79" t="s">
        <v>71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77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77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77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77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77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C47D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"&amp;"פברואר"&amp;" "&amp;הגדרות!$C$3&amp;" – תקציב חודשי"</f>
        <v> 🗓️ פברואר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DATE(הגדרות!$C$3,2,1)</f>
        <v>46054</v>
      </c>
    </row>
    <row r="2" customFormat="false" ht="19.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DATE(הגדרות!$C$3,3,1)</f>
        <v>46082</v>
      </c>
    </row>
    <row r="3" customFormat="false" ht="15" hidden="false" customHeight="false" outlineLevel="0" collapsed="false">
      <c r="Z3" s="0" t="n">
        <f aca="false">Z2-Z1</f>
        <v>28</v>
      </c>
    </row>
    <row r="4" customFormat="false" ht="19.5" hidden="false" customHeight="true" outlineLevel="0" collapsed="false">
      <c r="A4" s="15" t="s">
        <v>65</v>
      </c>
      <c r="B4" s="15"/>
      <c r="C4" s="15"/>
      <c r="D4" s="15"/>
      <c r="F4" s="16" t="s">
        <v>66</v>
      </c>
      <c r="G4" s="16"/>
      <c r="H4" s="16"/>
      <c r="I4" s="16"/>
      <c r="K4" s="17" t="s">
        <v>30</v>
      </c>
      <c r="L4" s="17"/>
      <c r="M4" s="17"/>
      <c r="N4" s="17"/>
      <c r="P4" s="18" t="s">
        <v>31</v>
      </c>
      <c r="Q4" s="18"/>
      <c r="R4" s="18"/>
      <c r="S4" s="18"/>
      <c r="U4" s="65" t="s">
        <v>67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68</v>
      </c>
      <c r="B7" s="40" t="s">
        <v>69</v>
      </c>
      <c r="C7" s="40" t="s">
        <v>53</v>
      </c>
      <c r="D7" s="40" t="s">
        <v>54</v>
      </c>
      <c r="F7" s="67" t="s">
        <v>70</v>
      </c>
      <c r="G7" s="67" t="s">
        <v>69</v>
      </c>
      <c r="H7" s="67" t="s">
        <v>53</v>
      </c>
      <c r="I7" s="67" t="s">
        <v>71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72</v>
      </c>
      <c r="G8" s="42" t="n">
        <f aca="false">$B$11*7/$Z$3</f>
        <v>1850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1850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73</v>
      </c>
      <c r="G9" s="42" t="n">
        <f aca="false">$B$11*7/$Z$3</f>
        <v>1850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1850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74</v>
      </c>
      <c r="G10" s="42" t="n">
        <f aca="false">$B$11*7/$Z$3</f>
        <v>1850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1850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75</v>
      </c>
      <c r="G11" s="42" t="n">
        <f aca="false">$B$11*7/$Z$3</f>
        <v>1850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1850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76</v>
      </c>
      <c r="G12" s="42" t="n">
        <f aca="false">$B$11*($Z$3-28)/$Z$3</f>
        <v>0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0</v>
      </c>
    </row>
    <row r="13" customFormat="false" ht="15" hidden="false" customHeight="false" outlineLevel="0" collapsed="false">
      <c r="A13" s="35" t="s">
        <v>34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77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78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51</v>
      </c>
      <c r="B25" s="76" t="s">
        <v>69</v>
      </c>
      <c r="C25" s="76" t="s">
        <v>53</v>
      </c>
      <c r="D25" s="76" t="s">
        <v>54</v>
      </c>
      <c r="F25" s="77" t="s">
        <v>51</v>
      </c>
      <c r="G25" s="77" t="s">
        <v>69</v>
      </c>
      <c r="H25" s="77" t="s">
        <v>53</v>
      </c>
      <c r="I25" s="77" t="s">
        <v>71</v>
      </c>
      <c r="K25" s="78" t="s">
        <v>51</v>
      </c>
      <c r="L25" s="78" t="s">
        <v>69</v>
      </c>
      <c r="M25" s="78" t="s">
        <v>53</v>
      </c>
      <c r="N25" s="78" t="s">
        <v>71</v>
      </c>
      <c r="P25" s="67" t="s">
        <v>51</v>
      </c>
      <c r="Q25" s="67" t="s">
        <v>69</v>
      </c>
      <c r="R25" s="67" t="s">
        <v>53</v>
      </c>
      <c r="S25" s="67" t="s">
        <v>71</v>
      </c>
      <c r="U25" s="79" t="s">
        <v>51</v>
      </c>
      <c r="V25" s="79" t="s">
        <v>69</v>
      </c>
      <c r="W25" s="79" t="s">
        <v>53</v>
      </c>
      <c r="X25" s="79" t="s">
        <v>71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77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77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77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77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77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3D9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"&amp;"מרץ"&amp;" "&amp;הגדרות!$C$3&amp;" – תקציב חודשי"</f>
        <v> 🗓️ מרץ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DATE(הגדרות!$C$3,3,1)</f>
        <v>46082</v>
      </c>
    </row>
    <row r="2" customFormat="false" ht="19.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DATE(הגדרות!$C$3,4,1)</f>
        <v>46113</v>
      </c>
    </row>
    <row r="3" customFormat="false" ht="15" hidden="false" customHeight="false" outlineLevel="0" collapsed="false">
      <c r="Z3" s="0" t="n">
        <f aca="false">Z2-Z1</f>
        <v>31</v>
      </c>
    </row>
    <row r="4" customFormat="false" ht="19.5" hidden="false" customHeight="true" outlineLevel="0" collapsed="false">
      <c r="A4" s="15" t="s">
        <v>65</v>
      </c>
      <c r="B4" s="15"/>
      <c r="C4" s="15"/>
      <c r="D4" s="15"/>
      <c r="F4" s="16" t="s">
        <v>66</v>
      </c>
      <c r="G4" s="16"/>
      <c r="H4" s="16"/>
      <c r="I4" s="16"/>
      <c r="K4" s="17" t="s">
        <v>30</v>
      </c>
      <c r="L4" s="17"/>
      <c r="M4" s="17"/>
      <c r="N4" s="17"/>
      <c r="P4" s="18" t="s">
        <v>31</v>
      </c>
      <c r="Q4" s="18"/>
      <c r="R4" s="18"/>
      <c r="S4" s="18"/>
      <c r="U4" s="65" t="s">
        <v>67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68</v>
      </c>
      <c r="B7" s="40" t="s">
        <v>69</v>
      </c>
      <c r="C7" s="40" t="s">
        <v>53</v>
      </c>
      <c r="D7" s="40" t="s">
        <v>54</v>
      </c>
      <c r="F7" s="67" t="s">
        <v>70</v>
      </c>
      <c r="G7" s="67" t="s">
        <v>69</v>
      </c>
      <c r="H7" s="67" t="s">
        <v>53</v>
      </c>
      <c r="I7" s="67" t="s">
        <v>71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72</v>
      </c>
      <c r="G8" s="42" t="n">
        <f aca="false">$B$11*7/$Z$3</f>
        <v>1670.96774193548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1670.96774193548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73</v>
      </c>
      <c r="G9" s="42" t="n">
        <f aca="false">$B$11*7/$Z$3</f>
        <v>1670.96774193548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1670.96774193548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74</v>
      </c>
      <c r="G10" s="42" t="n">
        <f aca="false">$B$11*7/$Z$3</f>
        <v>1670.96774193548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1670.96774193548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75</v>
      </c>
      <c r="G11" s="42" t="n">
        <f aca="false">$B$11*7/$Z$3</f>
        <v>1670.96774193548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1670.96774193548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76</v>
      </c>
      <c r="G12" s="42" t="n">
        <f aca="false">$B$11*($Z$3-28)/$Z$3</f>
        <v>716.129032258065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716.129032258065</v>
      </c>
    </row>
    <row r="13" customFormat="false" ht="15" hidden="false" customHeight="false" outlineLevel="0" collapsed="false">
      <c r="A13" s="35" t="s">
        <v>34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77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78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51</v>
      </c>
      <c r="B25" s="76" t="s">
        <v>69</v>
      </c>
      <c r="C25" s="76" t="s">
        <v>53</v>
      </c>
      <c r="D25" s="76" t="s">
        <v>54</v>
      </c>
      <c r="F25" s="77" t="s">
        <v>51</v>
      </c>
      <c r="G25" s="77" t="s">
        <v>69</v>
      </c>
      <c r="H25" s="77" t="s">
        <v>53</v>
      </c>
      <c r="I25" s="77" t="s">
        <v>71</v>
      </c>
      <c r="K25" s="78" t="s">
        <v>51</v>
      </c>
      <c r="L25" s="78" t="s">
        <v>69</v>
      </c>
      <c r="M25" s="78" t="s">
        <v>53</v>
      </c>
      <c r="N25" s="78" t="s">
        <v>71</v>
      </c>
      <c r="P25" s="67" t="s">
        <v>51</v>
      </c>
      <c r="Q25" s="67" t="s">
        <v>69</v>
      </c>
      <c r="R25" s="67" t="s">
        <v>53</v>
      </c>
      <c r="S25" s="67" t="s">
        <v>71</v>
      </c>
      <c r="U25" s="79" t="s">
        <v>51</v>
      </c>
      <c r="V25" s="79" t="s">
        <v>69</v>
      </c>
      <c r="W25" s="79" t="s">
        <v>53</v>
      </c>
      <c r="X25" s="79" t="s">
        <v>71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77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77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77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77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77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B26B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"&amp;"אפריל"&amp;" "&amp;הגדרות!$C$3&amp;" – תקציב חודשי"</f>
        <v> 🗓️ אפריל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DATE(הגדרות!$C$3,4,1)</f>
        <v>46113</v>
      </c>
    </row>
    <row r="2" customFormat="false" ht="19.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DATE(הגדרות!$C$3,5,1)</f>
        <v>46143</v>
      </c>
    </row>
    <row r="3" customFormat="false" ht="15" hidden="false" customHeight="false" outlineLevel="0" collapsed="false">
      <c r="Z3" s="0" t="n">
        <f aca="false">Z2-Z1</f>
        <v>30</v>
      </c>
    </row>
    <row r="4" customFormat="false" ht="19.5" hidden="false" customHeight="true" outlineLevel="0" collapsed="false">
      <c r="A4" s="15" t="s">
        <v>65</v>
      </c>
      <c r="B4" s="15"/>
      <c r="C4" s="15"/>
      <c r="D4" s="15"/>
      <c r="F4" s="16" t="s">
        <v>66</v>
      </c>
      <c r="G4" s="16"/>
      <c r="H4" s="16"/>
      <c r="I4" s="16"/>
      <c r="K4" s="17" t="s">
        <v>30</v>
      </c>
      <c r="L4" s="17"/>
      <c r="M4" s="17"/>
      <c r="N4" s="17"/>
      <c r="P4" s="18" t="s">
        <v>31</v>
      </c>
      <c r="Q4" s="18"/>
      <c r="R4" s="18"/>
      <c r="S4" s="18"/>
      <c r="U4" s="65" t="s">
        <v>67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68</v>
      </c>
      <c r="B7" s="40" t="s">
        <v>69</v>
      </c>
      <c r="C7" s="40" t="s">
        <v>53</v>
      </c>
      <c r="D7" s="40" t="s">
        <v>54</v>
      </c>
      <c r="F7" s="67" t="s">
        <v>70</v>
      </c>
      <c r="G7" s="67" t="s">
        <v>69</v>
      </c>
      <c r="H7" s="67" t="s">
        <v>53</v>
      </c>
      <c r="I7" s="67" t="s">
        <v>71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72</v>
      </c>
      <c r="G8" s="42" t="n">
        <f aca="false">$B$11*7/$Z$3</f>
        <v>1726.66666666667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1726.66666666667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73</v>
      </c>
      <c r="G9" s="42" t="n">
        <f aca="false">$B$11*7/$Z$3</f>
        <v>1726.66666666667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1726.66666666667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74</v>
      </c>
      <c r="G10" s="42" t="n">
        <f aca="false">$B$11*7/$Z$3</f>
        <v>1726.66666666667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1726.66666666667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75</v>
      </c>
      <c r="G11" s="42" t="n">
        <f aca="false">$B$11*7/$Z$3</f>
        <v>1726.66666666667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1726.66666666667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76</v>
      </c>
      <c r="G12" s="42" t="n">
        <f aca="false">$B$11*($Z$3-28)/$Z$3</f>
        <v>493.333333333333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493.333333333333</v>
      </c>
    </row>
    <row r="13" customFormat="false" ht="15" hidden="false" customHeight="false" outlineLevel="0" collapsed="false">
      <c r="A13" s="35" t="s">
        <v>34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77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78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51</v>
      </c>
      <c r="B25" s="76" t="s">
        <v>69</v>
      </c>
      <c r="C25" s="76" t="s">
        <v>53</v>
      </c>
      <c r="D25" s="76" t="s">
        <v>54</v>
      </c>
      <c r="F25" s="77" t="s">
        <v>51</v>
      </c>
      <c r="G25" s="77" t="s">
        <v>69</v>
      </c>
      <c r="H25" s="77" t="s">
        <v>53</v>
      </c>
      <c r="I25" s="77" t="s">
        <v>71</v>
      </c>
      <c r="K25" s="78" t="s">
        <v>51</v>
      </c>
      <c r="L25" s="78" t="s">
        <v>69</v>
      </c>
      <c r="M25" s="78" t="s">
        <v>53</v>
      </c>
      <c r="N25" s="78" t="s">
        <v>71</v>
      </c>
      <c r="P25" s="67" t="s">
        <v>51</v>
      </c>
      <c r="Q25" s="67" t="s">
        <v>69</v>
      </c>
      <c r="R25" s="67" t="s">
        <v>53</v>
      </c>
      <c r="S25" s="67" t="s">
        <v>71</v>
      </c>
      <c r="U25" s="79" t="s">
        <v>51</v>
      </c>
      <c r="V25" s="79" t="s">
        <v>69</v>
      </c>
      <c r="W25" s="79" t="s">
        <v>53</v>
      </c>
      <c r="X25" s="79" t="s">
        <v>71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77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77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77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77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77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6666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"&amp;"מאי"&amp;" "&amp;הגדרות!$C$3&amp;" – תקציב חודשי"</f>
        <v> 🗓️ מאי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DATE(הגדרות!$C$3,5,1)</f>
        <v>46143</v>
      </c>
    </row>
    <row r="2" customFormat="false" ht="19.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DATE(הגדרות!$C$3,6,1)</f>
        <v>46174</v>
      </c>
    </row>
    <row r="3" customFormat="false" ht="15" hidden="false" customHeight="false" outlineLevel="0" collapsed="false">
      <c r="Z3" s="0" t="n">
        <f aca="false">Z2-Z1</f>
        <v>31</v>
      </c>
    </row>
    <row r="4" customFormat="false" ht="19.5" hidden="false" customHeight="true" outlineLevel="0" collapsed="false">
      <c r="A4" s="15" t="s">
        <v>65</v>
      </c>
      <c r="B4" s="15"/>
      <c r="C4" s="15"/>
      <c r="D4" s="15"/>
      <c r="F4" s="16" t="s">
        <v>66</v>
      </c>
      <c r="G4" s="16"/>
      <c r="H4" s="16"/>
      <c r="I4" s="16"/>
      <c r="K4" s="17" t="s">
        <v>30</v>
      </c>
      <c r="L4" s="17"/>
      <c r="M4" s="17"/>
      <c r="N4" s="17"/>
      <c r="P4" s="18" t="s">
        <v>31</v>
      </c>
      <c r="Q4" s="18"/>
      <c r="R4" s="18"/>
      <c r="S4" s="18"/>
      <c r="U4" s="65" t="s">
        <v>67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68</v>
      </c>
      <c r="B7" s="40" t="s">
        <v>69</v>
      </c>
      <c r="C7" s="40" t="s">
        <v>53</v>
      </c>
      <c r="D7" s="40" t="s">
        <v>54</v>
      </c>
      <c r="F7" s="67" t="s">
        <v>70</v>
      </c>
      <c r="G7" s="67" t="s">
        <v>69</v>
      </c>
      <c r="H7" s="67" t="s">
        <v>53</v>
      </c>
      <c r="I7" s="67" t="s">
        <v>71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72</v>
      </c>
      <c r="G8" s="42" t="n">
        <f aca="false">$B$11*7/$Z$3</f>
        <v>1670.96774193548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1670.96774193548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73</v>
      </c>
      <c r="G9" s="42" t="n">
        <f aca="false">$B$11*7/$Z$3</f>
        <v>1670.96774193548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1670.96774193548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74</v>
      </c>
      <c r="G10" s="42" t="n">
        <f aca="false">$B$11*7/$Z$3</f>
        <v>1670.96774193548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1670.96774193548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75</v>
      </c>
      <c r="G11" s="42" t="n">
        <f aca="false">$B$11*7/$Z$3</f>
        <v>1670.96774193548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1670.96774193548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76</v>
      </c>
      <c r="G12" s="42" t="n">
        <f aca="false">$B$11*($Z$3-28)/$Z$3</f>
        <v>716.129032258065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716.129032258065</v>
      </c>
    </row>
    <row r="13" customFormat="false" ht="15" hidden="false" customHeight="false" outlineLevel="0" collapsed="false">
      <c r="A13" s="35" t="s">
        <v>34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77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78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51</v>
      </c>
      <c r="B25" s="76" t="s">
        <v>69</v>
      </c>
      <c r="C25" s="76" t="s">
        <v>53</v>
      </c>
      <c r="D25" s="76" t="s">
        <v>54</v>
      </c>
      <c r="F25" s="77" t="s">
        <v>51</v>
      </c>
      <c r="G25" s="77" t="s">
        <v>69</v>
      </c>
      <c r="H25" s="77" t="s">
        <v>53</v>
      </c>
      <c r="I25" s="77" t="s">
        <v>71</v>
      </c>
      <c r="K25" s="78" t="s">
        <v>51</v>
      </c>
      <c r="L25" s="78" t="s">
        <v>69</v>
      </c>
      <c r="M25" s="78" t="s">
        <v>53</v>
      </c>
      <c r="N25" s="78" t="s">
        <v>71</v>
      </c>
      <c r="P25" s="67" t="s">
        <v>51</v>
      </c>
      <c r="Q25" s="67" t="s">
        <v>69</v>
      </c>
      <c r="R25" s="67" t="s">
        <v>53</v>
      </c>
      <c r="S25" s="67" t="s">
        <v>71</v>
      </c>
      <c r="U25" s="79" t="s">
        <v>51</v>
      </c>
      <c r="V25" s="79" t="s">
        <v>69</v>
      </c>
      <c r="W25" s="79" t="s">
        <v>53</v>
      </c>
      <c r="X25" s="79" t="s">
        <v>71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77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77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77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77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77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C5E8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"&amp;"יוני"&amp;" "&amp;הגדרות!$C$3&amp;" – תקציב חודשי"</f>
        <v> 🗓️ יוני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DATE(הגדרות!$C$3,6,1)</f>
        <v>46174</v>
      </c>
    </row>
    <row r="2" customFormat="false" ht="19.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DATE(הגדרות!$C$3,7,1)</f>
        <v>46204</v>
      </c>
    </row>
    <row r="3" customFormat="false" ht="15" hidden="false" customHeight="false" outlineLevel="0" collapsed="false">
      <c r="Z3" s="0" t="n">
        <f aca="false">Z2-Z1</f>
        <v>30</v>
      </c>
    </row>
    <row r="4" customFormat="false" ht="19.5" hidden="false" customHeight="true" outlineLevel="0" collapsed="false">
      <c r="A4" s="15" t="s">
        <v>65</v>
      </c>
      <c r="B4" s="15"/>
      <c r="C4" s="15"/>
      <c r="D4" s="15"/>
      <c r="F4" s="16" t="s">
        <v>66</v>
      </c>
      <c r="G4" s="16"/>
      <c r="H4" s="16"/>
      <c r="I4" s="16"/>
      <c r="K4" s="17" t="s">
        <v>30</v>
      </c>
      <c r="L4" s="17"/>
      <c r="M4" s="17"/>
      <c r="N4" s="17"/>
      <c r="P4" s="18" t="s">
        <v>31</v>
      </c>
      <c r="Q4" s="18"/>
      <c r="R4" s="18"/>
      <c r="S4" s="18"/>
      <c r="U4" s="65" t="s">
        <v>67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68</v>
      </c>
      <c r="B7" s="40" t="s">
        <v>69</v>
      </c>
      <c r="C7" s="40" t="s">
        <v>53</v>
      </c>
      <c r="D7" s="40" t="s">
        <v>54</v>
      </c>
      <c r="F7" s="67" t="s">
        <v>70</v>
      </c>
      <c r="G7" s="67" t="s">
        <v>69</v>
      </c>
      <c r="H7" s="67" t="s">
        <v>53</v>
      </c>
      <c r="I7" s="67" t="s">
        <v>71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72</v>
      </c>
      <c r="G8" s="42" t="n">
        <f aca="false">$B$11*7/$Z$3</f>
        <v>1726.66666666667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1726.66666666667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73</v>
      </c>
      <c r="G9" s="42" t="n">
        <f aca="false">$B$11*7/$Z$3</f>
        <v>1726.66666666667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1726.66666666667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74</v>
      </c>
      <c r="G10" s="42" t="n">
        <f aca="false">$B$11*7/$Z$3</f>
        <v>1726.66666666667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1726.66666666667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75</v>
      </c>
      <c r="G11" s="42" t="n">
        <f aca="false">$B$11*7/$Z$3</f>
        <v>1726.66666666667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1726.66666666667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76</v>
      </c>
      <c r="G12" s="42" t="n">
        <f aca="false">$B$11*($Z$3-28)/$Z$3</f>
        <v>493.333333333333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493.333333333333</v>
      </c>
    </row>
    <row r="13" customFormat="false" ht="15" hidden="false" customHeight="false" outlineLevel="0" collapsed="false">
      <c r="A13" s="35" t="s">
        <v>34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77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78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51</v>
      </c>
      <c r="B25" s="76" t="s">
        <v>69</v>
      </c>
      <c r="C25" s="76" t="s">
        <v>53</v>
      </c>
      <c r="D25" s="76" t="s">
        <v>54</v>
      </c>
      <c r="F25" s="77" t="s">
        <v>51</v>
      </c>
      <c r="G25" s="77" t="s">
        <v>69</v>
      </c>
      <c r="H25" s="77" t="s">
        <v>53</v>
      </c>
      <c r="I25" s="77" t="s">
        <v>71</v>
      </c>
      <c r="K25" s="78" t="s">
        <v>51</v>
      </c>
      <c r="L25" s="78" t="s">
        <v>69</v>
      </c>
      <c r="M25" s="78" t="s">
        <v>53</v>
      </c>
      <c r="N25" s="78" t="s">
        <v>71</v>
      </c>
      <c r="P25" s="67" t="s">
        <v>51</v>
      </c>
      <c r="Q25" s="67" t="s">
        <v>69</v>
      </c>
      <c r="R25" s="67" t="s">
        <v>53</v>
      </c>
      <c r="S25" s="67" t="s">
        <v>71</v>
      </c>
      <c r="U25" s="79" t="s">
        <v>51</v>
      </c>
      <c r="V25" s="79" t="s">
        <v>69</v>
      </c>
      <c r="W25" s="79" t="s">
        <v>53</v>
      </c>
      <c r="X25" s="79" t="s">
        <v>71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77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77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77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77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77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C47D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"&amp;"יולי"&amp;" "&amp;הגדרות!$C$3&amp;" – תקציב חודשי"</f>
        <v> 🗓️ יולי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DATE(הגדרות!$C$3,7,1)</f>
        <v>46204</v>
      </c>
    </row>
    <row r="2" customFormat="false" ht="19.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DATE(הגדרות!$C$3,8,1)</f>
        <v>46235</v>
      </c>
    </row>
    <row r="3" customFormat="false" ht="15" hidden="false" customHeight="false" outlineLevel="0" collapsed="false">
      <c r="Z3" s="0" t="n">
        <f aca="false">Z2-Z1</f>
        <v>31</v>
      </c>
    </row>
    <row r="4" customFormat="false" ht="19.5" hidden="false" customHeight="true" outlineLevel="0" collapsed="false">
      <c r="A4" s="15" t="s">
        <v>65</v>
      </c>
      <c r="B4" s="15"/>
      <c r="C4" s="15"/>
      <c r="D4" s="15"/>
      <c r="F4" s="16" t="s">
        <v>66</v>
      </c>
      <c r="G4" s="16"/>
      <c r="H4" s="16"/>
      <c r="I4" s="16"/>
      <c r="K4" s="17" t="s">
        <v>30</v>
      </c>
      <c r="L4" s="17"/>
      <c r="M4" s="17"/>
      <c r="N4" s="17"/>
      <c r="P4" s="18" t="s">
        <v>31</v>
      </c>
      <c r="Q4" s="18"/>
      <c r="R4" s="18"/>
      <c r="S4" s="18"/>
      <c r="U4" s="65" t="s">
        <v>67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68</v>
      </c>
      <c r="B7" s="40" t="s">
        <v>69</v>
      </c>
      <c r="C7" s="40" t="s">
        <v>53</v>
      </c>
      <c r="D7" s="40" t="s">
        <v>54</v>
      </c>
      <c r="F7" s="67" t="s">
        <v>70</v>
      </c>
      <c r="G7" s="67" t="s">
        <v>69</v>
      </c>
      <c r="H7" s="67" t="s">
        <v>53</v>
      </c>
      <c r="I7" s="67" t="s">
        <v>71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72</v>
      </c>
      <c r="G8" s="42" t="n">
        <f aca="false">$B$11*7/$Z$3</f>
        <v>1670.96774193548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1670.96774193548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73</v>
      </c>
      <c r="G9" s="42" t="n">
        <f aca="false">$B$11*7/$Z$3</f>
        <v>1670.96774193548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1670.96774193548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74</v>
      </c>
      <c r="G10" s="42" t="n">
        <f aca="false">$B$11*7/$Z$3</f>
        <v>1670.96774193548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1670.96774193548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75</v>
      </c>
      <c r="G11" s="42" t="n">
        <f aca="false">$B$11*7/$Z$3</f>
        <v>1670.96774193548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1670.96774193548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76</v>
      </c>
      <c r="G12" s="42" t="n">
        <f aca="false">$B$11*($Z$3-28)/$Z$3</f>
        <v>716.129032258065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716.129032258065</v>
      </c>
    </row>
    <row r="13" customFormat="false" ht="15" hidden="false" customHeight="false" outlineLevel="0" collapsed="false">
      <c r="A13" s="35" t="s">
        <v>34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77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78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51</v>
      </c>
      <c r="B25" s="76" t="s">
        <v>69</v>
      </c>
      <c r="C25" s="76" t="s">
        <v>53</v>
      </c>
      <c r="D25" s="76" t="s">
        <v>54</v>
      </c>
      <c r="F25" s="77" t="s">
        <v>51</v>
      </c>
      <c r="G25" s="77" t="s">
        <v>69</v>
      </c>
      <c r="H25" s="77" t="s">
        <v>53</v>
      </c>
      <c r="I25" s="77" t="s">
        <v>71</v>
      </c>
      <c r="K25" s="78" t="s">
        <v>51</v>
      </c>
      <c r="L25" s="78" t="s">
        <v>69</v>
      </c>
      <c r="M25" s="78" t="s">
        <v>53</v>
      </c>
      <c r="N25" s="78" t="s">
        <v>71</v>
      </c>
      <c r="P25" s="67" t="s">
        <v>51</v>
      </c>
      <c r="Q25" s="67" t="s">
        <v>69</v>
      </c>
      <c r="R25" s="67" t="s">
        <v>53</v>
      </c>
      <c r="S25" s="67" t="s">
        <v>71</v>
      </c>
      <c r="U25" s="79" t="s">
        <v>51</v>
      </c>
      <c r="V25" s="79" t="s">
        <v>69</v>
      </c>
      <c r="W25" s="79" t="s">
        <v>53</v>
      </c>
      <c r="X25" s="79" t="s">
        <v>71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77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77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77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77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77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3D9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"&amp;"אוגוסט"&amp;" "&amp;הגדרות!$C$3&amp;" – תקציב חודשי"</f>
        <v> 🗓️ אוגוסט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DATE(הגדרות!$C$3,8,1)</f>
        <v>46235</v>
      </c>
    </row>
    <row r="2" customFormat="false" ht="19.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DATE(הגדרות!$C$3,9,1)</f>
        <v>46266</v>
      </c>
    </row>
    <row r="3" customFormat="false" ht="15" hidden="false" customHeight="false" outlineLevel="0" collapsed="false">
      <c r="Z3" s="0" t="n">
        <f aca="false">Z2-Z1</f>
        <v>31</v>
      </c>
    </row>
    <row r="4" customFormat="false" ht="19.5" hidden="false" customHeight="true" outlineLevel="0" collapsed="false">
      <c r="A4" s="15" t="s">
        <v>65</v>
      </c>
      <c r="B4" s="15"/>
      <c r="C4" s="15"/>
      <c r="D4" s="15"/>
      <c r="F4" s="16" t="s">
        <v>66</v>
      </c>
      <c r="G4" s="16"/>
      <c r="H4" s="16"/>
      <c r="I4" s="16"/>
      <c r="K4" s="17" t="s">
        <v>30</v>
      </c>
      <c r="L4" s="17"/>
      <c r="M4" s="17"/>
      <c r="N4" s="17"/>
      <c r="P4" s="18" t="s">
        <v>31</v>
      </c>
      <c r="Q4" s="18"/>
      <c r="R4" s="18"/>
      <c r="S4" s="18"/>
      <c r="U4" s="65" t="s">
        <v>67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68</v>
      </c>
      <c r="B7" s="40" t="s">
        <v>69</v>
      </c>
      <c r="C7" s="40" t="s">
        <v>53</v>
      </c>
      <c r="D7" s="40" t="s">
        <v>54</v>
      </c>
      <c r="F7" s="67" t="s">
        <v>70</v>
      </c>
      <c r="G7" s="67" t="s">
        <v>69</v>
      </c>
      <c r="H7" s="67" t="s">
        <v>53</v>
      </c>
      <c r="I7" s="67" t="s">
        <v>71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72</v>
      </c>
      <c r="G8" s="42" t="n">
        <f aca="false">$B$11*7/$Z$3</f>
        <v>1670.96774193548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1670.96774193548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73</v>
      </c>
      <c r="G9" s="42" t="n">
        <f aca="false">$B$11*7/$Z$3</f>
        <v>1670.96774193548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1670.96774193548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74</v>
      </c>
      <c r="G10" s="42" t="n">
        <f aca="false">$B$11*7/$Z$3</f>
        <v>1670.96774193548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1670.96774193548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75</v>
      </c>
      <c r="G11" s="42" t="n">
        <f aca="false">$B$11*7/$Z$3</f>
        <v>1670.96774193548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1670.96774193548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76</v>
      </c>
      <c r="G12" s="42" t="n">
        <f aca="false">$B$11*($Z$3-28)/$Z$3</f>
        <v>716.129032258065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716.129032258065</v>
      </c>
    </row>
    <row r="13" customFormat="false" ht="15" hidden="false" customHeight="false" outlineLevel="0" collapsed="false">
      <c r="A13" s="35" t="s">
        <v>34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77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78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51</v>
      </c>
      <c r="B25" s="76" t="s">
        <v>69</v>
      </c>
      <c r="C25" s="76" t="s">
        <v>53</v>
      </c>
      <c r="D25" s="76" t="s">
        <v>54</v>
      </c>
      <c r="F25" s="77" t="s">
        <v>51</v>
      </c>
      <c r="G25" s="77" t="s">
        <v>69</v>
      </c>
      <c r="H25" s="77" t="s">
        <v>53</v>
      </c>
      <c r="I25" s="77" t="s">
        <v>71</v>
      </c>
      <c r="K25" s="78" t="s">
        <v>51</v>
      </c>
      <c r="L25" s="78" t="s">
        <v>69</v>
      </c>
      <c r="M25" s="78" t="s">
        <v>53</v>
      </c>
      <c r="N25" s="78" t="s">
        <v>71</v>
      </c>
      <c r="P25" s="67" t="s">
        <v>51</v>
      </c>
      <c r="Q25" s="67" t="s">
        <v>69</v>
      </c>
      <c r="R25" s="67" t="s">
        <v>53</v>
      </c>
      <c r="S25" s="67" t="s">
        <v>71</v>
      </c>
      <c r="U25" s="79" t="s">
        <v>51</v>
      </c>
      <c r="V25" s="79" t="s">
        <v>69</v>
      </c>
      <c r="W25" s="79" t="s">
        <v>53</v>
      </c>
      <c r="X25" s="79" t="s">
        <v>71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77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77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77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77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77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B26B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"&amp;"ספטמבר"&amp;" "&amp;הגדרות!$C$3&amp;" – תקציב חודשי"</f>
        <v> 🗓️ ספטמבר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DATE(הגדרות!$C$3,9,1)</f>
        <v>46266</v>
      </c>
    </row>
    <row r="2" customFormat="false" ht="19.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DATE(הגדרות!$C$3,10,1)</f>
        <v>46296</v>
      </c>
    </row>
    <row r="3" customFormat="false" ht="15" hidden="false" customHeight="false" outlineLevel="0" collapsed="false">
      <c r="Z3" s="0" t="n">
        <f aca="false">Z2-Z1</f>
        <v>30</v>
      </c>
    </row>
    <row r="4" customFormat="false" ht="19.5" hidden="false" customHeight="true" outlineLevel="0" collapsed="false">
      <c r="A4" s="15" t="s">
        <v>65</v>
      </c>
      <c r="B4" s="15"/>
      <c r="C4" s="15"/>
      <c r="D4" s="15"/>
      <c r="F4" s="16" t="s">
        <v>66</v>
      </c>
      <c r="G4" s="16"/>
      <c r="H4" s="16"/>
      <c r="I4" s="16"/>
      <c r="K4" s="17" t="s">
        <v>30</v>
      </c>
      <c r="L4" s="17"/>
      <c r="M4" s="17"/>
      <c r="N4" s="17"/>
      <c r="P4" s="18" t="s">
        <v>31</v>
      </c>
      <c r="Q4" s="18"/>
      <c r="R4" s="18"/>
      <c r="S4" s="18"/>
      <c r="U4" s="65" t="s">
        <v>67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68</v>
      </c>
      <c r="B7" s="40" t="s">
        <v>69</v>
      </c>
      <c r="C7" s="40" t="s">
        <v>53</v>
      </c>
      <c r="D7" s="40" t="s">
        <v>54</v>
      </c>
      <c r="F7" s="67" t="s">
        <v>70</v>
      </c>
      <c r="G7" s="67" t="s">
        <v>69</v>
      </c>
      <c r="H7" s="67" t="s">
        <v>53</v>
      </c>
      <c r="I7" s="67" t="s">
        <v>71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72</v>
      </c>
      <c r="G8" s="42" t="n">
        <f aca="false">$B$11*7/$Z$3</f>
        <v>1726.66666666667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1726.66666666667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73</v>
      </c>
      <c r="G9" s="42" t="n">
        <f aca="false">$B$11*7/$Z$3</f>
        <v>1726.66666666667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1726.66666666667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74</v>
      </c>
      <c r="G10" s="42" t="n">
        <f aca="false">$B$11*7/$Z$3</f>
        <v>1726.66666666667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1726.66666666667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75</v>
      </c>
      <c r="G11" s="42" t="n">
        <f aca="false">$B$11*7/$Z$3</f>
        <v>1726.66666666667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1726.66666666667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76</v>
      </c>
      <c r="G12" s="42" t="n">
        <f aca="false">$B$11*($Z$3-28)/$Z$3</f>
        <v>493.333333333333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493.333333333333</v>
      </c>
    </row>
    <row r="13" customFormat="false" ht="15" hidden="false" customHeight="false" outlineLevel="0" collapsed="false">
      <c r="A13" s="35" t="s">
        <v>34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77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78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51</v>
      </c>
      <c r="B25" s="76" t="s">
        <v>69</v>
      </c>
      <c r="C25" s="76" t="s">
        <v>53</v>
      </c>
      <c r="D25" s="76" t="s">
        <v>54</v>
      </c>
      <c r="F25" s="77" t="s">
        <v>51</v>
      </c>
      <c r="G25" s="77" t="s">
        <v>69</v>
      </c>
      <c r="H25" s="77" t="s">
        <v>53</v>
      </c>
      <c r="I25" s="77" t="s">
        <v>71</v>
      </c>
      <c r="K25" s="78" t="s">
        <v>51</v>
      </c>
      <c r="L25" s="78" t="s">
        <v>69</v>
      </c>
      <c r="M25" s="78" t="s">
        <v>53</v>
      </c>
      <c r="N25" s="78" t="s">
        <v>71</v>
      </c>
      <c r="P25" s="67" t="s">
        <v>51</v>
      </c>
      <c r="Q25" s="67" t="s">
        <v>69</v>
      </c>
      <c r="R25" s="67" t="s">
        <v>53</v>
      </c>
      <c r="S25" s="67" t="s">
        <v>71</v>
      </c>
      <c r="U25" s="79" t="s">
        <v>51</v>
      </c>
      <c r="V25" s="79" t="s">
        <v>69</v>
      </c>
      <c r="W25" s="79" t="s">
        <v>53</v>
      </c>
      <c r="X25" s="79" t="s">
        <v>71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77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77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77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77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77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6666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"&amp;"אוקטובר"&amp;" "&amp;הגדרות!$C$3&amp;" – תקציב חודשי"</f>
        <v> 🗓️ אוקטובר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DATE(הגדרות!$C$3,10,1)</f>
        <v>46296</v>
      </c>
    </row>
    <row r="2" customFormat="false" ht="19.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DATE(הגדרות!$C$3,11,1)</f>
        <v>46327</v>
      </c>
    </row>
    <row r="3" customFormat="false" ht="15" hidden="false" customHeight="false" outlineLevel="0" collapsed="false">
      <c r="Z3" s="0" t="n">
        <f aca="false">Z2-Z1</f>
        <v>31</v>
      </c>
    </row>
    <row r="4" customFormat="false" ht="19.5" hidden="false" customHeight="true" outlineLevel="0" collapsed="false">
      <c r="A4" s="15" t="s">
        <v>65</v>
      </c>
      <c r="B4" s="15"/>
      <c r="C4" s="15"/>
      <c r="D4" s="15"/>
      <c r="F4" s="16" t="s">
        <v>66</v>
      </c>
      <c r="G4" s="16"/>
      <c r="H4" s="16"/>
      <c r="I4" s="16"/>
      <c r="K4" s="17" t="s">
        <v>30</v>
      </c>
      <c r="L4" s="17"/>
      <c r="M4" s="17"/>
      <c r="N4" s="17"/>
      <c r="P4" s="18" t="s">
        <v>31</v>
      </c>
      <c r="Q4" s="18"/>
      <c r="R4" s="18"/>
      <c r="S4" s="18"/>
      <c r="U4" s="65" t="s">
        <v>67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68</v>
      </c>
      <c r="B7" s="40" t="s">
        <v>69</v>
      </c>
      <c r="C7" s="40" t="s">
        <v>53</v>
      </c>
      <c r="D7" s="40" t="s">
        <v>54</v>
      </c>
      <c r="F7" s="67" t="s">
        <v>70</v>
      </c>
      <c r="G7" s="67" t="s">
        <v>69</v>
      </c>
      <c r="H7" s="67" t="s">
        <v>53</v>
      </c>
      <c r="I7" s="67" t="s">
        <v>71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72</v>
      </c>
      <c r="G8" s="42" t="n">
        <f aca="false">$B$11*7/$Z$3</f>
        <v>1670.96774193548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1670.96774193548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73</v>
      </c>
      <c r="G9" s="42" t="n">
        <f aca="false">$B$11*7/$Z$3</f>
        <v>1670.96774193548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1670.96774193548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74</v>
      </c>
      <c r="G10" s="42" t="n">
        <f aca="false">$B$11*7/$Z$3</f>
        <v>1670.96774193548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1670.96774193548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75</v>
      </c>
      <c r="G11" s="42" t="n">
        <f aca="false">$B$11*7/$Z$3</f>
        <v>1670.96774193548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1670.96774193548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76</v>
      </c>
      <c r="G12" s="42" t="n">
        <f aca="false">$B$11*($Z$3-28)/$Z$3</f>
        <v>716.129032258065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716.129032258065</v>
      </c>
    </row>
    <row r="13" customFormat="false" ht="15" hidden="false" customHeight="false" outlineLevel="0" collapsed="false">
      <c r="A13" s="35" t="s">
        <v>34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77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78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51</v>
      </c>
      <c r="B25" s="76" t="s">
        <v>69</v>
      </c>
      <c r="C25" s="76" t="s">
        <v>53</v>
      </c>
      <c r="D25" s="76" t="s">
        <v>54</v>
      </c>
      <c r="F25" s="77" t="s">
        <v>51</v>
      </c>
      <c r="G25" s="77" t="s">
        <v>69</v>
      </c>
      <c r="H25" s="77" t="s">
        <v>53</v>
      </c>
      <c r="I25" s="77" t="s">
        <v>71</v>
      </c>
      <c r="K25" s="78" t="s">
        <v>51</v>
      </c>
      <c r="L25" s="78" t="s">
        <v>69</v>
      </c>
      <c r="M25" s="78" t="s">
        <v>53</v>
      </c>
      <c r="N25" s="78" t="s">
        <v>71</v>
      </c>
      <c r="P25" s="67" t="s">
        <v>51</v>
      </c>
      <c r="Q25" s="67" t="s">
        <v>69</v>
      </c>
      <c r="R25" s="67" t="s">
        <v>53</v>
      </c>
      <c r="S25" s="67" t="s">
        <v>71</v>
      </c>
      <c r="U25" s="79" t="s">
        <v>51</v>
      </c>
      <c r="V25" s="79" t="s">
        <v>69</v>
      </c>
      <c r="W25" s="79" t="s">
        <v>53</v>
      </c>
      <c r="X25" s="79" t="s">
        <v>71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77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77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77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77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77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C5E8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"&amp;"נובמבר"&amp;" "&amp;הגדרות!$C$3&amp;" – תקציב חודשי"</f>
        <v> 🗓️ נובמבר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DATE(הגדרות!$C$3,11,1)</f>
        <v>46327</v>
      </c>
    </row>
    <row r="2" customFormat="false" ht="19.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DATE(הגדרות!$C$3,12,1)</f>
        <v>46357</v>
      </c>
    </row>
    <row r="3" customFormat="false" ht="15" hidden="false" customHeight="false" outlineLevel="0" collapsed="false">
      <c r="Z3" s="0" t="n">
        <f aca="false">Z2-Z1</f>
        <v>30</v>
      </c>
    </row>
    <row r="4" customFormat="false" ht="19.5" hidden="false" customHeight="true" outlineLevel="0" collapsed="false">
      <c r="A4" s="15" t="s">
        <v>65</v>
      </c>
      <c r="B4" s="15"/>
      <c r="C4" s="15"/>
      <c r="D4" s="15"/>
      <c r="F4" s="16" t="s">
        <v>66</v>
      </c>
      <c r="G4" s="16"/>
      <c r="H4" s="16"/>
      <c r="I4" s="16"/>
      <c r="K4" s="17" t="s">
        <v>30</v>
      </c>
      <c r="L4" s="17"/>
      <c r="M4" s="17"/>
      <c r="N4" s="17"/>
      <c r="P4" s="18" t="s">
        <v>31</v>
      </c>
      <c r="Q4" s="18"/>
      <c r="R4" s="18"/>
      <c r="S4" s="18"/>
      <c r="U4" s="65" t="s">
        <v>67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68</v>
      </c>
      <c r="B7" s="40" t="s">
        <v>69</v>
      </c>
      <c r="C7" s="40" t="s">
        <v>53</v>
      </c>
      <c r="D7" s="40" t="s">
        <v>54</v>
      </c>
      <c r="F7" s="67" t="s">
        <v>70</v>
      </c>
      <c r="G7" s="67" t="s">
        <v>69</v>
      </c>
      <c r="H7" s="67" t="s">
        <v>53</v>
      </c>
      <c r="I7" s="67" t="s">
        <v>71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72</v>
      </c>
      <c r="G8" s="42" t="n">
        <f aca="false">$B$11*7/$Z$3</f>
        <v>1726.66666666667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1726.66666666667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73</v>
      </c>
      <c r="G9" s="42" t="n">
        <f aca="false">$B$11*7/$Z$3</f>
        <v>1726.66666666667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1726.66666666667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74</v>
      </c>
      <c r="G10" s="42" t="n">
        <f aca="false">$B$11*7/$Z$3</f>
        <v>1726.66666666667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1726.66666666667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75</v>
      </c>
      <c r="G11" s="42" t="n">
        <f aca="false">$B$11*7/$Z$3</f>
        <v>1726.66666666667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1726.66666666667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76</v>
      </c>
      <c r="G12" s="42" t="n">
        <f aca="false">$B$11*($Z$3-28)/$Z$3</f>
        <v>493.333333333333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493.333333333333</v>
      </c>
    </row>
    <row r="13" customFormat="false" ht="15" hidden="false" customHeight="false" outlineLevel="0" collapsed="false">
      <c r="A13" s="35" t="s">
        <v>34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77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78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51</v>
      </c>
      <c r="B25" s="76" t="s">
        <v>69</v>
      </c>
      <c r="C25" s="76" t="s">
        <v>53</v>
      </c>
      <c r="D25" s="76" t="s">
        <v>54</v>
      </c>
      <c r="F25" s="77" t="s">
        <v>51</v>
      </c>
      <c r="G25" s="77" t="s">
        <v>69</v>
      </c>
      <c r="H25" s="77" t="s">
        <v>53</v>
      </c>
      <c r="I25" s="77" t="s">
        <v>71</v>
      </c>
      <c r="K25" s="78" t="s">
        <v>51</v>
      </c>
      <c r="L25" s="78" t="s">
        <v>69</v>
      </c>
      <c r="M25" s="78" t="s">
        <v>53</v>
      </c>
      <c r="N25" s="78" t="s">
        <v>71</v>
      </c>
      <c r="P25" s="67" t="s">
        <v>51</v>
      </c>
      <c r="Q25" s="67" t="s">
        <v>69</v>
      </c>
      <c r="R25" s="67" t="s">
        <v>53</v>
      </c>
      <c r="S25" s="67" t="s">
        <v>71</v>
      </c>
      <c r="U25" s="79" t="s">
        <v>51</v>
      </c>
      <c r="V25" s="79" t="s">
        <v>69</v>
      </c>
      <c r="W25" s="79" t="s">
        <v>53</v>
      </c>
      <c r="X25" s="79" t="s">
        <v>71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77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77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77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77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77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C47D"/>
    <pageSetUpPr fitToPage="true"/>
  </sheetPr>
  <dimension ref="A1:Z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2"/>
    <col collapsed="false" customWidth="true" hidden="false" outlineLevel="0" max="11" min="11" style="0" width="20"/>
    <col collapsed="false" customWidth="true" hidden="false" outlineLevel="0" max="14" min="12" style="0" width="11"/>
    <col collapsed="false" customWidth="true" hidden="false" outlineLevel="0" max="15" min="15" style="0" width="2"/>
    <col collapsed="false" customWidth="true" hidden="false" outlineLevel="0" max="16" min="16" style="0" width="20"/>
    <col collapsed="false" customWidth="true" hidden="false" outlineLevel="0" max="19" min="17" style="0" width="11"/>
    <col collapsed="false" customWidth="true" hidden="false" outlineLevel="0" max="20" min="20" style="0" width="2"/>
    <col collapsed="false" customWidth="true" hidden="false" outlineLevel="0" max="21" min="21" style="0" width="20"/>
    <col collapsed="false" customWidth="true" hidden="false" outlineLevel="0" max="24" min="22" style="0" width="11"/>
    <col collapsed="false" customWidth="true" hidden="true" outlineLevel="0" max="26" min="26" style="0" width="13"/>
  </cols>
  <sheetData>
    <row r="1" customFormat="false" ht="39.75" hidden="false" customHeight="true" outlineLevel="0" collapsed="false">
      <c r="A1" s="1" t="str">
        <f aca="false">" 🗓️ "&amp;"דצמבר"&amp;" "&amp;הגדרות!$C$3&amp;" – תקציב חודשי"</f>
        <v> 🗓️ דצמבר 2026 – תקציב חודשי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64" t="n">
        <f aca="false">DATE(הגדרות!$C$3,12,1)</f>
        <v>46357</v>
      </c>
    </row>
    <row r="2" customFormat="false" ht="19.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64" t="n">
        <f aca="false">DATE(הגדרות!$C$3,13,1)</f>
        <v>46388</v>
      </c>
    </row>
    <row r="3" customFormat="false" ht="15" hidden="false" customHeight="false" outlineLevel="0" collapsed="false">
      <c r="Z3" s="0" t="n">
        <f aca="false">Z2-Z1</f>
        <v>31</v>
      </c>
    </row>
    <row r="4" customFormat="false" ht="19.5" hidden="false" customHeight="true" outlineLevel="0" collapsed="false">
      <c r="A4" s="15" t="s">
        <v>65</v>
      </c>
      <c r="B4" s="15"/>
      <c r="C4" s="15"/>
      <c r="D4" s="15"/>
      <c r="F4" s="16" t="s">
        <v>66</v>
      </c>
      <c r="G4" s="16"/>
      <c r="H4" s="16"/>
      <c r="I4" s="16"/>
      <c r="K4" s="17" t="s">
        <v>30</v>
      </c>
      <c r="L4" s="17"/>
      <c r="M4" s="17"/>
      <c r="N4" s="17"/>
      <c r="P4" s="18" t="s">
        <v>31</v>
      </c>
      <c r="Q4" s="18"/>
      <c r="R4" s="18"/>
      <c r="S4" s="18"/>
      <c r="U4" s="65" t="s">
        <v>67</v>
      </c>
      <c r="V4" s="65"/>
      <c r="W4" s="65"/>
      <c r="X4" s="65"/>
    </row>
    <row r="5" customFormat="false" ht="33.75" hidden="false" customHeight="true" outlineLevel="0" collapsed="false">
      <c r="A5" s="19" t="n">
        <f aca="false">C8</f>
        <v>0</v>
      </c>
      <c r="B5" s="19"/>
      <c r="C5" s="19"/>
      <c r="D5" s="19"/>
      <c r="F5" s="20" t="n">
        <f aca="false">SUM(C9:C12)</f>
        <v>0</v>
      </c>
      <c r="G5" s="20"/>
      <c r="H5" s="20"/>
      <c r="I5" s="20"/>
      <c r="K5" s="21" t="n">
        <f aca="false">C13</f>
        <v>0</v>
      </c>
      <c r="L5" s="21"/>
      <c r="M5" s="21"/>
      <c r="N5" s="21"/>
      <c r="P5" s="22" t="str">
        <f aca="false">IF(C8=0,"–",C9/C8)</f>
        <v>–</v>
      </c>
      <c r="Q5" s="22"/>
      <c r="R5" s="22"/>
      <c r="S5" s="22"/>
      <c r="U5" s="66" t="n">
        <f aca="false">IF(B11=0,"–",C11/B11)</f>
        <v>0</v>
      </c>
      <c r="V5" s="66"/>
      <c r="W5" s="66"/>
      <c r="X5" s="66"/>
    </row>
    <row r="7" customFormat="false" ht="15" hidden="false" customHeight="false" outlineLevel="0" collapsed="false">
      <c r="A7" s="40" t="s">
        <v>68</v>
      </c>
      <c r="B7" s="40" t="s">
        <v>69</v>
      </c>
      <c r="C7" s="40" t="s">
        <v>53</v>
      </c>
      <c r="D7" s="40" t="s">
        <v>54</v>
      </c>
      <c r="F7" s="67" t="s">
        <v>70</v>
      </c>
      <c r="G7" s="67" t="s">
        <v>69</v>
      </c>
      <c r="H7" s="67" t="s">
        <v>53</v>
      </c>
      <c r="I7" s="67" t="s">
        <v>71</v>
      </c>
    </row>
    <row r="8" customFormat="false" ht="15" hidden="false" customHeight="false" outlineLevel="0" collapsed="false">
      <c r="A8" s="54" t="s">
        <v>16</v>
      </c>
      <c r="B8" s="42" t="n">
        <f aca="false">B41</f>
        <v>25320</v>
      </c>
      <c r="C8" s="43" t="n">
        <f aca="false">C41</f>
        <v>0</v>
      </c>
      <c r="D8" s="42" t="n">
        <f aca="false">C8-B8</f>
        <v>-25320</v>
      </c>
      <c r="F8" s="7" t="s">
        <v>72</v>
      </c>
      <c r="G8" s="42" t="n">
        <f aca="false">$B$11*7/$Z$3</f>
        <v>1670.96774193548</v>
      </c>
      <c r="H8" s="43" t="n">
        <f aca="false">SUMIFS(תנועות!$E$6:$E$2005,תנועות!$C$6:$C$2005,"הוצאות משתנות",תנועות!$A$6:$A$2005,"&gt;="&amp;($Z$1+0),תנועות!$A$6:$A$2005,"&lt;"&amp;$Z$1+7)</f>
        <v>0</v>
      </c>
      <c r="I8" s="42" t="n">
        <f aca="false">G8-H8</f>
        <v>1670.96774193548</v>
      </c>
    </row>
    <row r="9" customFormat="false" ht="15" hidden="false" customHeight="false" outlineLevel="0" collapsed="false">
      <c r="A9" s="59" t="s">
        <v>17</v>
      </c>
      <c r="B9" s="42" t="n">
        <f aca="false">G41</f>
        <v>5400</v>
      </c>
      <c r="C9" s="43" t="n">
        <f aca="false">H41</f>
        <v>0</v>
      </c>
      <c r="D9" s="42" t="n">
        <f aca="false">B9-C9</f>
        <v>5400</v>
      </c>
      <c r="F9" s="7" t="s">
        <v>73</v>
      </c>
      <c r="G9" s="42" t="n">
        <f aca="false">$B$11*7/$Z$3</f>
        <v>1670.96774193548</v>
      </c>
      <c r="H9" s="43" t="n">
        <f aca="false">SUMIFS(תנועות!$E$6:$E$2005,תנועות!$C$6:$C$2005,"הוצאות משתנות",תנועות!$A$6:$A$2005,"&gt;="&amp;($Z$1+7),תנועות!$A$6:$A$2005,"&lt;"&amp;$Z$1+14)</f>
        <v>0</v>
      </c>
      <c r="I9" s="42" t="n">
        <f aca="false">G9-H9</f>
        <v>1670.96774193548</v>
      </c>
    </row>
    <row r="10" customFormat="false" ht="15" hidden="false" customHeight="false" outlineLevel="0" collapsed="false">
      <c r="A10" s="60" t="s">
        <v>18</v>
      </c>
      <c r="B10" s="42" t="n">
        <f aca="false">L41</f>
        <v>7925</v>
      </c>
      <c r="C10" s="43" t="n">
        <f aca="false">M41</f>
        <v>0</v>
      </c>
      <c r="D10" s="42" t="n">
        <f aca="false">B10-C10</f>
        <v>7925</v>
      </c>
      <c r="F10" s="7" t="s">
        <v>74</v>
      </c>
      <c r="G10" s="42" t="n">
        <f aca="false">$B$11*7/$Z$3</f>
        <v>1670.96774193548</v>
      </c>
      <c r="H10" s="43" t="n">
        <f aca="false">SUMIFS(תנועות!$E$6:$E$2005,תנועות!$C$6:$C$2005,"הוצאות משתנות",תנועות!$A$6:$A$2005,"&gt;="&amp;($Z$1+14),תנועות!$A$6:$A$2005,"&lt;"&amp;$Z$1+21)</f>
        <v>0</v>
      </c>
      <c r="I10" s="42" t="n">
        <f aca="false">G10-H10</f>
        <v>1670.96774193548</v>
      </c>
    </row>
    <row r="11" customFormat="false" ht="15" hidden="false" customHeight="false" outlineLevel="0" collapsed="false">
      <c r="A11" s="61" t="s">
        <v>19</v>
      </c>
      <c r="B11" s="42" t="n">
        <f aca="false">Q41</f>
        <v>7400</v>
      </c>
      <c r="C11" s="43" t="n">
        <f aca="false">R41</f>
        <v>0</v>
      </c>
      <c r="D11" s="42" t="n">
        <f aca="false">B11-C11</f>
        <v>7400</v>
      </c>
      <c r="F11" s="7" t="s">
        <v>75</v>
      </c>
      <c r="G11" s="42" t="n">
        <f aca="false">$B$11*7/$Z$3</f>
        <v>1670.96774193548</v>
      </c>
      <c r="H11" s="43" t="n">
        <f aca="false">SUMIFS(תנועות!$E$6:$E$2005,תנועות!$C$6:$C$2005,"הוצאות משתנות",תנועות!$A$6:$A$2005,"&gt;="&amp;($Z$1+21),תנועות!$A$6:$A$2005,"&lt;"&amp;$Z$1+28)</f>
        <v>0</v>
      </c>
      <c r="I11" s="42" t="n">
        <f aca="false">G11-H11</f>
        <v>1670.96774193548</v>
      </c>
    </row>
    <row r="12" customFormat="false" ht="15" hidden="false" customHeight="false" outlineLevel="0" collapsed="false">
      <c r="A12" s="62" t="s">
        <v>20</v>
      </c>
      <c r="B12" s="42" t="n">
        <f aca="false">V41</f>
        <v>2300</v>
      </c>
      <c r="C12" s="43" t="n">
        <f aca="false">W41</f>
        <v>0</v>
      </c>
      <c r="D12" s="42" t="n">
        <f aca="false">B12-C12</f>
        <v>2300</v>
      </c>
      <c r="F12" s="7" t="s">
        <v>76</v>
      </c>
      <c r="G12" s="42" t="n">
        <f aca="false">$B$11*($Z$3-28)/$Z$3</f>
        <v>716.129032258065</v>
      </c>
      <c r="H12" s="43" t="n">
        <f aca="false">SUMIFS(תנועות!$E$6:$E$2005,תנועות!$C$6:$C$2005,"הוצאות משתנות",תנועות!$A$6:$A$2005,"&gt;="&amp;($Z$1+28),תנועות!$A$6:$A$2005,"&lt;"&amp;$Z$2)</f>
        <v>0</v>
      </c>
      <c r="I12" s="42" t="n">
        <f aca="false">G12-H12</f>
        <v>716.129032258065</v>
      </c>
    </row>
    <row r="13" customFormat="false" ht="15" hidden="false" customHeight="false" outlineLevel="0" collapsed="false">
      <c r="A13" s="35" t="s">
        <v>34</v>
      </c>
      <c r="B13" s="36" t="n">
        <f aca="false">B8-SUM(B9:B12)</f>
        <v>2295</v>
      </c>
      <c r="C13" s="36" t="n">
        <f aca="false">C8-SUM(C9:C12)</f>
        <v>0</v>
      </c>
      <c r="D13" s="36" t="n">
        <f aca="false">C13-B13</f>
        <v>-2295</v>
      </c>
      <c r="F13" s="68" t="s">
        <v>77</v>
      </c>
      <c r="G13" s="69" t="n">
        <f aca="false">SUM(G8:G12)</f>
        <v>7400</v>
      </c>
      <c r="H13" s="69" t="n">
        <f aca="false">SUM(H8:H12)</f>
        <v>0</v>
      </c>
      <c r="I13" s="69" t="n">
        <f aca="false">SUM(I8:I12)</f>
        <v>7400</v>
      </c>
    </row>
    <row r="15" customFormat="false" ht="15" hidden="false" customHeight="true" outlineLevel="0" collapsed="false">
      <c r="A15" s="70" t="s">
        <v>78</v>
      </c>
      <c r="B15" s="70"/>
      <c r="C15" s="70"/>
      <c r="D15" s="70"/>
      <c r="E15" s="70"/>
      <c r="F15" s="70"/>
      <c r="G15" s="70"/>
      <c r="H15" s="70"/>
      <c r="I15" s="70"/>
    </row>
    <row r="16" customFormat="false" ht="15" hidden="false" customHeight="false" outlineLevel="0" collapsed="false">
      <c r="A16" s="70"/>
      <c r="B16" s="70"/>
      <c r="C16" s="70"/>
      <c r="D16" s="70"/>
      <c r="E16" s="70"/>
      <c r="F16" s="70"/>
      <c r="G16" s="70"/>
      <c r="H16" s="70"/>
      <c r="I16" s="70"/>
    </row>
    <row r="24" customFormat="false" ht="15" hidden="false" customHeight="true" outlineLevel="0" collapsed="false">
      <c r="A24" s="71" t="s">
        <v>16</v>
      </c>
      <c r="B24" s="71"/>
      <c r="C24" s="71"/>
      <c r="D24" s="71"/>
      <c r="F24" s="72" t="s">
        <v>17</v>
      </c>
      <c r="G24" s="72"/>
      <c r="H24" s="72"/>
      <c r="I24" s="72"/>
      <c r="K24" s="73" t="s">
        <v>18</v>
      </c>
      <c r="L24" s="73"/>
      <c r="M24" s="73"/>
      <c r="N24" s="73"/>
      <c r="P24" s="74" t="s">
        <v>19</v>
      </c>
      <c r="Q24" s="74"/>
      <c r="R24" s="74"/>
      <c r="S24" s="74"/>
      <c r="U24" s="75" t="s">
        <v>20</v>
      </c>
      <c r="V24" s="75"/>
      <c r="W24" s="75"/>
      <c r="X24" s="75"/>
    </row>
    <row r="25" customFormat="false" ht="15" hidden="false" customHeight="false" outlineLevel="0" collapsed="false">
      <c r="A25" s="76" t="s">
        <v>51</v>
      </c>
      <c r="B25" s="76" t="s">
        <v>69</v>
      </c>
      <c r="C25" s="76" t="s">
        <v>53</v>
      </c>
      <c r="D25" s="76" t="s">
        <v>54</v>
      </c>
      <c r="F25" s="77" t="s">
        <v>51</v>
      </c>
      <c r="G25" s="77" t="s">
        <v>69</v>
      </c>
      <c r="H25" s="77" t="s">
        <v>53</v>
      </c>
      <c r="I25" s="77" t="s">
        <v>71</v>
      </c>
      <c r="K25" s="78" t="s">
        <v>51</v>
      </c>
      <c r="L25" s="78" t="s">
        <v>69</v>
      </c>
      <c r="M25" s="78" t="s">
        <v>53</v>
      </c>
      <c r="N25" s="78" t="s">
        <v>71</v>
      </c>
      <c r="P25" s="67" t="s">
        <v>51</v>
      </c>
      <c r="Q25" s="67" t="s">
        <v>69</v>
      </c>
      <c r="R25" s="67" t="s">
        <v>53</v>
      </c>
      <c r="S25" s="67" t="s">
        <v>71</v>
      </c>
      <c r="U25" s="79" t="s">
        <v>51</v>
      </c>
      <c r="V25" s="79" t="s">
        <v>69</v>
      </c>
      <c r="W25" s="79" t="s">
        <v>53</v>
      </c>
      <c r="X25" s="79" t="s">
        <v>71</v>
      </c>
    </row>
    <row r="26" customFormat="false" ht="15" hidden="false" customHeight="false" outlineLevel="0" collapsed="false">
      <c r="A26" s="80" t="str">
        <f aca="false">IF(הגדרות!$B$8="","",הגדרות!$B$8)</f>
        <v>משכורת 1</v>
      </c>
      <c r="B26" s="81" t="n">
        <f aca="false">IF(A26="","",הגדרות!$E$8)</f>
        <v>14000</v>
      </c>
      <c r="C26" s="82" t="n">
        <f aca="false">IF(A26="","",SUMIFS(תנועות!$E$6:$E$2005,תנועות!$B$6:$B$2005,A26,תנועות!$A$6:$A$2005,"&gt;="&amp;$Z$1,תנועות!$A$6:$A$2005,"&lt;"&amp;$Z$2))</f>
        <v>0</v>
      </c>
      <c r="D26" s="83" t="n">
        <f aca="false">IF(A26="","",N(C26)-N(B26))</f>
        <v>-14000</v>
      </c>
      <c r="F26" s="80" t="str">
        <f aca="false">IF(הגדרות!$B$16="","",הגדרות!$B$16)</f>
        <v>קרן חירום</v>
      </c>
      <c r="G26" s="81" t="n">
        <f aca="false">IF(F26="","",הגדרות!$E$16)</f>
        <v>1500</v>
      </c>
      <c r="H26" s="82" t="n">
        <f aca="false">IF(F26="","",SUMIFS(תנועות!$E$6:$E$2005,תנועות!$B$6:$B$2005,F26,תנועות!$A$6:$A$2005,"&gt;="&amp;$Z$1,תנועות!$A$6:$A$2005,"&lt;"&amp;$Z$2))</f>
        <v>0</v>
      </c>
      <c r="I26" s="83" t="n">
        <f aca="false">IF(F26="","",N(G26)-N(H26))</f>
        <v>1500</v>
      </c>
      <c r="K26" s="80" t="str">
        <f aca="false">IF(הגדרות!$B$21="","",הגדרות!$B$21)</f>
        <v>שכר דירה / משכנתא</v>
      </c>
      <c r="L26" s="81" t="n">
        <f aca="false">IF(K26="","",הגדרות!$E$21)</f>
        <v>5200</v>
      </c>
      <c r="M26" s="82" t="n">
        <f aca="false">IF(K26="","",SUMIFS(תנועות!$E$6:$E$2005,תנועות!$B$6:$B$2005,K26,תנועות!$A$6:$A$2005,"&gt;="&amp;$Z$1,תנועות!$A$6:$A$2005,"&lt;"&amp;$Z$2))</f>
        <v>0</v>
      </c>
      <c r="N26" s="83" t="n">
        <f aca="false">IF(K26="","",N(L26)-N(M26))</f>
        <v>5200</v>
      </c>
      <c r="P26" s="80" t="str">
        <f aca="false">IF(הגדרות!$B$33="","",הגדרות!$B$33)</f>
        <v>סופרמרקט</v>
      </c>
      <c r="Q26" s="81" t="n">
        <f aca="false">IF(P26="","",הגדרות!$E$33)</f>
        <v>2816.66666666667</v>
      </c>
      <c r="R26" s="82" t="n">
        <f aca="false">IF(P26="","",SUMIFS(תנועות!$E$6:$E$2005,תנועות!$B$6:$B$2005,P26,תנועות!$A$6:$A$2005,"&gt;="&amp;$Z$1,תנועות!$A$6:$A$2005,"&lt;"&amp;$Z$2))</f>
        <v>0</v>
      </c>
      <c r="S26" s="83" t="n">
        <f aca="false">IF(P26="","",N(Q26)-N(R26))</f>
        <v>2816.66666666667</v>
      </c>
      <c r="U26" s="80" t="str">
        <f aca="false">IF(הגדרות!$B$48="","",הגדרות!$B$48)</f>
        <v>הלוואת רכב</v>
      </c>
      <c r="V26" s="81" t="n">
        <f aca="false">IF(U26="","",הגדרות!$E$48)</f>
        <v>1100</v>
      </c>
      <c r="W26" s="82" t="n">
        <f aca="false">IF(U26="","",SUMIFS(תנועות!$E$6:$E$2005,תנועות!$B$6:$B$2005,U26,תנועות!$A$6:$A$2005,"&gt;="&amp;$Z$1,תנועות!$A$6:$A$2005,"&lt;"&amp;$Z$2))</f>
        <v>0</v>
      </c>
      <c r="X26" s="83" t="n">
        <f aca="false">IF(U26="","",N(V26)-N(W26))</f>
        <v>1100</v>
      </c>
    </row>
    <row r="27" customFormat="false" ht="15" hidden="false" customHeight="false" outlineLevel="0" collapsed="false">
      <c r="A27" s="84" t="str">
        <f aca="false">IF(הגדרות!$B$9="","",הגדרות!$B$9)</f>
        <v>משכורת 2</v>
      </c>
      <c r="B27" s="85" t="n">
        <f aca="false">IF(A27="","",הגדרות!$E$9)</f>
        <v>9500</v>
      </c>
      <c r="C27" s="86" t="n">
        <f aca="false">IF(A27="","",SUMIFS(תנועות!$E$6:$E$2005,תנועות!$B$6:$B$2005,A27,תנועות!$A$6:$A$2005,"&gt;="&amp;$Z$1,תנועות!$A$6:$A$2005,"&lt;"&amp;$Z$2))</f>
        <v>0</v>
      </c>
      <c r="D27" s="87" t="n">
        <f aca="false">IF(A27="","",N(C27)-N(B27))</f>
        <v>-9500</v>
      </c>
      <c r="F27" s="84" t="str">
        <f aca="false">IF(הגדרות!$B$17="","",הגדרות!$B$17)</f>
        <v>חופשה משפחתית</v>
      </c>
      <c r="G27" s="85" t="n">
        <f aca="false">IF(F27="","",הגדרות!$E$17)</f>
        <v>600</v>
      </c>
      <c r="H27" s="86" t="n">
        <f aca="false">IF(F27="","",SUMIFS(תנועות!$E$6:$E$2005,תנועות!$B$6:$B$2005,F27,תנועות!$A$6:$A$2005,"&gt;="&amp;$Z$1,תנועות!$A$6:$A$2005,"&lt;"&amp;$Z$2))</f>
        <v>0</v>
      </c>
      <c r="I27" s="87" t="n">
        <f aca="false">IF(F27="","",N(G27)-N(H27))</f>
        <v>600</v>
      </c>
      <c r="K27" s="84" t="str">
        <f aca="false">IF(הגדרות!$B$22="","",הגדרות!$B$22)</f>
        <v>ארנונה</v>
      </c>
      <c r="L27" s="85" t="n">
        <f aca="false">IF(K27="","",הגדרות!$E$22)</f>
        <v>450</v>
      </c>
      <c r="M27" s="86" t="n">
        <f aca="false">IF(K27="","",SUMIFS(תנועות!$E$6:$E$2005,תנועות!$B$6:$B$2005,K27,תנועות!$A$6:$A$2005,"&gt;="&amp;$Z$1,תנועות!$A$6:$A$2005,"&lt;"&amp;$Z$2))</f>
        <v>0</v>
      </c>
      <c r="N27" s="87" t="n">
        <f aca="false">IF(K27="","",N(L27)-N(M27))</f>
        <v>450</v>
      </c>
      <c r="P27" s="84" t="str">
        <f aca="false">IF(הגדרות!$B$34="","",הגדרות!$B$34)</f>
        <v>דלק</v>
      </c>
      <c r="Q27" s="85" t="n">
        <f aca="false">IF(P27="","",הגדרות!$E$34)</f>
        <v>600</v>
      </c>
      <c r="R27" s="86" t="n">
        <f aca="false">IF(P27="","",SUMIFS(תנועות!$E$6:$E$2005,תנועות!$B$6:$B$2005,P27,תנועות!$A$6:$A$2005,"&gt;="&amp;$Z$1,תנועות!$A$6:$A$2005,"&lt;"&amp;$Z$2))</f>
        <v>0</v>
      </c>
      <c r="S27" s="87" t="n">
        <f aca="false">IF(P27="","",N(Q27)-N(R27))</f>
        <v>600</v>
      </c>
      <c r="U27" s="84" t="str">
        <f aca="false">IF(הגדרות!$B$49="","",הגדרות!$B$49)</f>
        <v>הלוואה בנקאית</v>
      </c>
      <c r="V27" s="85" t="n">
        <f aca="false">IF(U27="","",הגדרות!$E$49)</f>
        <v>800</v>
      </c>
      <c r="W27" s="86" t="n">
        <f aca="false">IF(U27="","",SUMIFS(תנועות!$E$6:$E$2005,תנועות!$B$6:$B$2005,U27,תנועות!$A$6:$A$2005,"&gt;="&amp;$Z$1,תנועות!$A$6:$A$2005,"&lt;"&amp;$Z$2))</f>
        <v>0</v>
      </c>
      <c r="X27" s="87" t="n">
        <f aca="false">IF(U27="","",N(V27)-N(W27))</f>
        <v>800</v>
      </c>
    </row>
    <row r="28" customFormat="false" ht="15" hidden="false" customHeight="false" outlineLevel="0" collapsed="false">
      <c r="A28" s="80" t="str">
        <f aca="false">IF(הגדרות!$B$10="","",הגדרות!$B$10)</f>
        <v>עבודה נוספת</v>
      </c>
      <c r="B28" s="81" t="n">
        <f aca="false">IF(A28="","",הגדרות!$E$10)</f>
        <v>1500</v>
      </c>
      <c r="C28" s="82" t="n">
        <f aca="false">IF(A28="","",SUMIFS(תנועות!$E$6:$E$2005,תנועות!$B$6:$B$2005,A28,תנועות!$A$6:$A$2005,"&gt;="&amp;$Z$1,תנועות!$A$6:$A$2005,"&lt;"&amp;$Z$2))</f>
        <v>0</v>
      </c>
      <c r="D28" s="83" t="n">
        <f aca="false">IF(A28="","",N(C28)-N(B28))</f>
        <v>-1500</v>
      </c>
      <c r="F28" s="80" t="str">
        <f aca="false">IF(הגדרות!$B$18="","",הגדרות!$B$18)</f>
        <v>רכב חדש</v>
      </c>
      <c r="G28" s="81" t="n">
        <f aca="false">IF(F28="","",הגדרות!$E$18)</f>
        <v>800</v>
      </c>
      <c r="H28" s="82" t="n">
        <f aca="false">IF(F28="","",SUMIFS(תנועות!$E$6:$E$2005,תנועות!$B$6:$B$2005,F28,תנועות!$A$6:$A$2005,"&gt;="&amp;$Z$1,תנועות!$A$6:$A$2005,"&lt;"&amp;$Z$2))</f>
        <v>0</v>
      </c>
      <c r="I28" s="83" t="n">
        <f aca="false">IF(F28="","",N(G28)-N(H28))</f>
        <v>800</v>
      </c>
      <c r="K28" s="80" t="str">
        <f aca="false">IF(הגדרות!$B$23="","",הגדרות!$B$23)</f>
        <v>חשמל</v>
      </c>
      <c r="L28" s="81" t="n">
        <f aca="false">IF(K28="","",הגדרות!$E$23)</f>
        <v>350</v>
      </c>
      <c r="M28" s="82" t="n">
        <f aca="false">IF(K28="","",SUMIFS(תנועות!$E$6:$E$2005,תנועות!$B$6:$B$2005,K28,תנועות!$A$6:$A$2005,"&gt;="&amp;$Z$1,תנועות!$A$6:$A$2005,"&lt;"&amp;$Z$2))</f>
        <v>0</v>
      </c>
      <c r="N28" s="83" t="n">
        <f aca="false">IF(K28="","",N(L28)-N(M28))</f>
        <v>350</v>
      </c>
      <c r="P28" s="80" t="str">
        <f aca="false">IF(הגדרות!$B$35="","",הגדרות!$B$35)</f>
        <v>תחבורה ציבורית וחניה</v>
      </c>
      <c r="Q28" s="81" t="n">
        <f aca="false">IF(P28="","",הגדרות!$E$35)</f>
        <v>150</v>
      </c>
      <c r="R28" s="82" t="n">
        <f aca="false">IF(P28="","",SUMIFS(תנועות!$E$6:$E$2005,תנועות!$B$6:$B$2005,P28,תנועות!$A$6:$A$2005,"&gt;="&amp;$Z$1,תנועות!$A$6:$A$2005,"&lt;"&amp;$Z$2))</f>
        <v>0</v>
      </c>
      <c r="S28" s="83" t="n">
        <f aca="false">IF(P28="","",N(Q28)-N(R28))</f>
        <v>150</v>
      </c>
      <c r="U28" s="80" t="str">
        <f aca="false">IF(הגדרות!$B$50="","",הגדרות!$B$50)</f>
        <v>כרטיס אשראי – פריסה</v>
      </c>
      <c r="V28" s="81" t="n">
        <f aca="false">IF(U28="","",הגדרות!$E$50)</f>
        <v>400</v>
      </c>
      <c r="W28" s="82" t="n">
        <f aca="false">IF(U28="","",SUMIFS(תנועות!$E$6:$E$2005,תנועות!$B$6:$B$2005,U28,תנועות!$A$6:$A$2005,"&gt;="&amp;$Z$1,תנועות!$A$6:$A$2005,"&lt;"&amp;$Z$2))</f>
        <v>0</v>
      </c>
      <c r="X28" s="83" t="n">
        <f aca="false">IF(U28="","",N(V28)-N(W28))</f>
        <v>400</v>
      </c>
    </row>
    <row r="29" customFormat="false" ht="15" hidden="false" customHeight="false" outlineLevel="0" collapsed="false">
      <c r="A29" s="84" t="str">
        <f aca="false">IF(הגדרות!$B$11="","",הגדרות!$B$11)</f>
        <v>קצבת ילדים</v>
      </c>
      <c r="B29" s="85" t="n">
        <f aca="false">IF(A29="","",הגדרות!$E$11)</f>
        <v>320</v>
      </c>
      <c r="C29" s="86" t="n">
        <f aca="false">IF(A29="","",SUMIFS(תנועות!$E$6:$E$2005,תנועות!$B$6:$B$2005,A29,תנועות!$A$6:$A$2005,"&gt;="&amp;$Z$1,תנועות!$A$6:$A$2005,"&lt;"&amp;$Z$2))</f>
        <v>0</v>
      </c>
      <c r="D29" s="87" t="n">
        <f aca="false">IF(A29="","",N(C29)-N(B29))</f>
        <v>-320</v>
      </c>
      <c r="F29" s="84" t="str">
        <f aca="false">IF(הגדרות!$B$19="","",הגדרות!$B$19)</f>
        <v>דירה</v>
      </c>
      <c r="G29" s="85" t="n">
        <f aca="false">IF(F29="","",הגדרות!$E$19)</f>
        <v>1500</v>
      </c>
      <c r="H29" s="86" t="n">
        <f aca="false">IF(F29="","",SUMIFS(תנועות!$E$6:$E$2005,תנועות!$B$6:$B$2005,F29,תנועות!$A$6:$A$2005,"&gt;="&amp;$Z$1,תנועות!$A$6:$A$2005,"&lt;"&amp;$Z$2))</f>
        <v>0</v>
      </c>
      <c r="I29" s="87" t="n">
        <f aca="false">IF(F29="","",N(G29)-N(H29))</f>
        <v>1500</v>
      </c>
      <c r="K29" s="84" t="str">
        <f aca="false">IF(הגדרות!$B$24="","",הגדרות!$B$24)</f>
        <v>מים</v>
      </c>
      <c r="L29" s="85" t="n">
        <f aca="false">IF(K29="","",הגדרות!$E$24)</f>
        <v>125</v>
      </c>
      <c r="M29" s="86" t="n">
        <f aca="false">IF(K29="","",SUMIFS(תנועות!$E$6:$E$2005,תנועות!$B$6:$B$2005,K29,תנועות!$A$6:$A$2005,"&gt;="&amp;$Z$1,תנועות!$A$6:$A$2005,"&lt;"&amp;$Z$2))</f>
        <v>0</v>
      </c>
      <c r="N29" s="87" t="n">
        <f aca="false">IF(K29="","",N(L29)-N(M29))</f>
        <v>125</v>
      </c>
      <c r="P29" s="84" t="str">
        <f aca="false">IF(הגדרות!$B$36="","",הגדרות!$B$36)</f>
        <v>מסעדות ובילויים</v>
      </c>
      <c r="Q29" s="85" t="n">
        <f aca="false">IF(P29="","",הגדרות!$E$36)</f>
        <v>1083.33333333333</v>
      </c>
      <c r="R29" s="86" t="n">
        <f aca="false">IF(P29="","",SUMIFS(תנועות!$E$6:$E$2005,תנועות!$B$6:$B$2005,P29,תנועות!$A$6:$A$2005,"&gt;="&amp;$Z$1,תנועות!$A$6:$A$2005,"&lt;"&amp;$Z$2))</f>
        <v>0</v>
      </c>
      <c r="S29" s="87" t="n">
        <f aca="false">IF(P29="","",N(Q29)-N(R29))</f>
        <v>1083.33333333333</v>
      </c>
      <c r="U29" s="84" t="str">
        <f aca="false">IF(הגדרות!$B$51="","",הגדרות!$B$51)</f>
        <v/>
      </c>
      <c r="V29" s="85" t="str">
        <f aca="false">IF(U29="","",הגדרות!$E$51)</f>
        <v/>
      </c>
      <c r="W29" s="86" t="str">
        <f aca="false">IF(U29="","",SUMIFS(תנועות!$E$6:$E$2005,תנועות!$B$6:$B$2005,U29,תנועות!$A$6:$A$2005,"&gt;="&amp;$Z$1,תנועות!$A$6:$A$2005,"&lt;"&amp;$Z$2))</f>
        <v/>
      </c>
      <c r="X29" s="87" t="str">
        <f aca="false">IF(U29="","",N(V29)-N(W29))</f>
        <v/>
      </c>
    </row>
    <row r="30" customFormat="false" ht="15" hidden="false" customHeight="false" outlineLevel="0" collapsed="false">
      <c r="A30" s="80" t="str">
        <f aca="false">IF(הגדרות!$B$12="","",הגדרות!$B$12)</f>
        <v>החזרים והכנסות אחרות</v>
      </c>
      <c r="B30" s="81" t="n">
        <f aca="false">IF(A30="","",הגדרות!$E$12)</f>
        <v>0</v>
      </c>
      <c r="C30" s="82" t="n">
        <f aca="false">IF(A30="","",SUMIFS(תנועות!$E$6:$E$2005,תנועות!$B$6:$B$2005,A30,תנועות!$A$6:$A$2005,"&gt;="&amp;$Z$1,תנועות!$A$6:$A$2005,"&lt;"&amp;$Z$2))</f>
        <v>0</v>
      </c>
      <c r="D30" s="83" t="n">
        <f aca="false">IF(A30="","",N(C30)-N(B30))</f>
        <v>0</v>
      </c>
      <c r="F30" s="80" t="str">
        <f aca="false">IF(הגדרות!$B$20="","",הגדרות!$B$20)</f>
        <v>השקעות</v>
      </c>
      <c r="G30" s="81" t="n">
        <f aca="false">IF(F30="","",הגדרות!$E$20)</f>
        <v>1000</v>
      </c>
      <c r="H30" s="82" t="n">
        <f aca="false">IF(F30="","",SUMIFS(תנועות!$E$6:$E$2005,תנועות!$B$6:$B$2005,F30,תנועות!$A$6:$A$2005,"&gt;="&amp;$Z$1,תנועות!$A$6:$A$2005,"&lt;"&amp;$Z$2))</f>
        <v>0</v>
      </c>
      <c r="I30" s="83" t="n">
        <f aca="false">IF(F30="","",N(G30)-N(H30))</f>
        <v>1000</v>
      </c>
      <c r="K30" s="80" t="str">
        <f aca="false">IF(הגדרות!$B$25="","",הגדרות!$B$25)</f>
        <v>גז</v>
      </c>
      <c r="L30" s="81" t="n">
        <f aca="false">IF(K30="","",הגדרות!$E$25)</f>
        <v>60</v>
      </c>
      <c r="M30" s="82" t="n">
        <f aca="false">IF(K30="","",SUMIFS(תנועות!$E$6:$E$2005,תנועות!$B$6:$B$2005,K30,תנועות!$A$6:$A$2005,"&gt;="&amp;$Z$1,תנועות!$A$6:$A$2005,"&lt;"&amp;$Z$2))</f>
        <v>0</v>
      </c>
      <c r="N30" s="83" t="n">
        <f aca="false">IF(K30="","",N(L30)-N(M30))</f>
        <v>60</v>
      </c>
      <c r="P30" s="80" t="str">
        <f aca="false">IF(הגדרות!$B$37="","",הגדרות!$B$37)</f>
        <v>ביגוד והנעלה</v>
      </c>
      <c r="Q30" s="81" t="n">
        <f aca="false">IF(P30="","",הגדרות!$E$37)</f>
        <v>400</v>
      </c>
      <c r="R30" s="82" t="n">
        <f aca="false">IF(P30="","",SUMIFS(תנועות!$E$6:$E$2005,תנועות!$B$6:$B$2005,P30,תנועות!$A$6:$A$2005,"&gt;="&amp;$Z$1,תנועות!$A$6:$A$2005,"&lt;"&amp;$Z$2))</f>
        <v>0</v>
      </c>
      <c r="S30" s="83" t="n">
        <f aca="false">IF(P30="","",N(Q30)-N(R30))</f>
        <v>400</v>
      </c>
      <c r="U30" s="80" t="str">
        <f aca="false">IF(הגדרות!$B$52="","",הגדרות!$B$52)</f>
        <v/>
      </c>
      <c r="V30" s="81" t="str">
        <f aca="false">IF(U30="","",הגדרות!$E$52)</f>
        <v/>
      </c>
      <c r="W30" s="82" t="str">
        <f aca="false">IF(U30="","",SUMIFS(תנועות!$E$6:$E$2005,תנועות!$B$6:$B$2005,U30,תנועות!$A$6:$A$2005,"&gt;="&amp;$Z$1,תנועות!$A$6:$A$2005,"&lt;"&amp;$Z$2))</f>
        <v/>
      </c>
      <c r="X30" s="83" t="str">
        <f aca="false">IF(U30="","",N(V30)-N(W30))</f>
        <v/>
      </c>
    </row>
    <row r="31" customFormat="false" ht="15" hidden="false" customHeight="false" outlineLevel="0" collapsed="false">
      <c r="A31" s="84" t="str">
        <f aca="false">IF(הגדרות!$B$13="","",הגדרות!$B$13)</f>
        <v/>
      </c>
      <c r="B31" s="85" t="str">
        <f aca="false">IF(A31="","",הגדרות!$E$13)</f>
        <v/>
      </c>
      <c r="C31" s="86" t="str">
        <f aca="false">IF(A31="","",SUMIFS(תנועות!$E$6:$E$2005,תנועות!$B$6:$B$2005,A31,תנועות!$A$6:$A$2005,"&gt;="&amp;$Z$1,תנועות!$A$6:$A$2005,"&lt;"&amp;$Z$2))</f>
        <v/>
      </c>
      <c r="D31" s="87" t="str">
        <f aca="false">IF(A31="","",N(C31)-N(B31))</f>
        <v/>
      </c>
      <c r="F31" s="84"/>
      <c r="G31" s="85"/>
      <c r="H31" s="86"/>
      <c r="I31" s="87"/>
      <c r="K31" s="84" t="str">
        <f aca="false">IF(הגדרות!$B$26="","",הגדרות!$B$26)</f>
        <v>ועד בית</v>
      </c>
      <c r="L31" s="85" t="n">
        <f aca="false">IF(K31="","",הגדרות!$E$26)</f>
        <v>250</v>
      </c>
      <c r="M31" s="86" t="n">
        <f aca="false">IF(K31="","",SUMIFS(תנועות!$E$6:$E$2005,תנועות!$B$6:$B$2005,K31,תנועות!$A$6:$A$2005,"&gt;="&amp;$Z$1,תנועות!$A$6:$A$2005,"&lt;"&amp;$Z$2))</f>
        <v>0</v>
      </c>
      <c r="N31" s="87" t="n">
        <f aca="false">IF(K31="","",N(L31)-N(M31))</f>
        <v>250</v>
      </c>
      <c r="P31" s="84" t="str">
        <f aca="false">IF(הגדרות!$B$38="","",הגדרות!$B$38)</f>
        <v>בריאות ותרופות</v>
      </c>
      <c r="Q31" s="85" t="n">
        <f aca="false">IF(P31="","",הגדרות!$E$38)</f>
        <v>200</v>
      </c>
      <c r="R31" s="86" t="n">
        <f aca="false">IF(P31="","",SUMIFS(תנועות!$E$6:$E$2005,תנועות!$B$6:$B$2005,P31,תנועות!$A$6:$A$2005,"&gt;="&amp;$Z$1,תנועות!$A$6:$A$2005,"&lt;"&amp;$Z$2))</f>
        <v>0</v>
      </c>
      <c r="S31" s="87" t="n">
        <f aca="false">IF(P31="","",N(Q31)-N(R31))</f>
        <v>200</v>
      </c>
      <c r="U31" s="84" t="str">
        <f aca="false">IF(הגדרות!$B$53="","",הגדרות!$B$53)</f>
        <v/>
      </c>
      <c r="V31" s="85" t="str">
        <f aca="false">IF(U31="","",הגדרות!$E$53)</f>
        <v/>
      </c>
      <c r="W31" s="86" t="str">
        <f aca="false">IF(U31="","",SUMIFS(תנועות!$E$6:$E$2005,תנועות!$B$6:$B$2005,U31,תנועות!$A$6:$A$2005,"&gt;="&amp;$Z$1,תנועות!$A$6:$A$2005,"&lt;"&amp;$Z$2))</f>
        <v/>
      </c>
      <c r="X31" s="87" t="str">
        <f aca="false">IF(U31="","",N(V31)-N(W31))</f>
        <v/>
      </c>
    </row>
    <row r="32" customFormat="false" ht="15" hidden="false" customHeight="false" outlineLevel="0" collapsed="false">
      <c r="A32" s="80" t="str">
        <f aca="false">IF(הגדרות!$B$14="","",הגדרות!$B$14)</f>
        <v/>
      </c>
      <c r="B32" s="81" t="str">
        <f aca="false">IF(A32="","",הגדרות!$E$14)</f>
        <v/>
      </c>
      <c r="C32" s="82" t="str">
        <f aca="false">IF(A32="","",SUMIFS(תנועות!$E$6:$E$2005,תנועות!$B$6:$B$2005,A32,תנועות!$A$6:$A$2005,"&gt;="&amp;$Z$1,תנועות!$A$6:$A$2005,"&lt;"&amp;$Z$2))</f>
        <v/>
      </c>
      <c r="D32" s="83" t="str">
        <f aca="false">IF(A32="","",N(C32)-N(B32))</f>
        <v/>
      </c>
      <c r="F32" s="80"/>
      <c r="G32" s="81"/>
      <c r="H32" s="82"/>
      <c r="I32" s="83"/>
      <c r="K32" s="80" t="str">
        <f aca="false">IF(הגדרות!$B$27="","",הגדרות!$B$27)</f>
        <v>אינטרנט וטלוויזיה</v>
      </c>
      <c r="L32" s="81" t="n">
        <f aca="false">IF(K32="","",הגדרות!$E$27)</f>
        <v>180</v>
      </c>
      <c r="M32" s="82" t="n">
        <f aca="false">IF(K32="","",SUMIFS(תנועות!$E$6:$E$2005,תנועות!$B$6:$B$2005,K32,תנועות!$A$6:$A$2005,"&gt;="&amp;$Z$1,תנועות!$A$6:$A$2005,"&lt;"&amp;$Z$2))</f>
        <v>0</v>
      </c>
      <c r="N32" s="83" t="n">
        <f aca="false">IF(K32="","",N(L32)-N(M32))</f>
        <v>180</v>
      </c>
      <c r="P32" s="80" t="str">
        <f aca="false">IF(הגדרות!$B$39="","",הגדרות!$B$39)</f>
        <v>ילדים וחינוך</v>
      </c>
      <c r="Q32" s="81" t="n">
        <f aca="false">IF(P32="","",הגדרות!$E$39)</f>
        <v>900</v>
      </c>
      <c r="R32" s="82" t="n">
        <f aca="false">IF(P32="","",SUMIFS(תנועות!$E$6:$E$2005,תנועות!$B$6:$B$2005,P32,תנועות!$A$6:$A$2005,"&gt;="&amp;$Z$1,תנועות!$A$6:$A$2005,"&lt;"&amp;$Z$2))</f>
        <v>0</v>
      </c>
      <c r="S32" s="83" t="n">
        <f aca="false">IF(P32="","",N(Q32)-N(R32))</f>
        <v>900</v>
      </c>
      <c r="U32" s="80"/>
      <c r="V32" s="81"/>
      <c r="W32" s="82"/>
      <c r="X32" s="83"/>
    </row>
    <row r="33" customFormat="false" ht="15" hidden="false" customHeight="false" outlineLevel="0" collapsed="false">
      <c r="A33" s="84" t="str">
        <f aca="false">IF(הגדרות!$B$15="","",הגדרות!$B$15)</f>
        <v/>
      </c>
      <c r="B33" s="85" t="str">
        <f aca="false">IF(A33="","",הגדרות!$E$15)</f>
        <v/>
      </c>
      <c r="C33" s="86" t="str">
        <f aca="false">IF(A33="","",SUMIFS(תנועות!$E$6:$E$2005,תנועות!$B$6:$B$2005,A33,תנועות!$A$6:$A$2005,"&gt;="&amp;$Z$1,תנועות!$A$6:$A$2005,"&lt;"&amp;$Z$2))</f>
        <v/>
      </c>
      <c r="D33" s="87" t="str">
        <f aca="false">IF(A33="","",N(C33)-N(B33))</f>
        <v/>
      </c>
      <c r="F33" s="84"/>
      <c r="G33" s="85"/>
      <c r="H33" s="86"/>
      <c r="I33" s="87"/>
      <c r="K33" s="84" t="str">
        <f aca="false">IF(הגדרות!$B$28="","",הגדרות!$B$28)</f>
        <v>סלולר</v>
      </c>
      <c r="L33" s="85" t="n">
        <f aca="false">IF(K33="","",הגדרות!$E$28)</f>
        <v>120</v>
      </c>
      <c r="M33" s="86" t="n">
        <f aca="false">IF(K33="","",SUMIFS(תנועות!$E$6:$E$2005,תנועות!$B$6:$B$2005,K33,תנועות!$A$6:$A$2005,"&gt;="&amp;$Z$1,תנועות!$A$6:$A$2005,"&lt;"&amp;$Z$2))</f>
        <v>0</v>
      </c>
      <c r="N33" s="87" t="n">
        <f aca="false">IF(K33="","",N(L33)-N(M33))</f>
        <v>120</v>
      </c>
      <c r="P33" s="84" t="str">
        <f aca="false">IF(הגדרות!$B$40="","",הגדרות!$B$40)</f>
        <v>מתנות ואירועים</v>
      </c>
      <c r="Q33" s="85" t="n">
        <f aca="false">IF(P33="","",הגדרות!$E$40)</f>
        <v>300</v>
      </c>
      <c r="R33" s="86" t="n">
        <f aca="false">IF(P33="","",SUMIFS(תנועות!$E$6:$E$2005,תנועות!$B$6:$B$2005,P33,תנועות!$A$6:$A$2005,"&gt;="&amp;$Z$1,תנועות!$A$6:$A$2005,"&lt;"&amp;$Z$2))</f>
        <v>0</v>
      </c>
      <c r="S33" s="87" t="n">
        <f aca="false">IF(P33="","",N(Q33)-N(R33))</f>
        <v>300</v>
      </c>
      <c r="U33" s="84"/>
      <c r="V33" s="85"/>
      <c r="W33" s="86"/>
      <c r="X33" s="87"/>
    </row>
    <row r="34" customFormat="false" ht="15" hidden="false" customHeight="false" outlineLevel="0" collapsed="false">
      <c r="A34" s="80"/>
      <c r="B34" s="81"/>
      <c r="C34" s="82"/>
      <c r="D34" s="83"/>
      <c r="F34" s="80"/>
      <c r="G34" s="81"/>
      <c r="H34" s="82"/>
      <c r="I34" s="83"/>
      <c r="K34" s="80" t="str">
        <f aca="false">IF(הגדרות!$B$29="","",הגדרות!$B$29)</f>
        <v>ביטוחי בריאות וחיים</v>
      </c>
      <c r="L34" s="81" t="n">
        <f aca="false">IF(K34="","",הגדרות!$E$29)</f>
        <v>450</v>
      </c>
      <c r="M34" s="82" t="n">
        <f aca="false">IF(K34="","",SUMIFS(תנועות!$E$6:$E$2005,תנועות!$B$6:$B$2005,K34,תנועות!$A$6:$A$2005,"&gt;="&amp;$Z$1,תנועות!$A$6:$A$2005,"&lt;"&amp;$Z$2))</f>
        <v>0</v>
      </c>
      <c r="N34" s="83" t="n">
        <f aca="false">IF(K34="","",N(L34)-N(M34))</f>
        <v>450</v>
      </c>
      <c r="P34" s="80" t="str">
        <f aca="false">IF(הגדרות!$B$41="","",הגדרות!$B$41)</f>
        <v>טיפוח</v>
      </c>
      <c r="Q34" s="81" t="n">
        <f aca="false">IF(P34="","",הגדרות!$E$41)</f>
        <v>200</v>
      </c>
      <c r="R34" s="82" t="n">
        <f aca="false">IF(P34="","",SUMIFS(תנועות!$E$6:$E$2005,תנועות!$B$6:$B$2005,P34,תנועות!$A$6:$A$2005,"&gt;="&amp;$Z$1,תנועות!$A$6:$A$2005,"&lt;"&amp;$Z$2))</f>
        <v>0</v>
      </c>
      <c r="S34" s="83" t="n">
        <f aca="false">IF(P34="","",N(Q34)-N(R34))</f>
        <v>200</v>
      </c>
      <c r="U34" s="80"/>
      <c r="V34" s="81"/>
      <c r="W34" s="82"/>
      <c r="X34" s="83"/>
    </row>
    <row r="35" customFormat="false" ht="15" hidden="false" customHeight="false" outlineLevel="0" collapsed="false">
      <c r="A35" s="84"/>
      <c r="B35" s="85"/>
      <c r="C35" s="86"/>
      <c r="D35" s="87"/>
      <c r="F35" s="84"/>
      <c r="G35" s="85"/>
      <c r="H35" s="86"/>
      <c r="I35" s="87"/>
      <c r="K35" s="84" t="str">
        <f aca="false">IF(הגדרות!$B$30="","",הגדרות!$B$30)</f>
        <v>ביטוח רכב</v>
      </c>
      <c r="L35" s="85" t="n">
        <f aca="false">IF(K35="","",הגדרות!$E$30)</f>
        <v>400</v>
      </c>
      <c r="M35" s="86" t="n">
        <f aca="false">IF(K35="","",SUMIFS(תנועות!$E$6:$E$2005,תנועות!$B$6:$B$2005,K35,תנועות!$A$6:$A$2005,"&gt;="&amp;$Z$1,תנועות!$A$6:$A$2005,"&lt;"&amp;$Z$2))</f>
        <v>0</v>
      </c>
      <c r="N35" s="87" t="n">
        <f aca="false">IF(K35="","",N(L35)-N(M35))</f>
        <v>400</v>
      </c>
      <c r="P35" s="84" t="str">
        <f aca="false">IF(הגדרות!$B$42="","",הגדרות!$B$42)</f>
        <v>בית ותחזוקה</v>
      </c>
      <c r="Q35" s="85" t="n">
        <f aca="false">IF(P35="","",הגדרות!$E$42)</f>
        <v>300</v>
      </c>
      <c r="R35" s="86" t="n">
        <f aca="false">IF(P35="","",SUMIFS(תנועות!$E$6:$E$2005,תנועות!$B$6:$B$2005,P35,תנועות!$A$6:$A$2005,"&gt;="&amp;$Z$1,תנועות!$A$6:$A$2005,"&lt;"&amp;$Z$2))</f>
        <v>0</v>
      </c>
      <c r="S35" s="87" t="n">
        <f aca="false">IF(P35="","",N(Q35)-N(R35))</f>
        <v>300</v>
      </c>
      <c r="U35" s="84"/>
      <c r="V35" s="85"/>
      <c r="W35" s="86"/>
      <c r="X35" s="87"/>
    </row>
    <row r="36" customFormat="false" ht="15" hidden="false" customHeight="false" outlineLevel="0" collapsed="false">
      <c r="A36" s="80"/>
      <c r="B36" s="81"/>
      <c r="C36" s="82"/>
      <c r="D36" s="83"/>
      <c r="F36" s="80"/>
      <c r="G36" s="81"/>
      <c r="H36" s="82"/>
      <c r="I36" s="83"/>
      <c r="K36" s="80" t="str">
        <f aca="false">IF(הגדרות!$B$31="","",הגדרות!$B$31)</f>
        <v>סטרימינג ומנויים</v>
      </c>
      <c r="L36" s="81" t="n">
        <f aca="false">IF(K36="","",הגדרות!$E$31)</f>
        <v>90</v>
      </c>
      <c r="M36" s="82" t="n">
        <f aca="false">IF(K36="","",SUMIFS(תנועות!$E$6:$E$2005,תנועות!$B$6:$B$2005,K36,תנועות!$A$6:$A$2005,"&gt;="&amp;$Z$1,תנועות!$A$6:$A$2005,"&lt;"&amp;$Z$2))</f>
        <v>0</v>
      </c>
      <c r="N36" s="83" t="n">
        <f aca="false">IF(K36="","",N(L36)-N(M36))</f>
        <v>90</v>
      </c>
      <c r="P36" s="80" t="str">
        <f aca="false">IF(הגדרות!$B$43="","",הגדרות!$B$43)</f>
        <v>חיות מחמד</v>
      </c>
      <c r="Q36" s="81" t="n">
        <f aca="false">IF(P36="","",הגדרות!$E$43)</f>
        <v>150</v>
      </c>
      <c r="R36" s="82" t="n">
        <f aca="false">IF(P36="","",SUMIFS(תנועות!$E$6:$E$2005,תנועות!$B$6:$B$2005,P36,תנועות!$A$6:$A$2005,"&gt;="&amp;$Z$1,תנועות!$A$6:$A$2005,"&lt;"&amp;$Z$2))</f>
        <v>0</v>
      </c>
      <c r="S36" s="83" t="n">
        <f aca="false">IF(P36="","",N(Q36)-N(R36))</f>
        <v>150</v>
      </c>
      <c r="U36" s="80"/>
      <c r="V36" s="81"/>
      <c r="W36" s="82"/>
      <c r="X36" s="83"/>
    </row>
    <row r="37" customFormat="false" ht="15" hidden="false" customHeight="false" outlineLevel="0" collapsed="false">
      <c r="A37" s="84"/>
      <c r="B37" s="85"/>
      <c r="C37" s="86"/>
      <c r="D37" s="87"/>
      <c r="F37" s="84"/>
      <c r="G37" s="85"/>
      <c r="H37" s="86"/>
      <c r="I37" s="87"/>
      <c r="K37" s="84" t="str">
        <f aca="false">IF(הגדרות!$B$32="","",הגדרות!$B$32)</f>
        <v>חדר כושר</v>
      </c>
      <c r="L37" s="85" t="n">
        <f aca="false">IF(K37="","",הגדרות!$E$32)</f>
        <v>250</v>
      </c>
      <c r="M37" s="86" t="n">
        <f aca="false">IF(K37="","",SUMIFS(תנועות!$E$6:$E$2005,תנועות!$B$6:$B$2005,K37,תנועות!$A$6:$A$2005,"&gt;="&amp;$Z$1,תנועות!$A$6:$A$2005,"&lt;"&amp;$Z$2))</f>
        <v>0</v>
      </c>
      <c r="N37" s="87" t="n">
        <f aca="false">IF(K37="","",N(L37)-N(M37))</f>
        <v>250</v>
      </c>
      <c r="P37" s="84" t="str">
        <f aca="false">IF(הגדרות!$B$44="","",הגדרות!$B$44)</f>
        <v>שונות</v>
      </c>
      <c r="Q37" s="85" t="n">
        <f aca="false">IF(P37="","",הגדרות!$E$44)</f>
        <v>300</v>
      </c>
      <c r="R37" s="86" t="n">
        <f aca="false">IF(P37="","",SUMIFS(תנועות!$E$6:$E$2005,תנועות!$B$6:$B$2005,P37,תנועות!$A$6:$A$2005,"&gt;="&amp;$Z$1,תנועות!$A$6:$A$2005,"&lt;"&amp;$Z$2))</f>
        <v>0</v>
      </c>
      <c r="S37" s="87" t="n">
        <f aca="false">IF(P37="","",N(Q37)-N(R37))</f>
        <v>300</v>
      </c>
      <c r="U37" s="84"/>
      <c r="V37" s="85"/>
      <c r="W37" s="86"/>
      <c r="X37" s="87"/>
    </row>
    <row r="38" customFormat="false" ht="15" hidden="false" customHeight="false" outlineLevel="0" collapsed="false">
      <c r="A38" s="80"/>
      <c r="B38" s="81"/>
      <c r="C38" s="82"/>
      <c r="D38" s="83"/>
      <c r="F38" s="80"/>
      <c r="G38" s="81"/>
      <c r="H38" s="82"/>
      <c r="I38" s="83"/>
      <c r="K38" s="80"/>
      <c r="L38" s="81"/>
      <c r="M38" s="82"/>
      <c r="N38" s="83"/>
      <c r="P38" s="80" t="str">
        <f aca="false">IF(הגדרות!$B$45="","",הגדרות!$B$45)</f>
        <v/>
      </c>
      <c r="Q38" s="81" t="str">
        <f aca="false">IF(P38="","",הגדרות!$E$45)</f>
        <v/>
      </c>
      <c r="R38" s="82" t="str">
        <f aca="false">IF(P38="","",SUMIFS(תנועות!$E$6:$E$2005,תנועות!$B$6:$B$2005,P38,תנועות!$A$6:$A$2005,"&gt;="&amp;$Z$1,תנועות!$A$6:$A$2005,"&lt;"&amp;$Z$2))</f>
        <v/>
      </c>
      <c r="S38" s="83" t="str">
        <f aca="false">IF(P38="","",N(Q38)-N(R38))</f>
        <v/>
      </c>
      <c r="U38" s="80"/>
      <c r="V38" s="81"/>
      <c r="W38" s="82"/>
      <c r="X38" s="83"/>
    </row>
    <row r="39" customFormat="false" ht="15" hidden="false" customHeight="false" outlineLevel="0" collapsed="false">
      <c r="A39" s="84"/>
      <c r="B39" s="85"/>
      <c r="C39" s="86"/>
      <c r="D39" s="87"/>
      <c r="F39" s="84"/>
      <c r="G39" s="85"/>
      <c r="H39" s="86"/>
      <c r="I39" s="87"/>
      <c r="K39" s="84"/>
      <c r="L39" s="85"/>
      <c r="M39" s="86"/>
      <c r="N39" s="87"/>
      <c r="P39" s="84" t="str">
        <f aca="false">IF(הגדרות!$B$46="","",הגדרות!$B$46)</f>
        <v/>
      </c>
      <c r="Q39" s="85" t="str">
        <f aca="false">IF(P39="","",הגדרות!$E$46)</f>
        <v/>
      </c>
      <c r="R39" s="86" t="str">
        <f aca="false">IF(P39="","",SUMIFS(תנועות!$E$6:$E$2005,תנועות!$B$6:$B$2005,P39,תנועות!$A$6:$A$2005,"&gt;="&amp;$Z$1,תנועות!$A$6:$A$2005,"&lt;"&amp;$Z$2))</f>
        <v/>
      </c>
      <c r="S39" s="87" t="str">
        <f aca="false">IF(P39="","",N(Q39)-N(R39))</f>
        <v/>
      </c>
      <c r="U39" s="84"/>
      <c r="V39" s="85"/>
      <c r="W39" s="86"/>
      <c r="X39" s="87"/>
    </row>
    <row r="40" customFormat="false" ht="15" hidden="false" customHeight="false" outlineLevel="0" collapsed="false">
      <c r="A40" s="80"/>
      <c r="B40" s="81"/>
      <c r="C40" s="82"/>
      <c r="D40" s="83"/>
      <c r="F40" s="80"/>
      <c r="G40" s="81"/>
      <c r="H40" s="82"/>
      <c r="I40" s="83"/>
      <c r="K40" s="80"/>
      <c r="L40" s="81"/>
      <c r="M40" s="82"/>
      <c r="N40" s="83"/>
      <c r="P40" s="80" t="str">
        <f aca="false">IF(הגדרות!$B$47="","",הגדרות!$B$47)</f>
        <v/>
      </c>
      <c r="Q40" s="81" t="str">
        <f aca="false">IF(P40="","",הגדרות!$E$47)</f>
        <v/>
      </c>
      <c r="R40" s="82" t="str">
        <f aca="false">IF(P40="","",SUMIFS(תנועות!$E$6:$E$2005,תנועות!$B$6:$B$2005,P40,תנועות!$A$6:$A$2005,"&gt;="&amp;$Z$1,תנועות!$A$6:$A$2005,"&lt;"&amp;$Z$2))</f>
        <v/>
      </c>
      <c r="S40" s="83" t="str">
        <f aca="false">IF(P40="","",N(Q40)-N(R40))</f>
        <v/>
      </c>
      <c r="U40" s="80"/>
      <c r="V40" s="81"/>
      <c r="W40" s="82"/>
      <c r="X40" s="83"/>
    </row>
    <row r="41" customFormat="false" ht="15" hidden="false" customHeight="false" outlineLevel="0" collapsed="false">
      <c r="A41" s="88" t="s">
        <v>77</v>
      </c>
      <c r="B41" s="88" t="n">
        <f aca="false">SUM(B26:B40)</f>
        <v>25320</v>
      </c>
      <c r="C41" s="88" t="n">
        <f aca="false">SUM(C26:C40)</f>
        <v>0</v>
      </c>
      <c r="D41" s="88" t="n">
        <f aca="false">SUM(D26:D40)</f>
        <v>-25320</v>
      </c>
      <c r="F41" s="89" t="s">
        <v>77</v>
      </c>
      <c r="G41" s="89" t="n">
        <f aca="false">SUM(G26:G40)</f>
        <v>5400</v>
      </c>
      <c r="H41" s="89" t="n">
        <f aca="false">SUM(H26:H40)</f>
        <v>0</v>
      </c>
      <c r="I41" s="89" t="n">
        <f aca="false">SUM(I26:I40)</f>
        <v>5400</v>
      </c>
      <c r="K41" s="90" t="s">
        <v>77</v>
      </c>
      <c r="L41" s="90" t="n">
        <f aca="false">SUM(L26:L40)</f>
        <v>7925</v>
      </c>
      <c r="M41" s="90" t="n">
        <f aca="false">SUM(M26:M40)</f>
        <v>0</v>
      </c>
      <c r="N41" s="90" t="n">
        <f aca="false">SUM(N26:N40)</f>
        <v>7925</v>
      </c>
      <c r="P41" s="69" t="s">
        <v>77</v>
      </c>
      <c r="Q41" s="69" t="n">
        <f aca="false">SUM(Q26:Q40)</f>
        <v>7400</v>
      </c>
      <c r="R41" s="69" t="n">
        <f aca="false">SUM(R26:R40)</f>
        <v>0</v>
      </c>
      <c r="S41" s="69" t="n">
        <f aca="false">SUM(S26:S40)</f>
        <v>7400</v>
      </c>
      <c r="U41" s="91" t="s">
        <v>77</v>
      </c>
      <c r="V41" s="91" t="n">
        <f aca="false">SUM(V26:V40)</f>
        <v>2300</v>
      </c>
      <c r="W41" s="91" t="n">
        <f aca="false">SUM(W26:W40)</f>
        <v>0</v>
      </c>
      <c r="X41" s="91" t="n">
        <f aca="false">SUM(X26:X40)</f>
        <v>2300</v>
      </c>
    </row>
  </sheetData>
  <mergeCells count="18">
    <mergeCell ref="A1:X1"/>
    <mergeCell ref="A2:X2"/>
    <mergeCell ref="A4:D4"/>
    <mergeCell ref="F4:I4"/>
    <mergeCell ref="K4:N4"/>
    <mergeCell ref="P4:S4"/>
    <mergeCell ref="U4:X4"/>
    <mergeCell ref="A5:D5"/>
    <mergeCell ref="F5:I5"/>
    <mergeCell ref="K5:N5"/>
    <mergeCell ref="P5:S5"/>
    <mergeCell ref="U5:X5"/>
    <mergeCell ref="A15:I16"/>
    <mergeCell ref="A24:D24"/>
    <mergeCell ref="F24:I24"/>
    <mergeCell ref="K24:N24"/>
    <mergeCell ref="P24:S24"/>
    <mergeCell ref="U24:X24"/>
  </mergeCells>
  <conditionalFormatting sqref="H26:H41">
    <cfRule type="expression" priority="2" aboveAverage="0" equalAverage="0" bottom="0" percent="0" rank="0" text="" dxfId="0">
      <formula>AND(ISNUMBER(H26),H26&gt;G26)</formula>
    </cfRule>
  </conditionalFormatting>
  <conditionalFormatting sqref="M26:M41">
    <cfRule type="expression" priority="3" aboveAverage="0" equalAverage="0" bottom="0" percent="0" rank="0" text="" dxfId="0">
      <formula>AND(ISNUMBER(M26),M26&gt;L26)</formula>
    </cfRule>
  </conditionalFormatting>
  <conditionalFormatting sqref="R26:R41">
    <cfRule type="expression" priority="4" aboveAverage="0" equalAverage="0" bottom="0" percent="0" rank="0" text="" dxfId="0">
      <formula>AND(ISNUMBER(R26),R26&gt;Q26)</formula>
    </cfRule>
  </conditionalFormatting>
  <conditionalFormatting sqref="W26:W41">
    <cfRule type="expression" priority="5" aboveAverage="0" equalAverage="0" bottom="0" percent="0" rank="0" text="" dxfId="0">
      <formula>AND(ISNUMBER(W26),W26&gt;V26)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C47D"/>
    <pageSetUpPr fitToPage="true"/>
  </sheetPr>
  <dimension ref="A1:O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3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3"/>
  </cols>
  <sheetData>
    <row r="1" customFormat="false" ht="39.75" hidden="false" customHeight="true" outlineLevel="0" collapsed="false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80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9.5" hidden="false" customHeight="true" outlineLevel="0" collapsed="false">
      <c r="A4" s="18" t="s">
        <v>81</v>
      </c>
      <c r="B4" s="18"/>
      <c r="C4" s="15" t="s">
        <v>82</v>
      </c>
      <c r="D4" s="15"/>
      <c r="E4" s="15"/>
      <c r="F4" s="65" t="s">
        <v>83</v>
      </c>
      <c r="G4" s="65"/>
      <c r="H4" s="65"/>
      <c r="I4" s="17" t="s">
        <v>84</v>
      </c>
      <c r="J4" s="17"/>
      <c r="K4" s="17"/>
    </row>
    <row r="5" customFormat="false" ht="33.75" hidden="false" customHeight="true" outlineLevel="0" collapsed="false">
      <c r="A5" s="92" t="n">
        <f aca="false">B13</f>
        <v>282000</v>
      </c>
      <c r="B5" s="92"/>
      <c r="C5" s="19" t="n">
        <f aca="false">F13</f>
        <v>118500</v>
      </c>
      <c r="D5" s="19"/>
      <c r="E5" s="19"/>
      <c r="F5" s="93" t="n">
        <f aca="false">G13</f>
        <v>163500</v>
      </c>
      <c r="G5" s="93"/>
      <c r="H5" s="93"/>
      <c r="I5" s="94" t="n">
        <f aca="false">H13</f>
        <v>0.420212765957447</v>
      </c>
      <c r="J5" s="94"/>
      <c r="K5" s="94"/>
    </row>
    <row r="7" customFormat="false" ht="15" hidden="false" customHeight="false" outlineLevel="0" collapsed="false">
      <c r="A7" s="25" t="s">
        <v>85</v>
      </c>
      <c r="B7" s="25" t="s">
        <v>86</v>
      </c>
      <c r="C7" s="25" t="s">
        <v>87</v>
      </c>
      <c r="D7" s="25" t="s">
        <v>88</v>
      </c>
      <c r="E7" s="25" t="s">
        <v>89</v>
      </c>
      <c r="F7" s="25" t="s">
        <v>90</v>
      </c>
      <c r="G7" s="25" t="s">
        <v>91</v>
      </c>
      <c r="H7" s="25" t="s">
        <v>92</v>
      </c>
      <c r="I7" s="25" t="s">
        <v>93</v>
      </c>
      <c r="J7" s="25" t="s">
        <v>94</v>
      </c>
      <c r="K7" s="25" t="s">
        <v>95</v>
      </c>
    </row>
    <row r="8" customFormat="false" ht="15" hidden="false" customHeight="false" outlineLevel="0" collapsed="false">
      <c r="A8" s="59" t="str">
        <f aca="false">IF(הגדרות!$B$16="","",הגדרות!$B$16)</f>
        <v>קרן חירום</v>
      </c>
      <c r="B8" s="95" t="n">
        <v>30000</v>
      </c>
      <c r="C8" s="95" t="n">
        <v>18000</v>
      </c>
      <c r="D8" s="96" t="n">
        <v>46568</v>
      </c>
      <c r="E8" s="42" t="n">
        <f aca="false">IF(A8="",0,SUMIFS(תנועות!$E$6:$E$2005,תנועות!$B$6:$B$2005,A8,תנועות!$A$6:$A$2005,"&gt;="&amp;DATE(הגדרות!$C$3,1,1),תנועות!$A$6:$A$2005,"&lt;"&amp;DATE(הגדרות!$C$3+1,1,1)))</f>
        <v>0</v>
      </c>
      <c r="F8" s="43" t="n">
        <f aca="false">IF(A8="",0,N(C8)+E8)</f>
        <v>18000</v>
      </c>
      <c r="G8" s="42" t="n">
        <f aca="false">IF(A8="",0,MAX(0,N(B8)-F8))</f>
        <v>12000</v>
      </c>
      <c r="H8" s="97" t="n">
        <f aca="false">IF(OR(A8="",N(B8)=0),"",MIN(1,F8/B8))</f>
        <v>0.6</v>
      </c>
      <c r="I8" s="98" t="str">
        <f aca="false">IF(H8="","",REPT("█",ROUND(H8*10,0))&amp;REPT("░",10-ROUND(H8*10,0)))</f>
        <v>██████░░░░</v>
      </c>
      <c r="J8" s="99" t="n">
        <f aca="true">IF(OR(A8="",D8=""),"",MAX(0,(YEAR(D8)-YEAR(TODAY()))*12+MONTH(D8)-MONTH(TODAY())))</f>
        <v>8</v>
      </c>
      <c r="K8" s="42" t="n">
        <f aca="false">IF(J8="","",IF(G8&lt;=0,0,G8/MAX(1,J8)))</f>
        <v>1500</v>
      </c>
    </row>
    <row r="9" customFormat="false" ht="15" hidden="false" customHeight="false" outlineLevel="0" collapsed="false">
      <c r="A9" s="59" t="str">
        <f aca="false">IF(הגדרות!$B$17="","",הגדרות!$B$17)</f>
        <v>חופשה משפחתית</v>
      </c>
      <c r="B9" s="95" t="n">
        <v>12000</v>
      </c>
      <c r="C9" s="95" t="n">
        <v>2500</v>
      </c>
      <c r="D9" s="96" t="n">
        <v>46599</v>
      </c>
      <c r="E9" s="42" t="n">
        <f aca="false">IF(A9="",0,SUMIFS(תנועות!$E$6:$E$2005,תנועות!$B$6:$B$2005,A9,תנועות!$A$6:$A$2005,"&gt;="&amp;DATE(הגדרות!$C$3,1,1),תנועות!$A$6:$A$2005,"&lt;"&amp;DATE(הגדרות!$C$3+1,1,1)))</f>
        <v>0</v>
      </c>
      <c r="F9" s="43" t="n">
        <f aca="false">IF(A9="",0,N(C9)+E9)</f>
        <v>2500</v>
      </c>
      <c r="G9" s="42" t="n">
        <f aca="false">IF(A9="",0,MAX(0,N(B9)-F9))</f>
        <v>9500</v>
      </c>
      <c r="H9" s="97" t="n">
        <f aca="false">IF(OR(A9="",N(B9)=0),"",MIN(1,F9/B9))</f>
        <v>0.208333333333333</v>
      </c>
      <c r="I9" s="98" t="str">
        <f aca="false">IF(H9="","",REPT("█",ROUND(H9*10,0))&amp;REPT("░",10-ROUND(H9*10,0)))</f>
        <v>██░░░░░░░░</v>
      </c>
      <c r="J9" s="99" t="n">
        <f aca="true">IF(OR(A9="",D9=""),"",MAX(0,(YEAR(D9)-YEAR(TODAY()))*12+MONTH(D9)-MONTH(TODAY())))</f>
        <v>9</v>
      </c>
      <c r="K9" s="42" t="n">
        <f aca="false">IF(J9="","",IF(G9&lt;=0,0,G9/MAX(1,J9)))</f>
        <v>1055.55555555556</v>
      </c>
    </row>
    <row r="10" customFormat="false" ht="15" hidden="false" customHeight="false" outlineLevel="0" collapsed="false">
      <c r="A10" s="59" t="str">
        <f aca="false">IF(הגדרות!$B$18="","",הגדרות!$B$18)</f>
        <v>רכב חדש</v>
      </c>
      <c r="B10" s="95" t="n">
        <v>40000</v>
      </c>
      <c r="C10" s="95" t="n">
        <v>15000</v>
      </c>
      <c r="D10" s="96" t="n">
        <v>47118</v>
      </c>
      <c r="E10" s="42" t="n">
        <f aca="false">IF(A10="",0,SUMIFS(תנועות!$E$6:$E$2005,תנועות!$B$6:$B$2005,A10,תנועות!$A$6:$A$2005,"&gt;="&amp;DATE(הגדרות!$C$3,1,1),תנועות!$A$6:$A$2005,"&lt;"&amp;DATE(הגדרות!$C$3+1,1,1)))</f>
        <v>0</v>
      </c>
      <c r="F10" s="43" t="n">
        <f aca="false">IF(A10="",0,N(C10)+E10)</f>
        <v>15000</v>
      </c>
      <c r="G10" s="42" t="n">
        <f aca="false">IF(A10="",0,MAX(0,N(B10)-F10))</f>
        <v>25000</v>
      </c>
      <c r="H10" s="97" t="n">
        <f aca="false">IF(OR(A10="",N(B10)=0),"",MIN(1,F10/B10))</f>
        <v>0.375</v>
      </c>
      <c r="I10" s="98" t="str">
        <f aca="false">IF(H10="","",REPT("█",ROUND(H10*10,0))&amp;REPT("░",10-ROUND(H10*10,0)))</f>
        <v>████░░░░░░</v>
      </c>
      <c r="J10" s="99" t="n">
        <f aca="true">IF(OR(A10="",D10=""),"",MAX(0,(YEAR(D10)-YEAR(TODAY()))*12+MONTH(D10)-MONTH(TODAY())))</f>
        <v>26</v>
      </c>
      <c r="K10" s="42" t="n">
        <f aca="false">IF(J10="","",IF(G10&lt;=0,0,G10/MAX(1,J10)))</f>
        <v>961.538461538462</v>
      </c>
    </row>
    <row r="11" customFormat="false" ht="15" hidden="false" customHeight="false" outlineLevel="0" collapsed="false">
      <c r="A11" s="59" t="str">
        <f aca="false">IF(הגדרות!$B$19="","",הגדרות!$B$19)</f>
        <v>דירה</v>
      </c>
      <c r="B11" s="95" t="n">
        <v>150000</v>
      </c>
      <c r="C11" s="95" t="n">
        <v>62000</v>
      </c>
      <c r="D11" s="96" t="n">
        <v>47848</v>
      </c>
      <c r="E11" s="42" t="n">
        <f aca="false">IF(A11="",0,SUMIFS(תנועות!$E$6:$E$2005,תנועות!$B$6:$B$2005,A11,תנועות!$A$6:$A$2005,"&gt;="&amp;DATE(הגדרות!$C$3,1,1),תנועות!$A$6:$A$2005,"&lt;"&amp;DATE(הגדרות!$C$3+1,1,1)))</f>
        <v>0</v>
      </c>
      <c r="F11" s="43" t="n">
        <f aca="false">IF(A11="",0,N(C11)+E11)</f>
        <v>62000</v>
      </c>
      <c r="G11" s="42" t="n">
        <f aca="false">IF(A11="",0,MAX(0,N(B11)-F11))</f>
        <v>88000</v>
      </c>
      <c r="H11" s="97" t="n">
        <f aca="false">IF(OR(A11="",N(B11)=0),"",MIN(1,F11/B11))</f>
        <v>0.413333333333333</v>
      </c>
      <c r="I11" s="98" t="str">
        <f aca="false">IF(H11="","",REPT("█",ROUND(H11*10,0))&amp;REPT("░",10-ROUND(H11*10,0)))</f>
        <v>████░░░░░░</v>
      </c>
      <c r="J11" s="99" t="n">
        <f aca="true">IF(OR(A11="",D11=""),"",MAX(0,(YEAR(D11)-YEAR(TODAY()))*12+MONTH(D11)-MONTH(TODAY())))</f>
        <v>50</v>
      </c>
      <c r="K11" s="42" t="n">
        <f aca="false">IF(J11="","",IF(G11&lt;=0,0,G11/MAX(1,J11)))</f>
        <v>1760</v>
      </c>
    </row>
    <row r="12" customFormat="false" ht="15" hidden="false" customHeight="false" outlineLevel="0" collapsed="false">
      <c r="A12" s="59" t="str">
        <f aca="false">IF(הגדרות!$B$20="","",הגדרות!$B$20)</f>
        <v>השקעות</v>
      </c>
      <c r="B12" s="95" t="n">
        <v>50000</v>
      </c>
      <c r="C12" s="95" t="n">
        <v>21000</v>
      </c>
      <c r="D12" s="96" t="n">
        <v>47118</v>
      </c>
      <c r="E12" s="42" t="n">
        <f aca="false">IF(A12="",0,SUMIFS(תנועות!$E$6:$E$2005,תנועות!$B$6:$B$2005,A12,תנועות!$A$6:$A$2005,"&gt;="&amp;DATE(הגדרות!$C$3,1,1),תנועות!$A$6:$A$2005,"&lt;"&amp;DATE(הגדרות!$C$3+1,1,1)))</f>
        <v>0</v>
      </c>
      <c r="F12" s="43" t="n">
        <f aca="false">IF(A12="",0,N(C12)+E12)</f>
        <v>21000</v>
      </c>
      <c r="G12" s="42" t="n">
        <f aca="false">IF(A12="",0,MAX(0,N(B12)-F12))</f>
        <v>29000</v>
      </c>
      <c r="H12" s="97" t="n">
        <f aca="false">IF(OR(A12="",N(B12)=0),"",MIN(1,F12/B12))</f>
        <v>0.42</v>
      </c>
      <c r="I12" s="98" t="str">
        <f aca="false">IF(H12="","",REPT("█",ROUND(H12*10,0))&amp;REPT("░",10-ROUND(H12*10,0)))</f>
        <v>████░░░░░░</v>
      </c>
      <c r="J12" s="99" t="n">
        <f aca="true">IF(OR(A12="",D12=""),"",MAX(0,(YEAR(D12)-YEAR(TODAY()))*12+MONTH(D12)-MONTH(TODAY())))</f>
        <v>26</v>
      </c>
      <c r="K12" s="42" t="n">
        <f aca="false">IF(J12="","",IF(G12&lt;=0,0,G12/MAX(1,J12)))</f>
        <v>1115.38461538462</v>
      </c>
    </row>
    <row r="13" customFormat="false" ht="15" hidden="false" customHeight="false" outlineLevel="0" collapsed="false">
      <c r="A13" s="35" t="s">
        <v>77</v>
      </c>
      <c r="B13" s="36" t="n">
        <f aca="false">SUM(B8:B12)</f>
        <v>282000</v>
      </c>
      <c r="C13" s="36" t="n">
        <f aca="false">SUM(C8:C12)</f>
        <v>118500</v>
      </c>
      <c r="D13" s="36"/>
      <c r="E13" s="36" t="n">
        <f aca="false">SUM(E8:E12)</f>
        <v>0</v>
      </c>
      <c r="F13" s="36" t="n">
        <f aca="false">SUM(F8:F12)</f>
        <v>118500</v>
      </c>
      <c r="G13" s="36" t="n">
        <f aca="false">SUM(G8:G12)</f>
        <v>163500</v>
      </c>
      <c r="H13" s="100" t="n">
        <f aca="false">IF(B13=0,"",MIN(1,F13/B13))</f>
        <v>0.420212765957447</v>
      </c>
      <c r="I13" s="36" t="str">
        <f aca="false">IF(H13="","",REPT("█",ROUND(H13*10,0))&amp;REPT("░",10-ROUND(H13*10,0)))</f>
        <v>████░░░░░░</v>
      </c>
      <c r="J13" s="36"/>
      <c r="K13" s="36" t="n">
        <f aca="false">SUM(K8:K12)</f>
        <v>6392.47863247863</v>
      </c>
    </row>
    <row r="15" customFormat="false" ht="15" hidden="false" customHeight="false" outlineLevel="0" collapsed="false">
      <c r="A15" s="39" t="s">
        <v>96</v>
      </c>
      <c r="B15" s="39"/>
      <c r="C15" s="39"/>
      <c r="D15" s="39"/>
      <c r="E15" s="39"/>
      <c r="F15" s="39"/>
      <c r="G15" s="39"/>
    </row>
    <row r="16" customFormat="false" ht="15" hidden="false" customHeight="false" outlineLevel="0" collapsed="false">
      <c r="A16" s="25" t="s">
        <v>32</v>
      </c>
      <c r="B16" s="25" t="str">
        <f aca="false">A8</f>
        <v>קרן חירום</v>
      </c>
      <c r="C16" s="25" t="str">
        <f aca="false">A9</f>
        <v>חופשה משפחתית</v>
      </c>
      <c r="D16" s="25" t="str">
        <f aca="false">A10</f>
        <v>רכב חדש</v>
      </c>
      <c r="E16" s="25" t="str">
        <f aca="false">A11</f>
        <v>דירה</v>
      </c>
      <c r="F16" s="25" t="str">
        <f aca="false">A12</f>
        <v>השקעות</v>
      </c>
      <c r="G16" s="25" t="s">
        <v>77</v>
      </c>
    </row>
    <row r="17" customFormat="false" ht="15" hidden="false" customHeight="false" outlineLevel="0" collapsed="false">
      <c r="A17" s="101" t="s">
        <v>35</v>
      </c>
      <c r="B17" s="42" t="n">
        <f aca="false">IF(B$16="",0,SUMIFS(תנועות!$E$6:$E$2005,תנועות!$B$6:$B$2005,B$16,תנועות!$A$6:$A$2005,"&gt;="&amp;DATE(הגדרות!$C$3,1,1),תנועות!$A$6:$A$2005,"&lt;"&amp;DATE(הגדרות!$C$3,2,1)))</f>
        <v>0</v>
      </c>
      <c r="C17" s="42" t="n">
        <f aca="false">IF(C$16="",0,SUMIFS(תנועות!$E$6:$E$2005,תנועות!$B$6:$B$2005,C$16,תנועות!$A$6:$A$2005,"&gt;="&amp;DATE(הגדרות!$C$3,1,1),תנועות!$A$6:$A$2005,"&lt;"&amp;DATE(הגדרות!$C$3,2,1)))</f>
        <v>0</v>
      </c>
      <c r="D17" s="42" t="n">
        <f aca="false">IF(D$16="",0,SUMIFS(תנועות!$E$6:$E$2005,תנועות!$B$6:$B$2005,D$16,תנועות!$A$6:$A$2005,"&gt;="&amp;DATE(הגדרות!$C$3,1,1),תנועות!$A$6:$A$2005,"&lt;"&amp;DATE(הגדרות!$C$3,2,1)))</f>
        <v>0</v>
      </c>
      <c r="E17" s="42" t="n">
        <f aca="false">IF(E$16="",0,SUMIFS(תנועות!$E$6:$E$2005,תנועות!$B$6:$B$2005,E$16,תנועות!$A$6:$A$2005,"&gt;="&amp;DATE(הגדרות!$C$3,1,1),תנועות!$A$6:$A$2005,"&lt;"&amp;DATE(הגדרות!$C$3,2,1)))</f>
        <v>0</v>
      </c>
      <c r="F17" s="42" t="n">
        <f aca="false">IF(F$16="",0,SUMIFS(תנועות!$E$6:$E$2005,תנועות!$B$6:$B$2005,F$16,תנועות!$A$6:$A$2005,"&gt;="&amp;DATE(הגדרות!$C$3,1,1),תנועות!$A$6:$A$2005,"&lt;"&amp;DATE(הגדרות!$C$3,2,1)))</f>
        <v>0</v>
      </c>
      <c r="G17" s="43" t="n">
        <f aca="false">SUM(B17:F17)</f>
        <v>0</v>
      </c>
    </row>
    <row r="18" customFormat="false" ht="15" hidden="false" customHeight="false" outlineLevel="0" collapsed="false">
      <c r="A18" s="101" t="s">
        <v>36</v>
      </c>
      <c r="B18" s="42" t="n">
        <f aca="false">IF(B$16="",0,SUMIFS(תנועות!$E$6:$E$2005,תנועות!$B$6:$B$2005,B$16,תנועות!$A$6:$A$2005,"&gt;="&amp;DATE(הגדרות!$C$3,2,1),תנועות!$A$6:$A$2005,"&lt;"&amp;DATE(הגדרות!$C$3,3,1)))</f>
        <v>0</v>
      </c>
      <c r="C18" s="42" t="n">
        <f aca="false">IF(C$16="",0,SUMIFS(תנועות!$E$6:$E$2005,תנועות!$B$6:$B$2005,C$16,תנועות!$A$6:$A$2005,"&gt;="&amp;DATE(הגדרות!$C$3,2,1),תנועות!$A$6:$A$2005,"&lt;"&amp;DATE(הגדרות!$C$3,3,1)))</f>
        <v>0</v>
      </c>
      <c r="D18" s="42" t="n">
        <f aca="false">IF(D$16="",0,SUMIFS(תנועות!$E$6:$E$2005,תנועות!$B$6:$B$2005,D$16,תנועות!$A$6:$A$2005,"&gt;="&amp;DATE(הגדרות!$C$3,2,1),תנועות!$A$6:$A$2005,"&lt;"&amp;DATE(הגדרות!$C$3,3,1)))</f>
        <v>0</v>
      </c>
      <c r="E18" s="42" t="n">
        <f aca="false">IF(E$16="",0,SUMIFS(תנועות!$E$6:$E$2005,תנועות!$B$6:$B$2005,E$16,תנועות!$A$6:$A$2005,"&gt;="&amp;DATE(הגדרות!$C$3,2,1),תנועות!$A$6:$A$2005,"&lt;"&amp;DATE(הגדרות!$C$3,3,1)))</f>
        <v>0</v>
      </c>
      <c r="F18" s="42" t="n">
        <f aca="false">IF(F$16="",0,SUMIFS(תנועות!$E$6:$E$2005,תנועות!$B$6:$B$2005,F$16,תנועות!$A$6:$A$2005,"&gt;="&amp;DATE(הגדרות!$C$3,2,1),תנועות!$A$6:$A$2005,"&lt;"&amp;DATE(הגדרות!$C$3,3,1)))</f>
        <v>0</v>
      </c>
      <c r="G18" s="43" t="n">
        <f aca="false">SUM(B18:F18)</f>
        <v>0</v>
      </c>
    </row>
    <row r="19" customFormat="false" ht="15" hidden="false" customHeight="false" outlineLevel="0" collapsed="false">
      <c r="A19" s="101" t="s">
        <v>37</v>
      </c>
      <c r="B19" s="42" t="n">
        <f aca="false">IF(B$16="",0,SUMIFS(תנועות!$E$6:$E$2005,תנועות!$B$6:$B$2005,B$16,תנועות!$A$6:$A$2005,"&gt;="&amp;DATE(הגדרות!$C$3,3,1),תנועות!$A$6:$A$2005,"&lt;"&amp;DATE(הגדרות!$C$3,4,1)))</f>
        <v>0</v>
      </c>
      <c r="C19" s="42" t="n">
        <f aca="false">IF(C$16="",0,SUMIFS(תנועות!$E$6:$E$2005,תנועות!$B$6:$B$2005,C$16,תנועות!$A$6:$A$2005,"&gt;="&amp;DATE(הגדרות!$C$3,3,1),תנועות!$A$6:$A$2005,"&lt;"&amp;DATE(הגדרות!$C$3,4,1)))</f>
        <v>0</v>
      </c>
      <c r="D19" s="42" t="n">
        <f aca="false">IF(D$16="",0,SUMIFS(תנועות!$E$6:$E$2005,תנועות!$B$6:$B$2005,D$16,תנועות!$A$6:$A$2005,"&gt;="&amp;DATE(הגדרות!$C$3,3,1),תנועות!$A$6:$A$2005,"&lt;"&amp;DATE(הגדרות!$C$3,4,1)))</f>
        <v>0</v>
      </c>
      <c r="E19" s="42" t="n">
        <f aca="false">IF(E$16="",0,SUMIFS(תנועות!$E$6:$E$2005,תנועות!$B$6:$B$2005,E$16,תנועות!$A$6:$A$2005,"&gt;="&amp;DATE(הגדרות!$C$3,3,1),תנועות!$A$6:$A$2005,"&lt;"&amp;DATE(הגדרות!$C$3,4,1)))</f>
        <v>0</v>
      </c>
      <c r="F19" s="42" t="n">
        <f aca="false">IF(F$16="",0,SUMIFS(תנועות!$E$6:$E$2005,תנועות!$B$6:$B$2005,F$16,תנועות!$A$6:$A$2005,"&gt;="&amp;DATE(הגדרות!$C$3,3,1),תנועות!$A$6:$A$2005,"&lt;"&amp;DATE(הגדרות!$C$3,4,1)))</f>
        <v>0</v>
      </c>
      <c r="G19" s="43" t="n">
        <f aca="false">SUM(B19:F19)</f>
        <v>0</v>
      </c>
    </row>
    <row r="20" customFormat="false" ht="15" hidden="false" customHeight="false" outlineLevel="0" collapsed="false">
      <c r="A20" s="101" t="s">
        <v>38</v>
      </c>
      <c r="B20" s="42" t="n">
        <f aca="false">IF(B$16="",0,SUMIFS(תנועות!$E$6:$E$2005,תנועות!$B$6:$B$2005,B$16,תנועות!$A$6:$A$2005,"&gt;="&amp;DATE(הגדרות!$C$3,4,1),תנועות!$A$6:$A$2005,"&lt;"&amp;DATE(הגדרות!$C$3,5,1)))</f>
        <v>0</v>
      </c>
      <c r="C20" s="42" t="n">
        <f aca="false">IF(C$16="",0,SUMIFS(תנועות!$E$6:$E$2005,תנועות!$B$6:$B$2005,C$16,תנועות!$A$6:$A$2005,"&gt;="&amp;DATE(הגדרות!$C$3,4,1),תנועות!$A$6:$A$2005,"&lt;"&amp;DATE(הגדרות!$C$3,5,1)))</f>
        <v>0</v>
      </c>
      <c r="D20" s="42" t="n">
        <f aca="false">IF(D$16="",0,SUMIFS(תנועות!$E$6:$E$2005,תנועות!$B$6:$B$2005,D$16,תנועות!$A$6:$A$2005,"&gt;="&amp;DATE(הגדרות!$C$3,4,1),תנועות!$A$6:$A$2005,"&lt;"&amp;DATE(הגדרות!$C$3,5,1)))</f>
        <v>0</v>
      </c>
      <c r="E20" s="42" t="n">
        <f aca="false">IF(E$16="",0,SUMIFS(תנועות!$E$6:$E$2005,תנועות!$B$6:$B$2005,E$16,תנועות!$A$6:$A$2005,"&gt;="&amp;DATE(הגדרות!$C$3,4,1),תנועות!$A$6:$A$2005,"&lt;"&amp;DATE(הגדרות!$C$3,5,1)))</f>
        <v>0</v>
      </c>
      <c r="F20" s="42" t="n">
        <f aca="false">IF(F$16="",0,SUMIFS(תנועות!$E$6:$E$2005,תנועות!$B$6:$B$2005,F$16,תנועות!$A$6:$A$2005,"&gt;="&amp;DATE(הגדרות!$C$3,4,1),תנועות!$A$6:$A$2005,"&lt;"&amp;DATE(הגדרות!$C$3,5,1)))</f>
        <v>0</v>
      </c>
      <c r="G20" s="43" t="n">
        <f aca="false">SUM(B20:F20)</f>
        <v>0</v>
      </c>
    </row>
    <row r="21" customFormat="false" ht="15" hidden="false" customHeight="false" outlineLevel="0" collapsed="false">
      <c r="A21" s="101" t="s">
        <v>39</v>
      </c>
      <c r="B21" s="42" t="n">
        <f aca="false">IF(B$16="",0,SUMIFS(תנועות!$E$6:$E$2005,תנועות!$B$6:$B$2005,B$16,תנועות!$A$6:$A$2005,"&gt;="&amp;DATE(הגדרות!$C$3,5,1),תנועות!$A$6:$A$2005,"&lt;"&amp;DATE(הגדרות!$C$3,6,1)))</f>
        <v>0</v>
      </c>
      <c r="C21" s="42" t="n">
        <f aca="false">IF(C$16="",0,SUMIFS(תנועות!$E$6:$E$2005,תנועות!$B$6:$B$2005,C$16,תנועות!$A$6:$A$2005,"&gt;="&amp;DATE(הגדרות!$C$3,5,1),תנועות!$A$6:$A$2005,"&lt;"&amp;DATE(הגדרות!$C$3,6,1)))</f>
        <v>0</v>
      </c>
      <c r="D21" s="42" t="n">
        <f aca="false">IF(D$16="",0,SUMIFS(תנועות!$E$6:$E$2005,תנועות!$B$6:$B$2005,D$16,תנועות!$A$6:$A$2005,"&gt;="&amp;DATE(הגדרות!$C$3,5,1),תנועות!$A$6:$A$2005,"&lt;"&amp;DATE(הגדרות!$C$3,6,1)))</f>
        <v>0</v>
      </c>
      <c r="E21" s="42" t="n">
        <f aca="false">IF(E$16="",0,SUMIFS(תנועות!$E$6:$E$2005,תנועות!$B$6:$B$2005,E$16,תנועות!$A$6:$A$2005,"&gt;="&amp;DATE(הגדרות!$C$3,5,1),תנועות!$A$6:$A$2005,"&lt;"&amp;DATE(הגדרות!$C$3,6,1)))</f>
        <v>0</v>
      </c>
      <c r="F21" s="42" t="n">
        <f aca="false">IF(F$16="",0,SUMIFS(תנועות!$E$6:$E$2005,תנועות!$B$6:$B$2005,F$16,תנועות!$A$6:$A$2005,"&gt;="&amp;DATE(הגדרות!$C$3,5,1),תנועות!$A$6:$A$2005,"&lt;"&amp;DATE(הגדרות!$C$3,6,1)))</f>
        <v>0</v>
      </c>
      <c r="G21" s="43" t="n">
        <f aca="false">SUM(B21:F21)</f>
        <v>0</v>
      </c>
    </row>
    <row r="22" customFormat="false" ht="15" hidden="false" customHeight="false" outlineLevel="0" collapsed="false">
      <c r="A22" s="101" t="s">
        <v>40</v>
      </c>
      <c r="B22" s="42" t="n">
        <f aca="false">IF(B$16="",0,SUMIFS(תנועות!$E$6:$E$2005,תנועות!$B$6:$B$2005,B$16,תנועות!$A$6:$A$2005,"&gt;="&amp;DATE(הגדרות!$C$3,6,1),תנועות!$A$6:$A$2005,"&lt;"&amp;DATE(הגדרות!$C$3,7,1)))</f>
        <v>0</v>
      </c>
      <c r="C22" s="42" t="n">
        <f aca="false">IF(C$16="",0,SUMIFS(תנועות!$E$6:$E$2005,תנועות!$B$6:$B$2005,C$16,תנועות!$A$6:$A$2005,"&gt;="&amp;DATE(הגדרות!$C$3,6,1),תנועות!$A$6:$A$2005,"&lt;"&amp;DATE(הגדרות!$C$3,7,1)))</f>
        <v>0</v>
      </c>
      <c r="D22" s="42" t="n">
        <f aca="false">IF(D$16="",0,SUMIFS(תנועות!$E$6:$E$2005,תנועות!$B$6:$B$2005,D$16,תנועות!$A$6:$A$2005,"&gt;="&amp;DATE(הגדרות!$C$3,6,1),תנועות!$A$6:$A$2005,"&lt;"&amp;DATE(הגדרות!$C$3,7,1)))</f>
        <v>0</v>
      </c>
      <c r="E22" s="42" t="n">
        <f aca="false">IF(E$16="",0,SUMIFS(תנועות!$E$6:$E$2005,תנועות!$B$6:$B$2005,E$16,תנועות!$A$6:$A$2005,"&gt;="&amp;DATE(הגדרות!$C$3,6,1),תנועות!$A$6:$A$2005,"&lt;"&amp;DATE(הגדרות!$C$3,7,1)))</f>
        <v>0</v>
      </c>
      <c r="F22" s="42" t="n">
        <f aca="false">IF(F$16="",0,SUMIFS(תנועות!$E$6:$E$2005,תנועות!$B$6:$B$2005,F$16,תנועות!$A$6:$A$2005,"&gt;="&amp;DATE(הגדרות!$C$3,6,1),תנועות!$A$6:$A$2005,"&lt;"&amp;DATE(הגדרות!$C$3,7,1)))</f>
        <v>0</v>
      </c>
      <c r="G22" s="43" t="n">
        <f aca="false">SUM(B22:F22)</f>
        <v>0</v>
      </c>
    </row>
    <row r="23" customFormat="false" ht="15" hidden="false" customHeight="false" outlineLevel="0" collapsed="false">
      <c r="A23" s="101" t="s">
        <v>41</v>
      </c>
      <c r="B23" s="42" t="n">
        <f aca="false">IF(B$16="",0,SUMIFS(תנועות!$E$6:$E$2005,תנועות!$B$6:$B$2005,B$16,תנועות!$A$6:$A$2005,"&gt;="&amp;DATE(הגדרות!$C$3,7,1),תנועות!$A$6:$A$2005,"&lt;"&amp;DATE(הגדרות!$C$3,8,1)))</f>
        <v>0</v>
      </c>
      <c r="C23" s="42" t="n">
        <f aca="false">IF(C$16="",0,SUMIFS(תנועות!$E$6:$E$2005,תנועות!$B$6:$B$2005,C$16,תנועות!$A$6:$A$2005,"&gt;="&amp;DATE(הגדרות!$C$3,7,1),תנועות!$A$6:$A$2005,"&lt;"&amp;DATE(הגדרות!$C$3,8,1)))</f>
        <v>0</v>
      </c>
      <c r="D23" s="42" t="n">
        <f aca="false">IF(D$16="",0,SUMIFS(תנועות!$E$6:$E$2005,תנועות!$B$6:$B$2005,D$16,תנועות!$A$6:$A$2005,"&gt;="&amp;DATE(הגדרות!$C$3,7,1),תנועות!$A$6:$A$2005,"&lt;"&amp;DATE(הגדרות!$C$3,8,1)))</f>
        <v>0</v>
      </c>
      <c r="E23" s="42" t="n">
        <f aca="false">IF(E$16="",0,SUMIFS(תנועות!$E$6:$E$2005,תנועות!$B$6:$B$2005,E$16,תנועות!$A$6:$A$2005,"&gt;="&amp;DATE(הגדרות!$C$3,7,1),תנועות!$A$6:$A$2005,"&lt;"&amp;DATE(הגדרות!$C$3,8,1)))</f>
        <v>0</v>
      </c>
      <c r="F23" s="42" t="n">
        <f aca="false">IF(F$16="",0,SUMIFS(תנועות!$E$6:$E$2005,תנועות!$B$6:$B$2005,F$16,תנועות!$A$6:$A$2005,"&gt;="&amp;DATE(הגדרות!$C$3,7,1),תנועות!$A$6:$A$2005,"&lt;"&amp;DATE(הגדרות!$C$3,8,1)))</f>
        <v>0</v>
      </c>
      <c r="G23" s="43" t="n">
        <f aca="false">SUM(B23:F23)</f>
        <v>0</v>
      </c>
    </row>
    <row r="24" customFormat="false" ht="15" hidden="false" customHeight="false" outlineLevel="0" collapsed="false">
      <c r="A24" s="101" t="s">
        <v>42</v>
      </c>
      <c r="B24" s="42" t="n">
        <f aca="false">IF(B$16="",0,SUMIFS(תנועות!$E$6:$E$2005,תנועות!$B$6:$B$2005,B$16,תנועות!$A$6:$A$2005,"&gt;="&amp;DATE(הגדרות!$C$3,8,1),תנועות!$A$6:$A$2005,"&lt;"&amp;DATE(הגדרות!$C$3,9,1)))</f>
        <v>0</v>
      </c>
      <c r="C24" s="42" t="n">
        <f aca="false">IF(C$16="",0,SUMIFS(תנועות!$E$6:$E$2005,תנועות!$B$6:$B$2005,C$16,תנועות!$A$6:$A$2005,"&gt;="&amp;DATE(הגדרות!$C$3,8,1),תנועות!$A$6:$A$2005,"&lt;"&amp;DATE(הגדרות!$C$3,9,1)))</f>
        <v>0</v>
      </c>
      <c r="D24" s="42" t="n">
        <f aca="false">IF(D$16="",0,SUMIFS(תנועות!$E$6:$E$2005,תנועות!$B$6:$B$2005,D$16,תנועות!$A$6:$A$2005,"&gt;="&amp;DATE(הגדרות!$C$3,8,1),תנועות!$A$6:$A$2005,"&lt;"&amp;DATE(הגדרות!$C$3,9,1)))</f>
        <v>0</v>
      </c>
      <c r="E24" s="42" t="n">
        <f aca="false">IF(E$16="",0,SUMIFS(תנועות!$E$6:$E$2005,תנועות!$B$6:$B$2005,E$16,תנועות!$A$6:$A$2005,"&gt;="&amp;DATE(הגדרות!$C$3,8,1),תנועות!$A$6:$A$2005,"&lt;"&amp;DATE(הגדרות!$C$3,9,1)))</f>
        <v>0</v>
      </c>
      <c r="F24" s="42" t="n">
        <f aca="false">IF(F$16="",0,SUMIFS(תנועות!$E$6:$E$2005,תנועות!$B$6:$B$2005,F$16,תנועות!$A$6:$A$2005,"&gt;="&amp;DATE(הגדרות!$C$3,8,1),תנועות!$A$6:$A$2005,"&lt;"&amp;DATE(הגדרות!$C$3,9,1)))</f>
        <v>0</v>
      </c>
      <c r="G24" s="43" t="n">
        <f aca="false">SUM(B24:F24)</f>
        <v>0</v>
      </c>
    </row>
    <row r="25" customFormat="false" ht="15" hidden="false" customHeight="false" outlineLevel="0" collapsed="false">
      <c r="A25" s="101" t="s">
        <v>43</v>
      </c>
      <c r="B25" s="42" t="n">
        <f aca="false">IF(B$16="",0,SUMIFS(תנועות!$E$6:$E$2005,תנועות!$B$6:$B$2005,B$16,תנועות!$A$6:$A$2005,"&gt;="&amp;DATE(הגדרות!$C$3,9,1),תנועות!$A$6:$A$2005,"&lt;"&amp;DATE(הגדרות!$C$3,10,1)))</f>
        <v>0</v>
      </c>
      <c r="C25" s="42" t="n">
        <f aca="false">IF(C$16="",0,SUMIFS(תנועות!$E$6:$E$2005,תנועות!$B$6:$B$2005,C$16,תנועות!$A$6:$A$2005,"&gt;="&amp;DATE(הגדרות!$C$3,9,1),תנועות!$A$6:$A$2005,"&lt;"&amp;DATE(הגדרות!$C$3,10,1)))</f>
        <v>0</v>
      </c>
      <c r="D25" s="42" t="n">
        <f aca="false">IF(D$16="",0,SUMIFS(תנועות!$E$6:$E$2005,תנועות!$B$6:$B$2005,D$16,תנועות!$A$6:$A$2005,"&gt;="&amp;DATE(הגדרות!$C$3,9,1),תנועות!$A$6:$A$2005,"&lt;"&amp;DATE(הגדרות!$C$3,10,1)))</f>
        <v>0</v>
      </c>
      <c r="E25" s="42" t="n">
        <f aca="false">IF(E$16="",0,SUMIFS(תנועות!$E$6:$E$2005,תנועות!$B$6:$B$2005,E$16,תנועות!$A$6:$A$2005,"&gt;="&amp;DATE(הגדרות!$C$3,9,1),תנועות!$A$6:$A$2005,"&lt;"&amp;DATE(הגדרות!$C$3,10,1)))</f>
        <v>0</v>
      </c>
      <c r="F25" s="42" t="n">
        <f aca="false">IF(F$16="",0,SUMIFS(תנועות!$E$6:$E$2005,תנועות!$B$6:$B$2005,F$16,תנועות!$A$6:$A$2005,"&gt;="&amp;DATE(הגדרות!$C$3,9,1),תנועות!$A$6:$A$2005,"&lt;"&amp;DATE(הגדרות!$C$3,10,1)))</f>
        <v>0</v>
      </c>
      <c r="G25" s="43" t="n">
        <f aca="false">SUM(B25:F25)</f>
        <v>0</v>
      </c>
    </row>
    <row r="26" customFormat="false" ht="15" hidden="false" customHeight="false" outlineLevel="0" collapsed="false">
      <c r="A26" s="101" t="s">
        <v>44</v>
      </c>
      <c r="B26" s="42" t="n">
        <f aca="false">IF(B$16="",0,SUMIFS(תנועות!$E$6:$E$2005,תנועות!$B$6:$B$2005,B$16,תנועות!$A$6:$A$2005,"&gt;="&amp;DATE(הגדרות!$C$3,10,1),תנועות!$A$6:$A$2005,"&lt;"&amp;DATE(הגדרות!$C$3,11,1)))</f>
        <v>0</v>
      </c>
      <c r="C26" s="42" t="n">
        <f aca="false">IF(C$16="",0,SUMIFS(תנועות!$E$6:$E$2005,תנועות!$B$6:$B$2005,C$16,תנועות!$A$6:$A$2005,"&gt;="&amp;DATE(הגדרות!$C$3,10,1),תנועות!$A$6:$A$2005,"&lt;"&amp;DATE(הגדרות!$C$3,11,1)))</f>
        <v>0</v>
      </c>
      <c r="D26" s="42" t="n">
        <f aca="false">IF(D$16="",0,SUMIFS(תנועות!$E$6:$E$2005,תנועות!$B$6:$B$2005,D$16,תנועות!$A$6:$A$2005,"&gt;="&amp;DATE(הגדרות!$C$3,10,1),תנועות!$A$6:$A$2005,"&lt;"&amp;DATE(הגדרות!$C$3,11,1)))</f>
        <v>0</v>
      </c>
      <c r="E26" s="42" t="n">
        <f aca="false">IF(E$16="",0,SUMIFS(תנועות!$E$6:$E$2005,תנועות!$B$6:$B$2005,E$16,תנועות!$A$6:$A$2005,"&gt;="&amp;DATE(הגדרות!$C$3,10,1),תנועות!$A$6:$A$2005,"&lt;"&amp;DATE(הגדרות!$C$3,11,1)))</f>
        <v>0</v>
      </c>
      <c r="F26" s="42" t="n">
        <f aca="false">IF(F$16="",0,SUMIFS(תנועות!$E$6:$E$2005,תנועות!$B$6:$B$2005,F$16,תנועות!$A$6:$A$2005,"&gt;="&amp;DATE(הגדרות!$C$3,10,1),תנועות!$A$6:$A$2005,"&lt;"&amp;DATE(הגדרות!$C$3,11,1)))</f>
        <v>0</v>
      </c>
      <c r="G26" s="43" t="n">
        <f aca="false">SUM(B26:F26)</f>
        <v>0</v>
      </c>
    </row>
    <row r="27" customFormat="false" ht="15" hidden="false" customHeight="false" outlineLevel="0" collapsed="false">
      <c r="A27" s="101" t="s">
        <v>45</v>
      </c>
      <c r="B27" s="42" t="n">
        <f aca="false">IF(B$16="",0,SUMIFS(תנועות!$E$6:$E$2005,תנועות!$B$6:$B$2005,B$16,תנועות!$A$6:$A$2005,"&gt;="&amp;DATE(הגדרות!$C$3,11,1),תנועות!$A$6:$A$2005,"&lt;"&amp;DATE(הגדרות!$C$3,12,1)))</f>
        <v>0</v>
      </c>
      <c r="C27" s="42" t="n">
        <f aca="false">IF(C$16="",0,SUMIFS(תנועות!$E$6:$E$2005,תנועות!$B$6:$B$2005,C$16,תנועות!$A$6:$A$2005,"&gt;="&amp;DATE(הגדרות!$C$3,11,1),תנועות!$A$6:$A$2005,"&lt;"&amp;DATE(הגדרות!$C$3,12,1)))</f>
        <v>0</v>
      </c>
      <c r="D27" s="42" t="n">
        <f aca="false">IF(D$16="",0,SUMIFS(תנועות!$E$6:$E$2005,תנועות!$B$6:$B$2005,D$16,תנועות!$A$6:$A$2005,"&gt;="&amp;DATE(הגדרות!$C$3,11,1),תנועות!$A$6:$A$2005,"&lt;"&amp;DATE(הגדרות!$C$3,12,1)))</f>
        <v>0</v>
      </c>
      <c r="E27" s="42" t="n">
        <f aca="false">IF(E$16="",0,SUMIFS(תנועות!$E$6:$E$2005,תנועות!$B$6:$B$2005,E$16,תנועות!$A$6:$A$2005,"&gt;="&amp;DATE(הגדרות!$C$3,11,1),תנועות!$A$6:$A$2005,"&lt;"&amp;DATE(הגדרות!$C$3,12,1)))</f>
        <v>0</v>
      </c>
      <c r="F27" s="42" t="n">
        <f aca="false">IF(F$16="",0,SUMIFS(תנועות!$E$6:$E$2005,תנועות!$B$6:$B$2005,F$16,תנועות!$A$6:$A$2005,"&gt;="&amp;DATE(הגדרות!$C$3,11,1),תנועות!$A$6:$A$2005,"&lt;"&amp;DATE(הגדרות!$C$3,12,1)))</f>
        <v>0</v>
      </c>
      <c r="G27" s="43" t="n">
        <f aca="false">SUM(B27:F27)</f>
        <v>0</v>
      </c>
    </row>
    <row r="28" customFormat="false" ht="15" hidden="false" customHeight="false" outlineLevel="0" collapsed="false">
      <c r="A28" s="101" t="s">
        <v>46</v>
      </c>
      <c r="B28" s="42" t="n">
        <f aca="false">IF(B$16="",0,SUMIFS(תנועות!$E$6:$E$2005,תנועות!$B$6:$B$2005,B$16,תנועות!$A$6:$A$2005,"&gt;="&amp;DATE(הגדרות!$C$3,12,1),תנועות!$A$6:$A$2005,"&lt;"&amp;DATE(הגדרות!$C$3,13,1)))</f>
        <v>0</v>
      </c>
      <c r="C28" s="42" t="n">
        <f aca="false">IF(C$16="",0,SUMIFS(תנועות!$E$6:$E$2005,תנועות!$B$6:$B$2005,C$16,תנועות!$A$6:$A$2005,"&gt;="&amp;DATE(הגדרות!$C$3,12,1),תנועות!$A$6:$A$2005,"&lt;"&amp;DATE(הגדרות!$C$3,13,1)))</f>
        <v>0</v>
      </c>
      <c r="D28" s="42" t="n">
        <f aca="false">IF(D$16="",0,SUMIFS(תנועות!$E$6:$E$2005,תנועות!$B$6:$B$2005,D$16,תנועות!$A$6:$A$2005,"&gt;="&amp;DATE(הגדרות!$C$3,12,1),תנועות!$A$6:$A$2005,"&lt;"&amp;DATE(הגדרות!$C$3,13,1)))</f>
        <v>0</v>
      </c>
      <c r="E28" s="42" t="n">
        <f aca="false">IF(E$16="",0,SUMIFS(תנועות!$E$6:$E$2005,תנועות!$B$6:$B$2005,E$16,תנועות!$A$6:$A$2005,"&gt;="&amp;DATE(הגדרות!$C$3,12,1),תנועות!$A$6:$A$2005,"&lt;"&amp;DATE(הגדרות!$C$3,13,1)))</f>
        <v>0</v>
      </c>
      <c r="F28" s="42" t="n">
        <f aca="false">IF(F$16="",0,SUMIFS(תנועות!$E$6:$E$2005,תנועות!$B$6:$B$2005,F$16,תנועות!$A$6:$A$2005,"&gt;="&amp;DATE(הגדרות!$C$3,12,1),תנועות!$A$6:$A$2005,"&lt;"&amp;DATE(הגדרות!$C$3,13,1)))</f>
        <v>0</v>
      </c>
      <c r="G28" s="43" t="n">
        <f aca="false">SUM(B28:F28)</f>
        <v>0</v>
      </c>
    </row>
    <row r="40" customFormat="false" ht="15" hidden="false" customHeight="false" outlineLevel="0" collapsed="false">
      <c r="N40" s="102" t="s">
        <v>97</v>
      </c>
      <c r="O40" s="103" t="n">
        <f aca="false">F13</f>
        <v>118500</v>
      </c>
    </row>
    <row r="41" customFormat="false" ht="15" hidden="false" customHeight="false" outlineLevel="0" collapsed="false">
      <c r="N41" s="102" t="s">
        <v>71</v>
      </c>
      <c r="O41" s="103" t="n">
        <f aca="false">G13</f>
        <v>163500</v>
      </c>
    </row>
  </sheetData>
  <mergeCells count="11">
    <mergeCell ref="A1:K1"/>
    <mergeCell ref="A2:K2"/>
    <mergeCell ref="A4:B4"/>
    <mergeCell ref="C4:E4"/>
    <mergeCell ref="F4:H4"/>
    <mergeCell ref="I4:K4"/>
    <mergeCell ref="A5:B5"/>
    <mergeCell ref="C5:E5"/>
    <mergeCell ref="F5:H5"/>
    <mergeCell ref="I5:K5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6666"/>
    <pageSetUpPr fitToPage="true"/>
  </sheetPr>
  <dimension ref="A1:K3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7" min="5" style="0" width="13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3"/>
  </cols>
  <sheetData>
    <row r="1" customFormat="false" ht="39.75" hidden="false" customHeight="true" outlineLevel="0" collapsed="false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9.5" hidden="false" customHeight="true" outlineLevel="0" collapsed="false">
      <c r="A4" s="16" t="s">
        <v>100</v>
      </c>
      <c r="B4" s="16"/>
      <c r="C4" s="18" t="s">
        <v>101</v>
      </c>
      <c r="D4" s="18"/>
      <c r="E4" s="18"/>
      <c r="F4" s="65" t="s">
        <v>102</v>
      </c>
      <c r="G4" s="65"/>
      <c r="H4" s="65"/>
      <c r="I4" s="17" t="s">
        <v>103</v>
      </c>
      <c r="J4" s="17"/>
      <c r="K4" s="17"/>
    </row>
    <row r="5" customFormat="false" ht="33.75" hidden="false" customHeight="true" outlineLevel="0" collapsed="false">
      <c r="A5" s="20" t="n">
        <f aca="false">B14</f>
        <v>96000</v>
      </c>
      <c r="B5" s="20"/>
      <c r="C5" s="92" t="n">
        <f aca="false">F14</f>
        <v>0</v>
      </c>
      <c r="D5" s="92"/>
      <c r="E5" s="92"/>
      <c r="F5" s="93" t="n">
        <f aca="false">G14</f>
        <v>64800</v>
      </c>
      <c r="G5" s="93"/>
      <c r="H5" s="93"/>
      <c r="I5" s="104" t="n">
        <f aca="false">K14</f>
        <v>47457</v>
      </c>
      <c r="J5" s="104"/>
      <c r="K5" s="104"/>
    </row>
    <row r="7" customFormat="false" ht="15" hidden="false" customHeight="false" outlineLevel="0" collapsed="false">
      <c r="A7" s="28" t="s">
        <v>104</v>
      </c>
      <c r="B7" s="28" t="s">
        <v>105</v>
      </c>
      <c r="C7" s="28" t="s">
        <v>106</v>
      </c>
      <c r="D7" s="28" t="s">
        <v>107</v>
      </c>
      <c r="E7" s="28" t="s">
        <v>108</v>
      </c>
      <c r="F7" s="28" t="s">
        <v>109</v>
      </c>
      <c r="G7" s="28" t="s">
        <v>110</v>
      </c>
      <c r="H7" s="28" t="s">
        <v>111</v>
      </c>
      <c r="I7" s="28" t="s">
        <v>93</v>
      </c>
      <c r="J7" s="28" t="s">
        <v>112</v>
      </c>
      <c r="K7" s="28" t="s">
        <v>113</v>
      </c>
    </row>
    <row r="8" customFormat="false" ht="15" hidden="false" customHeight="false" outlineLevel="0" collapsed="false">
      <c r="A8" s="62" t="str">
        <f aca="false">IF(הגדרות!$B$48="","",הגדרות!$B$48)</f>
        <v>הלוואת רכב</v>
      </c>
      <c r="B8" s="95" t="n">
        <v>60000</v>
      </c>
      <c r="C8" s="95" t="n">
        <v>38000</v>
      </c>
      <c r="D8" s="105" t="n">
        <v>0.055</v>
      </c>
      <c r="E8" s="42" t="n">
        <f aca="false">IF(A8="","",הגדרות!$E$48)</f>
        <v>1100</v>
      </c>
      <c r="F8" s="42" t="n">
        <f aca="false">IF(A8="",0,SUMIFS(תנועות!$E$6:$E$2005,תנועות!$B$6:$B$2005,A8,תנועות!$A$6:$A$2005,"&gt;="&amp;DATE(הגדרות!$C$3,1,1),תנועות!$A$6:$A$2005,"&lt;"&amp;DATE(הגדרות!$C$3+1,1,1)))</f>
        <v>0</v>
      </c>
      <c r="G8" s="43" t="n">
        <f aca="false">IF(A8="",0,MAX(0,N(C8)-F8))</f>
        <v>38000</v>
      </c>
      <c r="H8" s="97" t="n">
        <f aca="false">IF(OR(A8="",N(B8)=0),"",MAX(0,MIN(1,(B8-G8)/B8)))</f>
        <v>0.366666666666667</v>
      </c>
      <c r="I8" s="106" t="str">
        <f aca="false">IF(H8="","",REPT("█",ROUND(H8*10,0))&amp;REPT("░",10-ROUND(H8*10,0)))</f>
        <v>████░░░░░░</v>
      </c>
      <c r="J8" s="99" t="n">
        <f aca="false">IF(OR(A8="",N(E8)=0),"",IF(G8&lt;=0,0,IFERROR(ROUNDUP(NPER(N(D8)/12,-E8,G8),0),"לא מכסה ריבית")))</f>
        <v>38</v>
      </c>
      <c r="K8" s="107" t="n">
        <f aca="true">IF(ISNUMBER(J8),EDATE(TODAY(),J8),"")</f>
        <v>47457</v>
      </c>
    </row>
    <row r="9" customFormat="false" ht="15" hidden="false" customHeight="false" outlineLevel="0" collapsed="false">
      <c r="A9" s="62" t="str">
        <f aca="false">IF(הגדרות!$B$49="","",הגדרות!$B$49)</f>
        <v>הלוואה בנקאית</v>
      </c>
      <c r="B9" s="95" t="n">
        <v>30000</v>
      </c>
      <c r="C9" s="95" t="n">
        <v>22000</v>
      </c>
      <c r="D9" s="105" t="n">
        <v>0.07</v>
      </c>
      <c r="E9" s="42" t="n">
        <f aca="false">IF(A9="","",הגדרות!$E$49)</f>
        <v>800</v>
      </c>
      <c r="F9" s="42" t="n">
        <f aca="false">IF(A9="",0,SUMIFS(תנועות!$E$6:$E$2005,תנועות!$B$6:$B$2005,A9,תנועות!$A$6:$A$2005,"&gt;="&amp;DATE(הגדרות!$C$3,1,1),תנועות!$A$6:$A$2005,"&lt;"&amp;DATE(הגדרות!$C$3+1,1,1)))</f>
        <v>0</v>
      </c>
      <c r="G9" s="43" t="n">
        <f aca="false">IF(A9="",0,MAX(0,N(C9)-F9))</f>
        <v>22000</v>
      </c>
      <c r="H9" s="97" t="n">
        <f aca="false">IF(OR(A9="",N(B9)=0),"",MAX(0,MIN(1,(B9-G9)/B9)))</f>
        <v>0.266666666666667</v>
      </c>
      <c r="I9" s="106" t="str">
        <f aca="false">IF(H9="","",REPT("█",ROUND(H9*10,0))&amp;REPT("░",10-ROUND(H9*10,0)))</f>
        <v>███░░░░░░░</v>
      </c>
      <c r="J9" s="99" t="n">
        <f aca="false">IF(OR(A9="",N(E9)=0),"",IF(G9&lt;=0,0,IFERROR(ROUNDUP(NPER(N(D9)/12,-E9,G9),0),"לא מכסה ריבית")))</f>
        <v>31</v>
      </c>
      <c r="K9" s="107" t="n">
        <f aca="true">IF(ISNUMBER(J9),EDATE(TODAY(),J9),"")</f>
        <v>47243</v>
      </c>
    </row>
    <row r="10" customFormat="false" ht="15" hidden="false" customHeight="false" outlineLevel="0" collapsed="false">
      <c r="A10" s="62" t="str">
        <f aca="false">IF(הגדרות!$B$50="","",הגדרות!$B$50)</f>
        <v>כרטיס אשראי – פריסה</v>
      </c>
      <c r="B10" s="95" t="n">
        <v>6000</v>
      </c>
      <c r="C10" s="95" t="n">
        <v>4800</v>
      </c>
      <c r="D10" s="105" t="n">
        <v>0.12</v>
      </c>
      <c r="E10" s="42" t="n">
        <f aca="false">IF(A10="","",הגדרות!$E$50)</f>
        <v>400</v>
      </c>
      <c r="F10" s="42" t="n">
        <f aca="false">IF(A10="",0,SUMIFS(תנועות!$E$6:$E$2005,תנועות!$B$6:$B$2005,A10,תנועות!$A$6:$A$2005,"&gt;="&amp;DATE(הגדרות!$C$3,1,1),תנועות!$A$6:$A$2005,"&lt;"&amp;DATE(הגדרות!$C$3+1,1,1)))</f>
        <v>0</v>
      </c>
      <c r="G10" s="43" t="n">
        <f aca="false">IF(A10="",0,MAX(0,N(C10)-F10))</f>
        <v>4800</v>
      </c>
      <c r="H10" s="97" t="n">
        <f aca="false">IF(OR(A10="",N(B10)=0),"",MAX(0,MIN(1,(B10-G10)/B10)))</f>
        <v>0.2</v>
      </c>
      <c r="I10" s="106" t="str">
        <f aca="false">IF(H10="","",REPT("█",ROUND(H10*10,0))&amp;REPT("░",10-ROUND(H10*10,0)))</f>
        <v>██░░░░░░░░</v>
      </c>
      <c r="J10" s="99" t="n">
        <f aca="false">IF(OR(A10="",N(E10)=0),"",IF(G10&lt;=0,0,IFERROR(ROUNDUP(NPER(N(D10)/12,-E10,G10),0),"לא מכסה ריבית")))</f>
        <v>13</v>
      </c>
      <c r="K10" s="107" t="n">
        <f aca="true">IF(ISNUMBER(J10),EDATE(TODAY(),J10),"")</f>
        <v>46696</v>
      </c>
    </row>
    <row r="11" customFormat="false" ht="15" hidden="false" customHeight="false" outlineLevel="0" collapsed="false">
      <c r="A11" s="62" t="str">
        <f aca="false">IF(הגדרות!$B$51="","",הגדרות!$B$51)</f>
        <v/>
      </c>
      <c r="B11" s="95"/>
      <c r="C11" s="95"/>
      <c r="D11" s="105"/>
      <c r="E11" s="42" t="str">
        <f aca="false">IF(A11="","",הגדרות!$E$51)</f>
        <v/>
      </c>
      <c r="F11" s="42" t="n">
        <f aca="false">IF(A11="",0,SUMIFS(תנועות!$E$6:$E$2005,תנועות!$B$6:$B$2005,A11,תנועות!$A$6:$A$2005,"&gt;="&amp;DATE(הגדרות!$C$3,1,1),תנועות!$A$6:$A$2005,"&lt;"&amp;DATE(הגדרות!$C$3+1,1,1)))</f>
        <v>0</v>
      </c>
      <c r="G11" s="43" t="n">
        <f aca="false">IF(A11="",0,MAX(0,N(C11)-F11))</f>
        <v>0</v>
      </c>
      <c r="H11" s="97" t="str">
        <f aca="false">IF(OR(A11="",N(B11)=0),"",MAX(0,MIN(1,(B11-G11)/B11)))</f>
        <v/>
      </c>
      <c r="I11" s="106" t="str">
        <f aca="false">IF(H11="","",REPT("█",ROUND(H11*10,0))&amp;REPT("░",10-ROUND(H11*10,0)))</f>
        <v/>
      </c>
      <c r="J11" s="99" t="str">
        <f aca="false">IF(OR(A11="",N(E11)=0),"",IF(G11&lt;=0,0,IFERROR(ROUNDUP(NPER(N(D11)/12,-E11,G11),0),"לא מכסה ריבית")))</f>
        <v/>
      </c>
      <c r="K11" s="107" t="str">
        <f aca="true">IF(ISNUMBER(J11),EDATE(TODAY(),J11),"")</f>
        <v/>
      </c>
    </row>
    <row r="12" customFormat="false" ht="15" hidden="false" customHeight="false" outlineLevel="0" collapsed="false">
      <c r="A12" s="62" t="str">
        <f aca="false">IF(הגדרות!$B$52="","",הגדרות!$B$52)</f>
        <v/>
      </c>
      <c r="B12" s="95"/>
      <c r="C12" s="95"/>
      <c r="D12" s="105"/>
      <c r="E12" s="42" t="str">
        <f aca="false">IF(A12="","",הגדרות!$E$52)</f>
        <v/>
      </c>
      <c r="F12" s="42" t="n">
        <f aca="false">IF(A12="",0,SUMIFS(תנועות!$E$6:$E$2005,תנועות!$B$6:$B$2005,A12,תנועות!$A$6:$A$2005,"&gt;="&amp;DATE(הגדרות!$C$3,1,1),תנועות!$A$6:$A$2005,"&lt;"&amp;DATE(הגדרות!$C$3+1,1,1)))</f>
        <v>0</v>
      </c>
      <c r="G12" s="43" t="n">
        <f aca="false">IF(A12="",0,MAX(0,N(C12)-F12))</f>
        <v>0</v>
      </c>
      <c r="H12" s="97" t="str">
        <f aca="false">IF(OR(A12="",N(B12)=0),"",MAX(0,MIN(1,(B12-G12)/B12)))</f>
        <v/>
      </c>
      <c r="I12" s="106" t="str">
        <f aca="false">IF(H12="","",REPT("█",ROUND(H12*10,0))&amp;REPT("░",10-ROUND(H12*10,0)))</f>
        <v/>
      </c>
      <c r="J12" s="99" t="str">
        <f aca="false">IF(OR(A12="",N(E12)=0),"",IF(G12&lt;=0,0,IFERROR(ROUNDUP(NPER(N(D12)/12,-E12,G12),0),"לא מכסה ריבית")))</f>
        <v/>
      </c>
      <c r="K12" s="107" t="str">
        <f aca="true">IF(ISNUMBER(J12),EDATE(TODAY(),J12),"")</f>
        <v/>
      </c>
    </row>
    <row r="13" customFormat="false" ht="15" hidden="false" customHeight="false" outlineLevel="0" collapsed="false">
      <c r="A13" s="62" t="str">
        <f aca="false">IF(הגדרות!$B$53="","",הגדרות!$B$53)</f>
        <v/>
      </c>
      <c r="B13" s="95"/>
      <c r="C13" s="95"/>
      <c r="D13" s="105"/>
      <c r="E13" s="42" t="str">
        <f aca="false">IF(A13="","",הגדרות!$E$53)</f>
        <v/>
      </c>
      <c r="F13" s="42" t="n">
        <f aca="false">IF(A13="",0,SUMIFS(תנועות!$E$6:$E$2005,תנועות!$B$6:$B$2005,A13,תנועות!$A$6:$A$2005,"&gt;="&amp;DATE(הגדרות!$C$3,1,1),תנועות!$A$6:$A$2005,"&lt;"&amp;DATE(הגדרות!$C$3+1,1,1)))</f>
        <v>0</v>
      </c>
      <c r="G13" s="43" t="n">
        <f aca="false">IF(A13="",0,MAX(0,N(C13)-F13))</f>
        <v>0</v>
      </c>
      <c r="H13" s="97" t="str">
        <f aca="false">IF(OR(A13="",N(B13)=0),"",MAX(0,MIN(1,(B13-G13)/B13)))</f>
        <v/>
      </c>
      <c r="I13" s="106" t="str">
        <f aca="false">IF(H13="","",REPT("█",ROUND(H13*10,0))&amp;REPT("░",10-ROUND(H13*10,0)))</f>
        <v/>
      </c>
      <c r="J13" s="99" t="str">
        <f aca="false">IF(OR(A13="",N(E13)=0),"",IF(G13&lt;=0,0,IFERROR(ROUNDUP(NPER(N(D13)/12,-E13,G13),0),"לא מכסה ריבית")))</f>
        <v/>
      </c>
      <c r="K13" s="107" t="str">
        <f aca="true">IF(ISNUMBER(J13),EDATE(TODAY(),J13),"")</f>
        <v/>
      </c>
    </row>
    <row r="14" customFormat="false" ht="15" hidden="false" customHeight="false" outlineLevel="0" collapsed="false">
      <c r="A14" s="35" t="s">
        <v>77</v>
      </c>
      <c r="B14" s="36" t="n">
        <f aca="false">SUM(B8:B13)</f>
        <v>96000</v>
      </c>
      <c r="C14" s="36" t="n">
        <f aca="false">SUM(C8:C13)</f>
        <v>64800</v>
      </c>
      <c r="D14" s="36"/>
      <c r="E14" s="36" t="n">
        <f aca="false">SUM(E8:E13)</f>
        <v>2300</v>
      </c>
      <c r="F14" s="36" t="n">
        <f aca="false">SUM(F8:F13)</f>
        <v>0</v>
      </c>
      <c r="G14" s="36" t="n">
        <f aca="false">SUM(G8:G13)</f>
        <v>64800</v>
      </c>
      <c r="H14" s="100" t="n">
        <f aca="false">IF(B14=0,"",MAX(0,MIN(1,(B14-G14)/B14)))</f>
        <v>0.325</v>
      </c>
      <c r="I14" s="36" t="str">
        <f aca="false">IF(H14="","",REPT("█",ROUND(H14*10,0))&amp;REPT("░",10-ROUND(H14*10,0)))</f>
        <v>███░░░░░░░</v>
      </c>
      <c r="J14" s="108" t="n">
        <f aca="false">IF(COUNT(J8:J13)=0,"",MAX(J8:J13))</f>
        <v>38</v>
      </c>
      <c r="K14" s="109" t="n">
        <f aca="true">IF(ISNUMBER(J14),EDATE(TODAY(),J14),"")</f>
        <v>47457</v>
      </c>
    </row>
    <row r="16" customFormat="false" ht="15" hidden="false" customHeight="false" outlineLevel="0" collapsed="false">
      <c r="A16" s="39" t="s">
        <v>114</v>
      </c>
      <c r="B16" s="39"/>
      <c r="C16" s="39"/>
      <c r="D16" s="39"/>
      <c r="E16" s="39"/>
      <c r="F16" s="39"/>
      <c r="G16" s="39"/>
      <c r="H16" s="39"/>
    </row>
    <row r="17" customFormat="false" ht="23.85" hidden="false" customHeight="false" outlineLevel="0" collapsed="false">
      <c r="A17" s="28" t="s">
        <v>32</v>
      </c>
      <c r="B17" s="28" t="str">
        <f aca="false">A8</f>
        <v>הלוואת רכב</v>
      </c>
      <c r="C17" s="28" t="str">
        <f aca="false">A9</f>
        <v>הלוואה בנקאית</v>
      </c>
      <c r="D17" s="28" t="str">
        <f aca="false">A10</f>
        <v>כרטיס אשראי – פריסה</v>
      </c>
      <c r="E17" s="28" t="str">
        <f aca="false">A11</f>
        <v/>
      </c>
      <c r="F17" s="28" t="str">
        <f aca="false">A12</f>
        <v/>
      </c>
      <c r="G17" s="28" t="str">
        <f aca="false">A13</f>
        <v/>
      </c>
      <c r="H17" s="28" t="s">
        <v>77</v>
      </c>
    </row>
    <row r="18" customFormat="false" ht="15" hidden="false" customHeight="false" outlineLevel="0" collapsed="false">
      <c r="A18" s="101" t="s">
        <v>35</v>
      </c>
      <c r="B18" s="42" t="n">
        <f aca="false">IF(B$17="",0,SUMIFS(תנועות!$E$6:$E$2005,תנועות!$B$6:$B$2005,B$17,תנועות!$A$6:$A$2005,"&gt;="&amp;DATE(הגדרות!$C$3,1,1),תנועות!$A$6:$A$2005,"&lt;"&amp;DATE(הגדרות!$C$3,2,1)))</f>
        <v>0</v>
      </c>
      <c r="C18" s="42" t="n">
        <f aca="false">IF(C$17="",0,SUMIFS(תנועות!$E$6:$E$2005,תנועות!$B$6:$B$2005,C$17,תנועות!$A$6:$A$2005,"&gt;="&amp;DATE(הגדרות!$C$3,1,1),תנועות!$A$6:$A$2005,"&lt;"&amp;DATE(הגדרות!$C$3,2,1)))</f>
        <v>0</v>
      </c>
      <c r="D18" s="42" t="n">
        <f aca="false">IF(D$17="",0,SUMIFS(תנועות!$E$6:$E$2005,תנועות!$B$6:$B$2005,D$17,תנועות!$A$6:$A$2005,"&gt;="&amp;DATE(הגדרות!$C$3,1,1),תנועות!$A$6:$A$2005,"&lt;"&amp;DATE(הגדרות!$C$3,2,1)))</f>
        <v>0</v>
      </c>
      <c r="E18" s="42" t="n">
        <f aca="false">IF(E$17="",0,SUMIFS(תנועות!$E$6:$E$2005,תנועות!$B$6:$B$2005,E$17,תנועות!$A$6:$A$2005,"&gt;="&amp;DATE(הגדרות!$C$3,1,1),תנועות!$A$6:$A$2005,"&lt;"&amp;DATE(הגדרות!$C$3,2,1)))</f>
        <v>0</v>
      </c>
      <c r="F18" s="42" t="n">
        <f aca="false">IF(F$17="",0,SUMIFS(תנועות!$E$6:$E$2005,תנועות!$B$6:$B$2005,F$17,תנועות!$A$6:$A$2005,"&gt;="&amp;DATE(הגדרות!$C$3,1,1),תנועות!$A$6:$A$2005,"&lt;"&amp;DATE(הגדרות!$C$3,2,1)))</f>
        <v>0</v>
      </c>
      <c r="G18" s="42" t="n">
        <f aca="false">IF(G$17="",0,SUMIFS(תנועות!$E$6:$E$2005,תנועות!$B$6:$B$2005,G$17,תנועות!$A$6:$A$2005,"&gt;="&amp;DATE(הגדרות!$C$3,1,1),תנועות!$A$6:$A$2005,"&lt;"&amp;DATE(הגדרות!$C$3,2,1)))</f>
        <v>0</v>
      </c>
      <c r="H18" s="43" t="n">
        <f aca="false">SUM(B18:G18)</f>
        <v>0</v>
      </c>
    </row>
    <row r="19" customFormat="false" ht="15" hidden="false" customHeight="false" outlineLevel="0" collapsed="false">
      <c r="A19" s="101" t="s">
        <v>36</v>
      </c>
      <c r="B19" s="42" t="n">
        <f aca="false">IF(B$17="",0,SUMIFS(תנועות!$E$6:$E$2005,תנועות!$B$6:$B$2005,B$17,תנועות!$A$6:$A$2005,"&gt;="&amp;DATE(הגדרות!$C$3,2,1),תנועות!$A$6:$A$2005,"&lt;"&amp;DATE(הגדרות!$C$3,3,1)))</f>
        <v>0</v>
      </c>
      <c r="C19" s="42" t="n">
        <f aca="false">IF(C$17="",0,SUMIFS(תנועות!$E$6:$E$2005,תנועות!$B$6:$B$2005,C$17,תנועות!$A$6:$A$2005,"&gt;="&amp;DATE(הגדרות!$C$3,2,1),תנועות!$A$6:$A$2005,"&lt;"&amp;DATE(הגדרות!$C$3,3,1)))</f>
        <v>0</v>
      </c>
      <c r="D19" s="42" t="n">
        <f aca="false">IF(D$17="",0,SUMIFS(תנועות!$E$6:$E$2005,תנועות!$B$6:$B$2005,D$17,תנועות!$A$6:$A$2005,"&gt;="&amp;DATE(הגדרות!$C$3,2,1),תנועות!$A$6:$A$2005,"&lt;"&amp;DATE(הגדרות!$C$3,3,1)))</f>
        <v>0</v>
      </c>
      <c r="E19" s="42" t="n">
        <f aca="false">IF(E$17="",0,SUMIFS(תנועות!$E$6:$E$2005,תנועות!$B$6:$B$2005,E$17,תנועות!$A$6:$A$2005,"&gt;="&amp;DATE(הגדרות!$C$3,2,1),תנועות!$A$6:$A$2005,"&lt;"&amp;DATE(הגדרות!$C$3,3,1)))</f>
        <v>0</v>
      </c>
      <c r="F19" s="42" t="n">
        <f aca="false">IF(F$17="",0,SUMIFS(תנועות!$E$6:$E$2005,תנועות!$B$6:$B$2005,F$17,תנועות!$A$6:$A$2005,"&gt;="&amp;DATE(הגדרות!$C$3,2,1),תנועות!$A$6:$A$2005,"&lt;"&amp;DATE(הגדרות!$C$3,3,1)))</f>
        <v>0</v>
      </c>
      <c r="G19" s="42" t="n">
        <f aca="false">IF(G$17="",0,SUMIFS(תנועות!$E$6:$E$2005,תנועות!$B$6:$B$2005,G$17,תנועות!$A$6:$A$2005,"&gt;="&amp;DATE(הגדרות!$C$3,2,1),תנועות!$A$6:$A$2005,"&lt;"&amp;DATE(הגדרות!$C$3,3,1)))</f>
        <v>0</v>
      </c>
      <c r="H19" s="43" t="n">
        <f aca="false">SUM(B19:G19)</f>
        <v>0</v>
      </c>
    </row>
    <row r="20" customFormat="false" ht="15" hidden="false" customHeight="false" outlineLevel="0" collapsed="false">
      <c r="A20" s="101" t="s">
        <v>37</v>
      </c>
      <c r="B20" s="42" t="n">
        <f aca="false">IF(B$17="",0,SUMIFS(תנועות!$E$6:$E$2005,תנועות!$B$6:$B$2005,B$17,תנועות!$A$6:$A$2005,"&gt;="&amp;DATE(הגדרות!$C$3,3,1),תנועות!$A$6:$A$2005,"&lt;"&amp;DATE(הגדרות!$C$3,4,1)))</f>
        <v>0</v>
      </c>
      <c r="C20" s="42" t="n">
        <f aca="false">IF(C$17="",0,SUMIFS(תנועות!$E$6:$E$2005,תנועות!$B$6:$B$2005,C$17,תנועות!$A$6:$A$2005,"&gt;="&amp;DATE(הגדרות!$C$3,3,1),תנועות!$A$6:$A$2005,"&lt;"&amp;DATE(הגדרות!$C$3,4,1)))</f>
        <v>0</v>
      </c>
      <c r="D20" s="42" t="n">
        <f aca="false">IF(D$17="",0,SUMIFS(תנועות!$E$6:$E$2005,תנועות!$B$6:$B$2005,D$17,תנועות!$A$6:$A$2005,"&gt;="&amp;DATE(הגדרות!$C$3,3,1),תנועות!$A$6:$A$2005,"&lt;"&amp;DATE(הגדרות!$C$3,4,1)))</f>
        <v>0</v>
      </c>
      <c r="E20" s="42" t="n">
        <f aca="false">IF(E$17="",0,SUMIFS(תנועות!$E$6:$E$2005,תנועות!$B$6:$B$2005,E$17,תנועות!$A$6:$A$2005,"&gt;="&amp;DATE(הגדרות!$C$3,3,1),תנועות!$A$6:$A$2005,"&lt;"&amp;DATE(הגדרות!$C$3,4,1)))</f>
        <v>0</v>
      </c>
      <c r="F20" s="42" t="n">
        <f aca="false">IF(F$17="",0,SUMIFS(תנועות!$E$6:$E$2005,תנועות!$B$6:$B$2005,F$17,תנועות!$A$6:$A$2005,"&gt;="&amp;DATE(הגדרות!$C$3,3,1),תנועות!$A$6:$A$2005,"&lt;"&amp;DATE(הגדרות!$C$3,4,1)))</f>
        <v>0</v>
      </c>
      <c r="G20" s="42" t="n">
        <f aca="false">IF(G$17="",0,SUMIFS(תנועות!$E$6:$E$2005,תנועות!$B$6:$B$2005,G$17,תנועות!$A$6:$A$2005,"&gt;="&amp;DATE(הגדרות!$C$3,3,1),תנועות!$A$6:$A$2005,"&lt;"&amp;DATE(הגדרות!$C$3,4,1)))</f>
        <v>0</v>
      </c>
      <c r="H20" s="43" t="n">
        <f aca="false">SUM(B20:G20)</f>
        <v>0</v>
      </c>
    </row>
    <row r="21" customFormat="false" ht="15" hidden="false" customHeight="false" outlineLevel="0" collapsed="false">
      <c r="A21" s="101" t="s">
        <v>38</v>
      </c>
      <c r="B21" s="42" t="n">
        <f aca="false">IF(B$17="",0,SUMIFS(תנועות!$E$6:$E$2005,תנועות!$B$6:$B$2005,B$17,תנועות!$A$6:$A$2005,"&gt;="&amp;DATE(הגדרות!$C$3,4,1),תנועות!$A$6:$A$2005,"&lt;"&amp;DATE(הגדרות!$C$3,5,1)))</f>
        <v>0</v>
      </c>
      <c r="C21" s="42" t="n">
        <f aca="false">IF(C$17="",0,SUMIFS(תנועות!$E$6:$E$2005,תנועות!$B$6:$B$2005,C$17,תנועות!$A$6:$A$2005,"&gt;="&amp;DATE(הגדרות!$C$3,4,1),תנועות!$A$6:$A$2005,"&lt;"&amp;DATE(הגדרות!$C$3,5,1)))</f>
        <v>0</v>
      </c>
      <c r="D21" s="42" t="n">
        <f aca="false">IF(D$17="",0,SUMIFS(תנועות!$E$6:$E$2005,תנועות!$B$6:$B$2005,D$17,תנועות!$A$6:$A$2005,"&gt;="&amp;DATE(הגדרות!$C$3,4,1),תנועות!$A$6:$A$2005,"&lt;"&amp;DATE(הגדרות!$C$3,5,1)))</f>
        <v>0</v>
      </c>
      <c r="E21" s="42" t="n">
        <f aca="false">IF(E$17="",0,SUMIFS(תנועות!$E$6:$E$2005,תנועות!$B$6:$B$2005,E$17,תנועות!$A$6:$A$2005,"&gt;="&amp;DATE(הגדרות!$C$3,4,1),תנועות!$A$6:$A$2005,"&lt;"&amp;DATE(הגדרות!$C$3,5,1)))</f>
        <v>0</v>
      </c>
      <c r="F21" s="42" t="n">
        <f aca="false">IF(F$17="",0,SUMIFS(תנועות!$E$6:$E$2005,תנועות!$B$6:$B$2005,F$17,תנועות!$A$6:$A$2005,"&gt;="&amp;DATE(הגדרות!$C$3,4,1),תנועות!$A$6:$A$2005,"&lt;"&amp;DATE(הגדרות!$C$3,5,1)))</f>
        <v>0</v>
      </c>
      <c r="G21" s="42" t="n">
        <f aca="false">IF(G$17="",0,SUMIFS(תנועות!$E$6:$E$2005,תנועות!$B$6:$B$2005,G$17,תנועות!$A$6:$A$2005,"&gt;="&amp;DATE(הגדרות!$C$3,4,1),תנועות!$A$6:$A$2005,"&lt;"&amp;DATE(הגדרות!$C$3,5,1)))</f>
        <v>0</v>
      </c>
      <c r="H21" s="43" t="n">
        <f aca="false">SUM(B21:G21)</f>
        <v>0</v>
      </c>
    </row>
    <row r="22" customFormat="false" ht="15" hidden="false" customHeight="false" outlineLevel="0" collapsed="false">
      <c r="A22" s="101" t="s">
        <v>39</v>
      </c>
      <c r="B22" s="42" t="n">
        <f aca="false">IF(B$17="",0,SUMIFS(תנועות!$E$6:$E$2005,תנועות!$B$6:$B$2005,B$17,תנועות!$A$6:$A$2005,"&gt;="&amp;DATE(הגדרות!$C$3,5,1),תנועות!$A$6:$A$2005,"&lt;"&amp;DATE(הגדרות!$C$3,6,1)))</f>
        <v>0</v>
      </c>
      <c r="C22" s="42" t="n">
        <f aca="false">IF(C$17="",0,SUMIFS(תנועות!$E$6:$E$2005,תנועות!$B$6:$B$2005,C$17,תנועות!$A$6:$A$2005,"&gt;="&amp;DATE(הגדרות!$C$3,5,1),תנועות!$A$6:$A$2005,"&lt;"&amp;DATE(הגדרות!$C$3,6,1)))</f>
        <v>0</v>
      </c>
      <c r="D22" s="42" t="n">
        <f aca="false">IF(D$17="",0,SUMIFS(תנועות!$E$6:$E$2005,תנועות!$B$6:$B$2005,D$17,תנועות!$A$6:$A$2005,"&gt;="&amp;DATE(הגדרות!$C$3,5,1),תנועות!$A$6:$A$2005,"&lt;"&amp;DATE(הגדרות!$C$3,6,1)))</f>
        <v>0</v>
      </c>
      <c r="E22" s="42" t="n">
        <f aca="false">IF(E$17="",0,SUMIFS(תנועות!$E$6:$E$2005,תנועות!$B$6:$B$2005,E$17,תנועות!$A$6:$A$2005,"&gt;="&amp;DATE(הגדרות!$C$3,5,1),תנועות!$A$6:$A$2005,"&lt;"&amp;DATE(הגדרות!$C$3,6,1)))</f>
        <v>0</v>
      </c>
      <c r="F22" s="42" t="n">
        <f aca="false">IF(F$17="",0,SUMIFS(תנועות!$E$6:$E$2005,תנועות!$B$6:$B$2005,F$17,תנועות!$A$6:$A$2005,"&gt;="&amp;DATE(הגדרות!$C$3,5,1),תנועות!$A$6:$A$2005,"&lt;"&amp;DATE(הגדרות!$C$3,6,1)))</f>
        <v>0</v>
      </c>
      <c r="G22" s="42" t="n">
        <f aca="false">IF(G$17="",0,SUMIFS(תנועות!$E$6:$E$2005,תנועות!$B$6:$B$2005,G$17,תנועות!$A$6:$A$2005,"&gt;="&amp;DATE(הגדרות!$C$3,5,1),תנועות!$A$6:$A$2005,"&lt;"&amp;DATE(הגדרות!$C$3,6,1)))</f>
        <v>0</v>
      </c>
      <c r="H22" s="43" t="n">
        <f aca="false">SUM(B22:G22)</f>
        <v>0</v>
      </c>
    </row>
    <row r="23" customFormat="false" ht="15" hidden="false" customHeight="false" outlineLevel="0" collapsed="false">
      <c r="A23" s="101" t="s">
        <v>40</v>
      </c>
      <c r="B23" s="42" t="n">
        <f aca="false">IF(B$17="",0,SUMIFS(תנועות!$E$6:$E$2005,תנועות!$B$6:$B$2005,B$17,תנועות!$A$6:$A$2005,"&gt;="&amp;DATE(הגדרות!$C$3,6,1),תנועות!$A$6:$A$2005,"&lt;"&amp;DATE(הגדרות!$C$3,7,1)))</f>
        <v>0</v>
      </c>
      <c r="C23" s="42" t="n">
        <f aca="false">IF(C$17="",0,SUMIFS(תנועות!$E$6:$E$2005,תנועות!$B$6:$B$2005,C$17,תנועות!$A$6:$A$2005,"&gt;="&amp;DATE(הגדרות!$C$3,6,1),תנועות!$A$6:$A$2005,"&lt;"&amp;DATE(הגדרות!$C$3,7,1)))</f>
        <v>0</v>
      </c>
      <c r="D23" s="42" t="n">
        <f aca="false">IF(D$17="",0,SUMIFS(תנועות!$E$6:$E$2005,תנועות!$B$6:$B$2005,D$17,תנועות!$A$6:$A$2005,"&gt;="&amp;DATE(הגדרות!$C$3,6,1),תנועות!$A$6:$A$2005,"&lt;"&amp;DATE(הגדרות!$C$3,7,1)))</f>
        <v>0</v>
      </c>
      <c r="E23" s="42" t="n">
        <f aca="false">IF(E$17="",0,SUMIFS(תנועות!$E$6:$E$2005,תנועות!$B$6:$B$2005,E$17,תנועות!$A$6:$A$2005,"&gt;="&amp;DATE(הגדרות!$C$3,6,1),תנועות!$A$6:$A$2005,"&lt;"&amp;DATE(הגדרות!$C$3,7,1)))</f>
        <v>0</v>
      </c>
      <c r="F23" s="42" t="n">
        <f aca="false">IF(F$17="",0,SUMIFS(תנועות!$E$6:$E$2005,תנועות!$B$6:$B$2005,F$17,תנועות!$A$6:$A$2005,"&gt;="&amp;DATE(הגדרות!$C$3,6,1),תנועות!$A$6:$A$2005,"&lt;"&amp;DATE(הגדרות!$C$3,7,1)))</f>
        <v>0</v>
      </c>
      <c r="G23" s="42" t="n">
        <f aca="false">IF(G$17="",0,SUMIFS(תנועות!$E$6:$E$2005,תנועות!$B$6:$B$2005,G$17,תנועות!$A$6:$A$2005,"&gt;="&amp;DATE(הגדרות!$C$3,6,1),תנועות!$A$6:$A$2005,"&lt;"&amp;DATE(הגדרות!$C$3,7,1)))</f>
        <v>0</v>
      </c>
      <c r="H23" s="43" t="n">
        <f aca="false">SUM(B23:G23)</f>
        <v>0</v>
      </c>
    </row>
    <row r="24" customFormat="false" ht="15" hidden="false" customHeight="false" outlineLevel="0" collapsed="false">
      <c r="A24" s="101" t="s">
        <v>41</v>
      </c>
      <c r="B24" s="42" t="n">
        <f aca="false">IF(B$17="",0,SUMIFS(תנועות!$E$6:$E$2005,תנועות!$B$6:$B$2005,B$17,תנועות!$A$6:$A$2005,"&gt;="&amp;DATE(הגדרות!$C$3,7,1),תנועות!$A$6:$A$2005,"&lt;"&amp;DATE(הגדרות!$C$3,8,1)))</f>
        <v>0</v>
      </c>
      <c r="C24" s="42" t="n">
        <f aca="false">IF(C$17="",0,SUMIFS(תנועות!$E$6:$E$2005,תנועות!$B$6:$B$2005,C$17,תנועות!$A$6:$A$2005,"&gt;="&amp;DATE(הגדרות!$C$3,7,1),תנועות!$A$6:$A$2005,"&lt;"&amp;DATE(הגדרות!$C$3,8,1)))</f>
        <v>0</v>
      </c>
      <c r="D24" s="42" t="n">
        <f aca="false">IF(D$17="",0,SUMIFS(תנועות!$E$6:$E$2005,תנועות!$B$6:$B$2005,D$17,תנועות!$A$6:$A$2005,"&gt;="&amp;DATE(הגדרות!$C$3,7,1),תנועות!$A$6:$A$2005,"&lt;"&amp;DATE(הגדרות!$C$3,8,1)))</f>
        <v>0</v>
      </c>
      <c r="E24" s="42" t="n">
        <f aca="false">IF(E$17="",0,SUMIFS(תנועות!$E$6:$E$2005,תנועות!$B$6:$B$2005,E$17,תנועות!$A$6:$A$2005,"&gt;="&amp;DATE(הגדרות!$C$3,7,1),תנועות!$A$6:$A$2005,"&lt;"&amp;DATE(הגדרות!$C$3,8,1)))</f>
        <v>0</v>
      </c>
      <c r="F24" s="42" t="n">
        <f aca="false">IF(F$17="",0,SUMIFS(תנועות!$E$6:$E$2005,תנועות!$B$6:$B$2005,F$17,תנועות!$A$6:$A$2005,"&gt;="&amp;DATE(הגדרות!$C$3,7,1),תנועות!$A$6:$A$2005,"&lt;"&amp;DATE(הגדרות!$C$3,8,1)))</f>
        <v>0</v>
      </c>
      <c r="G24" s="42" t="n">
        <f aca="false">IF(G$17="",0,SUMIFS(תנועות!$E$6:$E$2005,תנועות!$B$6:$B$2005,G$17,תנועות!$A$6:$A$2005,"&gt;="&amp;DATE(הגדרות!$C$3,7,1),תנועות!$A$6:$A$2005,"&lt;"&amp;DATE(הגדרות!$C$3,8,1)))</f>
        <v>0</v>
      </c>
      <c r="H24" s="43" t="n">
        <f aca="false">SUM(B24:G24)</f>
        <v>0</v>
      </c>
    </row>
    <row r="25" customFormat="false" ht="15" hidden="false" customHeight="false" outlineLevel="0" collapsed="false">
      <c r="A25" s="101" t="s">
        <v>42</v>
      </c>
      <c r="B25" s="42" t="n">
        <f aca="false">IF(B$17="",0,SUMIFS(תנועות!$E$6:$E$2005,תנועות!$B$6:$B$2005,B$17,תנועות!$A$6:$A$2005,"&gt;="&amp;DATE(הגדרות!$C$3,8,1),תנועות!$A$6:$A$2005,"&lt;"&amp;DATE(הגדרות!$C$3,9,1)))</f>
        <v>0</v>
      </c>
      <c r="C25" s="42" t="n">
        <f aca="false">IF(C$17="",0,SUMIFS(תנועות!$E$6:$E$2005,תנועות!$B$6:$B$2005,C$17,תנועות!$A$6:$A$2005,"&gt;="&amp;DATE(הגדרות!$C$3,8,1),תנועות!$A$6:$A$2005,"&lt;"&amp;DATE(הגדרות!$C$3,9,1)))</f>
        <v>0</v>
      </c>
      <c r="D25" s="42" t="n">
        <f aca="false">IF(D$17="",0,SUMIFS(תנועות!$E$6:$E$2005,תנועות!$B$6:$B$2005,D$17,תנועות!$A$6:$A$2005,"&gt;="&amp;DATE(הגדרות!$C$3,8,1),תנועות!$A$6:$A$2005,"&lt;"&amp;DATE(הגדרות!$C$3,9,1)))</f>
        <v>0</v>
      </c>
      <c r="E25" s="42" t="n">
        <f aca="false">IF(E$17="",0,SUMIFS(תנועות!$E$6:$E$2005,תנועות!$B$6:$B$2005,E$17,תנועות!$A$6:$A$2005,"&gt;="&amp;DATE(הגדרות!$C$3,8,1),תנועות!$A$6:$A$2005,"&lt;"&amp;DATE(הגדרות!$C$3,9,1)))</f>
        <v>0</v>
      </c>
      <c r="F25" s="42" t="n">
        <f aca="false">IF(F$17="",0,SUMIFS(תנועות!$E$6:$E$2005,תנועות!$B$6:$B$2005,F$17,תנועות!$A$6:$A$2005,"&gt;="&amp;DATE(הגדרות!$C$3,8,1),תנועות!$A$6:$A$2005,"&lt;"&amp;DATE(הגדרות!$C$3,9,1)))</f>
        <v>0</v>
      </c>
      <c r="G25" s="42" t="n">
        <f aca="false">IF(G$17="",0,SUMIFS(תנועות!$E$6:$E$2005,תנועות!$B$6:$B$2005,G$17,תנועות!$A$6:$A$2005,"&gt;="&amp;DATE(הגדרות!$C$3,8,1),תנועות!$A$6:$A$2005,"&lt;"&amp;DATE(הגדרות!$C$3,9,1)))</f>
        <v>0</v>
      </c>
      <c r="H25" s="43" t="n">
        <f aca="false">SUM(B25:G25)</f>
        <v>0</v>
      </c>
    </row>
    <row r="26" customFormat="false" ht="15" hidden="false" customHeight="false" outlineLevel="0" collapsed="false">
      <c r="A26" s="101" t="s">
        <v>43</v>
      </c>
      <c r="B26" s="42" t="n">
        <f aca="false">IF(B$17="",0,SUMIFS(תנועות!$E$6:$E$2005,תנועות!$B$6:$B$2005,B$17,תנועות!$A$6:$A$2005,"&gt;="&amp;DATE(הגדרות!$C$3,9,1),תנועות!$A$6:$A$2005,"&lt;"&amp;DATE(הגדרות!$C$3,10,1)))</f>
        <v>0</v>
      </c>
      <c r="C26" s="42" t="n">
        <f aca="false">IF(C$17="",0,SUMIFS(תנועות!$E$6:$E$2005,תנועות!$B$6:$B$2005,C$17,תנועות!$A$6:$A$2005,"&gt;="&amp;DATE(הגדרות!$C$3,9,1),תנועות!$A$6:$A$2005,"&lt;"&amp;DATE(הגדרות!$C$3,10,1)))</f>
        <v>0</v>
      </c>
      <c r="D26" s="42" t="n">
        <f aca="false">IF(D$17="",0,SUMIFS(תנועות!$E$6:$E$2005,תנועות!$B$6:$B$2005,D$17,תנועות!$A$6:$A$2005,"&gt;="&amp;DATE(הגדרות!$C$3,9,1),תנועות!$A$6:$A$2005,"&lt;"&amp;DATE(הגדרות!$C$3,10,1)))</f>
        <v>0</v>
      </c>
      <c r="E26" s="42" t="n">
        <f aca="false">IF(E$17="",0,SUMIFS(תנועות!$E$6:$E$2005,תנועות!$B$6:$B$2005,E$17,תנועות!$A$6:$A$2005,"&gt;="&amp;DATE(הגדרות!$C$3,9,1),תנועות!$A$6:$A$2005,"&lt;"&amp;DATE(הגדרות!$C$3,10,1)))</f>
        <v>0</v>
      </c>
      <c r="F26" s="42" t="n">
        <f aca="false">IF(F$17="",0,SUMIFS(תנועות!$E$6:$E$2005,תנועות!$B$6:$B$2005,F$17,תנועות!$A$6:$A$2005,"&gt;="&amp;DATE(הגדרות!$C$3,9,1),תנועות!$A$6:$A$2005,"&lt;"&amp;DATE(הגדרות!$C$3,10,1)))</f>
        <v>0</v>
      </c>
      <c r="G26" s="42" t="n">
        <f aca="false">IF(G$17="",0,SUMIFS(תנועות!$E$6:$E$2005,תנועות!$B$6:$B$2005,G$17,תנועות!$A$6:$A$2005,"&gt;="&amp;DATE(הגדרות!$C$3,9,1),תנועות!$A$6:$A$2005,"&lt;"&amp;DATE(הגדרות!$C$3,10,1)))</f>
        <v>0</v>
      </c>
      <c r="H26" s="43" t="n">
        <f aca="false">SUM(B26:G26)</f>
        <v>0</v>
      </c>
    </row>
    <row r="27" customFormat="false" ht="15" hidden="false" customHeight="false" outlineLevel="0" collapsed="false">
      <c r="A27" s="101" t="s">
        <v>44</v>
      </c>
      <c r="B27" s="42" t="n">
        <f aca="false">IF(B$17="",0,SUMIFS(תנועות!$E$6:$E$2005,תנועות!$B$6:$B$2005,B$17,תנועות!$A$6:$A$2005,"&gt;="&amp;DATE(הגדרות!$C$3,10,1),תנועות!$A$6:$A$2005,"&lt;"&amp;DATE(הגדרות!$C$3,11,1)))</f>
        <v>0</v>
      </c>
      <c r="C27" s="42" t="n">
        <f aca="false">IF(C$17="",0,SUMIFS(תנועות!$E$6:$E$2005,תנועות!$B$6:$B$2005,C$17,תנועות!$A$6:$A$2005,"&gt;="&amp;DATE(הגדרות!$C$3,10,1),תנועות!$A$6:$A$2005,"&lt;"&amp;DATE(הגדרות!$C$3,11,1)))</f>
        <v>0</v>
      </c>
      <c r="D27" s="42" t="n">
        <f aca="false">IF(D$17="",0,SUMIFS(תנועות!$E$6:$E$2005,תנועות!$B$6:$B$2005,D$17,תנועות!$A$6:$A$2005,"&gt;="&amp;DATE(הגדרות!$C$3,10,1),תנועות!$A$6:$A$2005,"&lt;"&amp;DATE(הגדרות!$C$3,11,1)))</f>
        <v>0</v>
      </c>
      <c r="E27" s="42" t="n">
        <f aca="false">IF(E$17="",0,SUMIFS(תנועות!$E$6:$E$2005,תנועות!$B$6:$B$2005,E$17,תנועות!$A$6:$A$2005,"&gt;="&amp;DATE(הגדרות!$C$3,10,1),תנועות!$A$6:$A$2005,"&lt;"&amp;DATE(הגדרות!$C$3,11,1)))</f>
        <v>0</v>
      </c>
      <c r="F27" s="42" t="n">
        <f aca="false">IF(F$17="",0,SUMIFS(תנועות!$E$6:$E$2005,תנועות!$B$6:$B$2005,F$17,תנועות!$A$6:$A$2005,"&gt;="&amp;DATE(הגדרות!$C$3,10,1),תנועות!$A$6:$A$2005,"&lt;"&amp;DATE(הגדרות!$C$3,11,1)))</f>
        <v>0</v>
      </c>
      <c r="G27" s="42" t="n">
        <f aca="false">IF(G$17="",0,SUMIFS(תנועות!$E$6:$E$2005,תנועות!$B$6:$B$2005,G$17,תנועות!$A$6:$A$2005,"&gt;="&amp;DATE(הגדרות!$C$3,10,1),תנועות!$A$6:$A$2005,"&lt;"&amp;DATE(הגדרות!$C$3,11,1)))</f>
        <v>0</v>
      </c>
      <c r="H27" s="43" t="n">
        <f aca="false">SUM(B27:G27)</f>
        <v>0</v>
      </c>
    </row>
    <row r="28" customFormat="false" ht="15" hidden="false" customHeight="false" outlineLevel="0" collapsed="false">
      <c r="A28" s="101" t="s">
        <v>45</v>
      </c>
      <c r="B28" s="42" t="n">
        <f aca="false">IF(B$17="",0,SUMIFS(תנועות!$E$6:$E$2005,תנועות!$B$6:$B$2005,B$17,תנועות!$A$6:$A$2005,"&gt;="&amp;DATE(הגדרות!$C$3,11,1),תנועות!$A$6:$A$2005,"&lt;"&amp;DATE(הגדרות!$C$3,12,1)))</f>
        <v>0</v>
      </c>
      <c r="C28" s="42" t="n">
        <f aca="false">IF(C$17="",0,SUMIFS(תנועות!$E$6:$E$2005,תנועות!$B$6:$B$2005,C$17,תנועות!$A$6:$A$2005,"&gt;="&amp;DATE(הגדרות!$C$3,11,1),תנועות!$A$6:$A$2005,"&lt;"&amp;DATE(הגדרות!$C$3,12,1)))</f>
        <v>0</v>
      </c>
      <c r="D28" s="42" t="n">
        <f aca="false">IF(D$17="",0,SUMIFS(תנועות!$E$6:$E$2005,תנועות!$B$6:$B$2005,D$17,תנועות!$A$6:$A$2005,"&gt;="&amp;DATE(הגדרות!$C$3,11,1),תנועות!$A$6:$A$2005,"&lt;"&amp;DATE(הגדרות!$C$3,12,1)))</f>
        <v>0</v>
      </c>
      <c r="E28" s="42" t="n">
        <f aca="false">IF(E$17="",0,SUMIFS(תנועות!$E$6:$E$2005,תנועות!$B$6:$B$2005,E$17,תנועות!$A$6:$A$2005,"&gt;="&amp;DATE(הגדרות!$C$3,11,1),תנועות!$A$6:$A$2005,"&lt;"&amp;DATE(הגדרות!$C$3,12,1)))</f>
        <v>0</v>
      </c>
      <c r="F28" s="42" t="n">
        <f aca="false">IF(F$17="",0,SUMIFS(תנועות!$E$6:$E$2005,תנועות!$B$6:$B$2005,F$17,תנועות!$A$6:$A$2005,"&gt;="&amp;DATE(הגדרות!$C$3,11,1),תנועות!$A$6:$A$2005,"&lt;"&amp;DATE(הגדרות!$C$3,12,1)))</f>
        <v>0</v>
      </c>
      <c r="G28" s="42" t="n">
        <f aca="false">IF(G$17="",0,SUMIFS(תנועות!$E$6:$E$2005,תנועות!$B$6:$B$2005,G$17,תנועות!$A$6:$A$2005,"&gt;="&amp;DATE(הגדרות!$C$3,11,1),תנועות!$A$6:$A$2005,"&lt;"&amp;DATE(הגדרות!$C$3,12,1)))</f>
        <v>0</v>
      </c>
      <c r="H28" s="43" t="n">
        <f aca="false">SUM(B28:G28)</f>
        <v>0</v>
      </c>
    </row>
    <row r="29" customFormat="false" ht="15" hidden="false" customHeight="false" outlineLevel="0" collapsed="false">
      <c r="A29" s="101" t="s">
        <v>46</v>
      </c>
      <c r="B29" s="42" t="n">
        <f aca="false">IF(B$17="",0,SUMIFS(תנועות!$E$6:$E$2005,תנועות!$B$6:$B$2005,B$17,תנועות!$A$6:$A$2005,"&gt;="&amp;DATE(הגדרות!$C$3,12,1),תנועות!$A$6:$A$2005,"&lt;"&amp;DATE(הגדרות!$C$3,13,1)))</f>
        <v>0</v>
      </c>
      <c r="C29" s="42" t="n">
        <f aca="false">IF(C$17="",0,SUMIFS(תנועות!$E$6:$E$2005,תנועות!$B$6:$B$2005,C$17,תנועות!$A$6:$A$2005,"&gt;="&amp;DATE(הגדרות!$C$3,12,1),תנועות!$A$6:$A$2005,"&lt;"&amp;DATE(הגדרות!$C$3,13,1)))</f>
        <v>0</v>
      </c>
      <c r="D29" s="42" t="n">
        <f aca="false">IF(D$17="",0,SUMIFS(תנועות!$E$6:$E$2005,תנועות!$B$6:$B$2005,D$17,תנועות!$A$6:$A$2005,"&gt;="&amp;DATE(הגדרות!$C$3,12,1),תנועות!$A$6:$A$2005,"&lt;"&amp;DATE(הגדרות!$C$3,13,1)))</f>
        <v>0</v>
      </c>
      <c r="E29" s="42" t="n">
        <f aca="false">IF(E$17="",0,SUMIFS(תנועות!$E$6:$E$2005,תנועות!$B$6:$B$2005,E$17,תנועות!$A$6:$A$2005,"&gt;="&amp;DATE(הגדרות!$C$3,12,1),תנועות!$A$6:$A$2005,"&lt;"&amp;DATE(הגדרות!$C$3,13,1)))</f>
        <v>0</v>
      </c>
      <c r="F29" s="42" t="n">
        <f aca="false">IF(F$17="",0,SUMIFS(תנועות!$E$6:$E$2005,תנועות!$B$6:$B$2005,F$17,תנועות!$A$6:$A$2005,"&gt;="&amp;DATE(הגדרות!$C$3,12,1),תנועות!$A$6:$A$2005,"&lt;"&amp;DATE(הגדרות!$C$3,13,1)))</f>
        <v>0</v>
      </c>
      <c r="G29" s="42" t="n">
        <f aca="false">IF(G$17="",0,SUMIFS(תנועות!$E$6:$E$2005,תנועות!$B$6:$B$2005,G$17,תנועות!$A$6:$A$2005,"&gt;="&amp;DATE(הגדרות!$C$3,12,1),תנועות!$A$6:$A$2005,"&lt;"&amp;DATE(הגדרות!$C$3,13,1)))</f>
        <v>0</v>
      </c>
      <c r="H29" s="43" t="n">
        <f aca="false">SUM(B29:G29)</f>
        <v>0</v>
      </c>
    </row>
    <row r="31" customFormat="false" ht="15" hidden="false" customHeight="true" outlineLevel="0" collapsed="false">
      <c r="A31" s="70" t="s">
        <v>115</v>
      </c>
      <c r="B31" s="70"/>
      <c r="C31" s="70"/>
      <c r="D31" s="70"/>
      <c r="E31" s="70"/>
      <c r="F31" s="70"/>
      <c r="G31" s="70"/>
      <c r="H31" s="70"/>
      <c r="I31" s="70"/>
      <c r="J31" s="70"/>
      <c r="K31" s="70"/>
    </row>
    <row r="32" customFormat="false" ht="15" hidden="false" customHeight="false" outlineLevel="0" collapsed="false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</row>
    <row r="33" customFormat="false" ht="15" hidden="false" customHeight="false" outlineLevel="0" collapsed="false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</row>
  </sheetData>
  <mergeCells count="12">
    <mergeCell ref="A1:K1"/>
    <mergeCell ref="A2:K2"/>
    <mergeCell ref="A4:B4"/>
    <mergeCell ref="C4:E4"/>
    <mergeCell ref="F4:H4"/>
    <mergeCell ref="I4:K4"/>
    <mergeCell ref="A5:B5"/>
    <mergeCell ref="C5:E5"/>
    <mergeCell ref="F5:H5"/>
    <mergeCell ref="I5:K5"/>
    <mergeCell ref="A16:H16"/>
    <mergeCell ref="A31:K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true"/>
  </sheetPr>
  <dimension ref="A1:I5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3"/>
    <col collapsed="false" customWidth="true" hidden="false" outlineLevel="0" max="9" min="8" style="0" width="14"/>
  </cols>
  <sheetData>
    <row r="1" customFormat="false" ht="39.75" hidden="false" customHeight="true" outlineLevel="0" collapsed="false">
      <c r="A1" s="1" t="s">
        <v>116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110" t="s">
        <v>117</v>
      </c>
      <c r="C3" s="111" t="n">
        <v>2026</v>
      </c>
      <c r="D3" s="112" t="s">
        <v>118</v>
      </c>
    </row>
    <row r="5" customFormat="false" ht="30" hidden="false" customHeight="true" outlineLevel="0" collapsed="false">
      <c r="A5" s="113" t="s">
        <v>119</v>
      </c>
      <c r="B5" s="113"/>
      <c r="C5" s="113"/>
      <c r="D5" s="113"/>
      <c r="E5" s="113"/>
      <c r="F5" s="113"/>
    </row>
    <row r="7" customFormat="false" ht="15" hidden="false" customHeight="false" outlineLevel="0" collapsed="false">
      <c r="A7" s="23" t="s">
        <v>52</v>
      </c>
      <c r="B7" s="23" t="s">
        <v>51</v>
      </c>
      <c r="C7" s="23" t="s">
        <v>120</v>
      </c>
      <c r="D7" s="23" t="s">
        <v>121</v>
      </c>
      <c r="E7" s="23" t="s">
        <v>122</v>
      </c>
      <c r="F7" s="23" t="s">
        <v>123</v>
      </c>
      <c r="H7" s="40" t="s">
        <v>121</v>
      </c>
      <c r="I7" s="40" t="s">
        <v>124</v>
      </c>
    </row>
    <row r="8" customFormat="false" ht="15" hidden="false" customHeight="false" outlineLevel="0" collapsed="false">
      <c r="A8" s="114" t="s">
        <v>16</v>
      </c>
      <c r="B8" s="115" t="s">
        <v>125</v>
      </c>
      <c r="C8" s="95" t="n">
        <v>14000</v>
      </c>
      <c r="D8" s="116" t="s">
        <v>126</v>
      </c>
      <c r="E8" s="34" t="n">
        <f aca="false">IF(OR(B8="",C8=""),0,C8*IFERROR(INDEX($I$8:$I$12,MATCH(D8,$H$8:$H$12,0)),1))</f>
        <v>14000</v>
      </c>
      <c r="F8" s="117"/>
      <c r="H8" s="63" t="s">
        <v>126</v>
      </c>
      <c r="I8" s="118" t="n">
        <f aca="false">1</f>
        <v>1</v>
      </c>
    </row>
    <row r="9" customFormat="false" ht="15" hidden="false" customHeight="false" outlineLevel="0" collapsed="false">
      <c r="A9" s="119" t="s">
        <v>16</v>
      </c>
      <c r="B9" s="115" t="s">
        <v>127</v>
      </c>
      <c r="C9" s="95" t="n">
        <v>9500</v>
      </c>
      <c r="D9" s="116" t="s">
        <v>126</v>
      </c>
      <c r="E9" s="34" t="n">
        <f aca="false">IF(OR(B9="",C9=""),0,C9*IFERROR(INDEX($I$8:$I$12,MATCH(D9,$H$8:$H$12,0)),1))</f>
        <v>9500</v>
      </c>
      <c r="F9" s="117"/>
      <c r="H9" s="63" t="s">
        <v>128</v>
      </c>
      <c r="I9" s="118" t="n">
        <f aca="false">26/12</f>
        <v>2.16666666666667</v>
      </c>
    </row>
    <row r="10" customFormat="false" ht="15" hidden="false" customHeight="false" outlineLevel="0" collapsed="false">
      <c r="A10" s="119" t="s">
        <v>16</v>
      </c>
      <c r="B10" s="115" t="s">
        <v>129</v>
      </c>
      <c r="C10" s="95" t="n">
        <v>1500</v>
      </c>
      <c r="D10" s="116" t="s">
        <v>126</v>
      </c>
      <c r="E10" s="34" t="n">
        <f aca="false">IF(OR(B10="",C10=""),0,C10*IFERROR(INDEX($I$8:$I$12,MATCH(D10,$H$8:$H$12,0)),1))</f>
        <v>1500</v>
      </c>
      <c r="F10" s="117"/>
      <c r="H10" s="63" t="s">
        <v>130</v>
      </c>
      <c r="I10" s="118" t="n">
        <f aca="false">52/12</f>
        <v>4.33333333333333</v>
      </c>
    </row>
    <row r="11" customFormat="false" ht="15" hidden="false" customHeight="false" outlineLevel="0" collapsed="false">
      <c r="A11" s="119" t="s">
        <v>16</v>
      </c>
      <c r="B11" s="115" t="s">
        <v>131</v>
      </c>
      <c r="C11" s="95" t="n">
        <v>320</v>
      </c>
      <c r="D11" s="116" t="s">
        <v>126</v>
      </c>
      <c r="E11" s="34" t="n">
        <f aca="false">IF(OR(B11="",C11=""),0,C11*IFERROR(INDEX($I$8:$I$12,MATCH(D11,$H$8:$H$12,0)),1))</f>
        <v>320</v>
      </c>
      <c r="F11" s="117"/>
      <c r="H11" s="63" t="s">
        <v>132</v>
      </c>
      <c r="I11" s="118" t="n">
        <f aca="false">1/2</f>
        <v>0.5</v>
      </c>
    </row>
    <row r="12" customFormat="false" ht="15" hidden="false" customHeight="false" outlineLevel="0" collapsed="false">
      <c r="A12" s="119" t="s">
        <v>16</v>
      </c>
      <c r="B12" s="115" t="s">
        <v>133</v>
      </c>
      <c r="C12" s="95" t="n">
        <v>0</v>
      </c>
      <c r="D12" s="116" t="s">
        <v>126</v>
      </c>
      <c r="E12" s="34" t="n">
        <f aca="false">IF(OR(B12="",C12=""),0,C12*IFERROR(INDEX($I$8:$I$12,MATCH(D12,$H$8:$H$12,0)),1))</f>
        <v>0</v>
      </c>
      <c r="F12" s="117"/>
      <c r="H12" s="63" t="s">
        <v>134</v>
      </c>
      <c r="I12" s="118" t="n">
        <f aca="false">1/12</f>
        <v>0.0833333333333333</v>
      </c>
    </row>
    <row r="13" customFormat="false" ht="15" hidden="false" customHeight="false" outlineLevel="0" collapsed="false">
      <c r="A13" s="119" t="s">
        <v>16</v>
      </c>
      <c r="B13" s="115"/>
      <c r="C13" s="95"/>
      <c r="D13" s="116" t="s">
        <v>126</v>
      </c>
      <c r="E13" s="34" t="n">
        <f aca="false">IF(OR(B13="",C13=""),0,C13*IFERROR(INDEX($I$8:$I$12,MATCH(D13,$H$8:$H$12,0)),1))</f>
        <v>0</v>
      </c>
      <c r="F13" s="117"/>
    </row>
    <row r="14" customFormat="false" ht="15" hidden="false" customHeight="false" outlineLevel="0" collapsed="false">
      <c r="A14" s="119" t="s">
        <v>16</v>
      </c>
      <c r="B14" s="115"/>
      <c r="C14" s="95"/>
      <c r="D14" s="116" t="s">
        <v>126</v>
      </c>
      <c r="E14" s="34" t="n">
        <f aca="false">IF(OR(B14="",C14=""),0,C14*IFERROR(INDEX($I$8:$I$12,MATCH(D14,$H$8:$H$12,0)),1))</f>
        <v>0</v>
      </c>
      <c r="F14" s="117"/>
    </row>
    <row r="15" customFormat="false" ht="15" hidden="false" customHeight="false" outlineLevel="0" collapsed="false">
      <c r="A15" s="119" t="s">
        <v>16</v>
      </c>
      <c r="B15" s="115"/>
      <c r="C15" s="95"/>
      <c r="D15" s="116" t="s">
        <v>126</v>
      </c>
      <c r="E15" s="34" t="n">
        <f aca="false">IF(OR(B15="",C15=""),0,C15*IFERROR(INDEX($I$8:$I$12,MATCH(D15,$H$8:$H$12,0)),1))</f>
        <v>0</v>
      </c>
      <c r="F15" s="117"/>
      <c r="H15" s="40" t="s">
        <v>32</v>
      </c>
      <c r="I15" s="40" t="s">
        <v>135</v>
      </c>
    </row>
    <row r="16" customFormat="false" ht="15" hidden="false" customHeight="false" outlineLevel="0" collapsed="false">
      <c r="A16" s="120" t="s">
        <v>17</v>
      </c>
      <c r="B16" s="115" t="s">
        <v>136</v>
      </c>
      <c r="C16" s="95" t="n">
        <v>1500</v>
      </c>
      <c r="D16" s="116" t="s">
        <v>126</v>
      </c>
      <c r="E16" s="34" t="n">
        <f aca="false">IF(OR(B16="",C16=""),0,C16*IFERROR(INDEX($I$8:$I$12,MATCH(D16,$H$8:$H$12,0)),1))</f>
        <v>1500</v>
      </c>
      <c r="F16" s="117"/>
      <c r="H16" s="63" t="s">
        <v>35</v>
      </c>
      <c r="I16" s="63" t="n">
        <v>1</v>
      </c>
    </row>
    <row r="17" customFormat="false" ht="15" hidden="false" customHeight="false" outlineLevel="0" collapsed="false">
      <c r="A17" s="121" t="s">
        <v>17</v>
      </c>
      <c r="B17" s="115" t="s">
        <v>137</v>
      </c>
      <c r="C17" s="95" t="n">
        <v>600</v>
      </c>
      <c r="D17" s="116" t="s">
        <v>126</v>
      </c>
      <c r="E17" s="34" t="n">
        <f aca="false">IF(OR(B17="",C17=""),0,C17*IFERROR(INDEX($I$8:$I$12,MATCH(D17,$H$8:$H$12,0)),1))</f>
        <v>600</v>
      </c>
      <c r="F17" s="117"/>
      <c r="H17" s="63" t="s">
        <v>36</v>
      </c>
      <c r="I17" s="63" t="n">
        <v>2</v>
      </c>
    </row>
    <row r="18" customFormat="false" ht="15" hidden="false" customHeight="false" outlineLevel="0" collapsed="false">
      <c r="A18" s="121" t="s">
        <v>17</v>
      </c>
      <c r="B18" s="115" t="s">
        <v>138</v>
      </c>
      <c r="C18" s="95" t="n">
        <v>800</v>
      </c>
      <c r="D18" s="116" t="s">
        <v>126</v>
      </c>
      <c r="E18" s="34" t="n">
        <f aca="false">IF(OR(B18="",C18=""),0,C18*IFERROR(INDEX($I$8:$I$12,MATCH(D18,$H$8:$H$12,0)),1))</f>
        <v>800</v>
      </c>
      <c r="F18" s="117"/>
      <c r="H18" s="63" t="s">
        <v>37</v>
      </c>
      <c r="I18" s="63" t="n">
        <v>3</v>
      </c>
    </row>
    <row r="19" customFormat="false" ht="15" hidden="false" customHeight="false" outlineLevel="0" collapsed="false">
      <c r="A19" s="121" t="s">
        <v>17</v>
      </c>
      <c r="B19" s="115" t="s">
        <v>139</v>
      </c>
      <c r="C19" s="95" t="n">
        <v>1500</v>
      </c>
      <c r="D19" s="116" t="s">
        <v>126</v>
      </c>
      <c r="E19" s="34" t="n">
        <f aca="false">IF(OR(B19="",C19=""),0,C19*IFERROR(INDEX($I$8:$I$12,MATCH(D19,$H$8:$H$12,0)),1))</f>
        <v>1500</v>
      </c>
      <c r="F19" s="117"/>
      <c r="H19" s="63" t="s">
        <v>38</v>
      </c>
      <c r="I19" s="63" t="n">
        <v>4</v>
      </c>
    </row>
    <row r="20" customFormat="false" ht="15" hidden="false" customHeight="false" outlineLevel="0" collapsed="false">
      <c r="A20" s="121" t="s">
        <v>17</v>
      </c>
      <c r="B20" s="115" t="s">
        <v>140</v>
      </c>
      <c r="C20" s="95" t="n">
        <v>1000</v>
      </c>
      <c r="D20" s="116" t="s">
        <v>126</v>
      </c>
      <c r="E20" s="34" t="n">
        <f aca="false">IF(OR(B20="",C20=""),0,C20*IFERROR(INDEX($I$8:$I$12,MATCH(D20,$H$8:$H$12,0)),1))</f>
        <v>1000</v>
      </c>
      <c r="F20" s="117"/>
      <c r="H20" s="63" t="s">
        <v>39</v>
      </c>
      <c r="I20" s="63" t="n">
        <v>5</v>
      </c>
    </row>
    <row r="21" customFormat="false" ht="15" hidden="false" customHeight="false" outlineLevel="0" collapsed="false">
      <c r="A21" s="122" t="s">
        <v>18</v>
      </c>
      <c r="B21" s="115" t="s">
        <v>141</v>
      </c>
      <c r="C21" s="95" t="n">
        <v>5200</v>
      </c>
      <c r="D21" s="116" t="s">
        <v>126</v>
      </c>
      <c r="E21" s="34" t="n">
        <f aca="false">IF(OR(B21="",C21=""),0,C21*IFERROR(INDEX($I$8:$I$12,MATCH(D21,$H$8:$H$12,0)),1))</f>
        <v>5200</v>
      </c>
      <c r="F21" s="117"/>
      <c r="H21" s="63" t="s">
        <v>40</v>
      </c>
      <c r="I21" s="63" t="n">
        <v>6</v>
      </c>
    </row>
    <row r="22" customFormat="false" ht="15" hidden="false" customHeight="false" outlineLevel="0" collapsed="false">
      <c r="A22" s="123" t="s">
        <v>18</v>
      </c>
      <c r="B22" s="115" t="s">
        <v>142</v>
      </c>
      <c r="C22" s="95" t="n">
        <v>900</v>
      </c>
      <c r="D22" s="116" t="s">
        <v>132</v>
      </c>
      <c r="E22" s="34" t="n">
        <f aca="false">IF(OR(B22="",C22=""),0,C22*IFERROR(INDEX($I$8:$I$12,MATCH(D22,$H$8:$H$12,0)),1))</f>
        <v>450</v>
      </c>
      <c r="F22" s="117"/>
      <c r="H22" s="63" t="s">
        <v>41</v>
      </c>
      <c r="I22" s="63" t="n">
        <v>7</v>
      </c>
    </row>
    <row r="23" customFormat="false" ht="15" hidden="false" customHeight="false" outlineLevel="0" collapsed="false">
      <c r="A23" s="123" t="s">
        <v>18</v>
      </c>
      <c r="B23" s="115" t="s">
        <v>143</v>
      </c>
      <c r="C23" s="95" t="n">
        <v>700</v>
      </c>
      <c r="D23" s="116" t="s">
        <v>132</v>
      </c>
      <c r="E23" s="34" t="n">
        <f aca="false">IF(OR(B23="",C23=""),0,C23*IFERROR(INDEX($I$8:$I$12,MATCH(D23,$H$8:$H$12,0)),1))</f>
        <v>350</v>
      </c>
      <c r="F23" s="117"/>
      <c r="H23" s="63" t="s">
        <v>42</v>
      </c>
      <c r="I23" s="63" t="n">
        <v>8</v>
      </c>
    </row>
    <row r="24" customFormat="false" ht="15" hidden="false" customHeight="false" outlineLevel="0" collapsed="false">
      <c r="A24" s="123" t="s">
        <v>18</v>
      </c>
      <c r="B24" s="115" t="s">
        <v>144</v>
      </c>
      <c r="C24" s="95" t="n">
        <v>250</v>
      </c>
      <c r="D24" s="116" t="s">
        <v>132</v>
      </c>
      <c r="E24" s="34" t="n">
        <f aca="false">IF(OR(B24="",C24=""),0,C24*IFERROR(INDEX($I$8:$I$12,MATCH(D24,$H$8:$H$12,0)),1))</f>
        <v>125</v>
      </c>
      <c r="F24" s="117"/>
      <c r="H24" s="63" t="s">
        <v>43</v>
      </c>
      <c r="I24" s="63" t="n">
        <v>9</v>
      </c>
    </row>
    <row r="25" customFormat="false" ht="15" hidden="false" customHeight="false" outlineLevel="0" collapsed="false">
      <c r="A25" s="123" t="s">
        <v>18</v>
      </c>
      <c r="B25" s="115" t="s">
        <v>145</v>
      </c>
      <c r="C25" s="95" t="n">
        <v>60</v>
      </c>
      <c r="D25" s="116" t="s">
        <v>126</v>
      </c>
      <c r="E25" s="34" t="n">
        <f aca="false">IF(OR(B25="",C25=""),0,C25*IFERROR(INDEX($I$8:$I$12,MATCH(D25,$H$8:$H$12,0)),1))</f>
        <v>60</v>
      </c>
      <c r="F25" s="117"/>
      <c r="H25" s="63" t="s">
        <v>44</v>
      </c>
      <c r="I25" s="63" t="n">
        <v>10</v>
      </c>
    </row>
    <row r="26" customFormat="false" ht="15" hidden="false" customHeight="false" outlineLevel="0" collapsed="false">
      <c r="A26" s="123" t="s">
        <v>18</v>
      </c>
      <c r="B26" s="115" t="s">
        <v>146</v>
      </c>
      <c r="C26" s="95" t="n">
        <v>250</v>
      </c>
      <c r="D26" s="116" t="s">
        <v>126</v>
      </c>
      <c r="E26" s="34" t="n">
        <f aca="false">IF(OR(B26="",C26=""),0,C26*IFERROR(INDEX($I$8:$I$12,MATCH(D26,$H$8:$H$12,0)),1))</f>
        <v>250</v>
      </c>
      <c r="F26" s="117"/>
      <c r="H26" s="63" t="s">
        <v>45</v>
      </c>
      <c r="I26" s="63" t="n">
        <v>11</v>
      </c>
    </row>
    <row r="27" customFormat="false" ht="15" hidden="false" customHeight="false" outlineLevel="0" collapsed="false">
      <c r="A27" s="123" t="s">
        <v>18</v>
      </c>
      <c r="B27" s="115" t="s">
        <v>147</v>
      </c>
      <c r="C27" s="95" t="n">
        <v>180</v>
      </c>
      <c r="D27" s="116" t="s">
        <v>126</v>
      </c>
      <c r="E27" s="34" t="n">
        <f aca="false">IF(OR(B27="",C27=""),0,C27*IFERROR(INDEX($I$8:$I$12,MATCH(D27,$H$8:$H$12,0)),1))</f>
        <v>180</v>
      </c>
      <c r="F27" s="117"/>
      <c r="H27" s="63" t="s">
        <v>46</v>
      </c>
      <c r="I27" s="63" t="n">
        <v>12</v>
      </c>
    </row>
    <row r="28" customFormat="false" ht="15" hidden="false" customHeight="false" outlineLevel="0" collapsed="false">
      <c r="A28" s="123" t="s">
        <v>18</v>
      </c>
      <c r="B28" s="115" t="s">
        <v>148</v>
      </c>
      <c r="C28" s="95" t="n">
        <v>120</v>
      </c>
      <c r="D28" s="116" t="s">
        <v>126</v>
      </c>
      <c r="E28" s="34" t="n">
        <f aca="false">IF(OR(B28="",C28=""),0,C28*IFERROR(INDEX($I$8:$I$12,MATCH(D28,$H$8:$H$12,0)),1))</f>
        <v>120</v>
      </c>
      <c r="F28" s="117"/>
    </row>
    <row r="29" customFormat="false" ht="15" hidden="false" customHeight="false" outlineLevel="0" collapsed="false">
      <c r="A29" s="123" t="s">
        <v>18</v>
      </c>
      <c r="B29" s="115" t="s">
        <v>149</v>
      </c>
      <c r="C29" s="95" t="n">
        <v>450</v>
      </c>
      <c r="D29" s="116" t="s">
        <v>126</v>
      </c>
      <c r="E29" s="34" t="n">
        <f aca="false">IF(OR(B29="",C29=""),0,C29*IFERROR(INDEX($I$8:$I$12,MATCH(D29,$H$8:$H$12,0)),1))</f>
        <v>450</v>
      </c>
      <c r="F29" s="117"/>
    </row>
    <row r="30" customFormat="false" ht="15" hidden="false" customHeight="false" outlineLevel="0" collapsed="false">
      <c r="A30" s="123" t="s">
        <v>18</v>
      </c>
      <c r="B30" s="115" t="s">
        <v>150</v>
      </c>
      <c r="C30" s="95" t="n">
        <v>4800</v>
      </c>
      <c r="D30" s="116" t="s">
        <v>134</v>
      </c>
      <c r="E30" s="34" t="n">
        <f aca="false">IF(OR(B30="",C30=""),0,C30*IFERROR(INDEX($I$8:$I$12,MATCH(D30,$H$8:$H$12,0)),1))</f>
        <v>400</v>
      </c>
      <c r="F30" s="117" t="s">
        <v>151</v>
      </c>
    </row>
    <row r="31" customFormat="false" ht="15" hidden="false" customHeight="false" outlineLevel="0" collapsed="false">
      <c r="A31" s="123" t="s">
        <v>18</v>
      </c>
      <c r="B31" s="115" t="s">
        <v>152</v>
      </c>
      <c r="C31" s="95" t="n">
        <v>90</v>
      </c>
      <c r="D31" s="116" t="s">
        <v>126</v>
      </c>
      <c r="E31" s="34" t="n">
        <f aca="false">IF(OR(B31="",C31=""),0,C31*IFERROR(INDEX($I$8:$I$12,MATCH(D31,$H$8:$H$12,0)),1))</f>
        <v>90</v>
      </c>
      <c r="F31" s="117"/>
    </row>
    <row r="32" customFormat="false" ht="15" hidden="false" customHeight="false" outlineLevel="0" collapsed="false">
      <c r="A32" s="123" t="s">
        <v>18</v>
      </c>
      <c r="B32" s="115" t="s">
        <v>153</v>
      </c>
      <c r="C32" s="95" t="n">
        <v>250</v>
      </c>
      <c r="D32" s="116" t="s">
        <v>126</v>
      </c>
      <c r="E32" s="34" t="n">
        <f aca="false">IF(OR(B32="",C32=""),0,C32*IFERROR(INDEX($I$8:$I$12,MATCH(D32,$H$8:$H$12,0)),1))</f>
        <v>250</v>
      </c>
      <c r="F32" s="117"/>
    </row>
    <row r="33" customFormat="false" ht="15" hidden="false" customHeight="false" outlineLevel="0" collapsed="false">
      <c r="A33" s="68" t="s">
        <v>19</v>
      </c>
      <c r="B33" s="115" t="s">
        <v>154</v>
      </c>
      <c r="C33" s="95" t="n">
        <v>650</v>
      </c>
      <c r="D33" s="116" t="s">
        <v>130</v>
      </c>
      <c r="E33" s="34" t="n">
        <f aca="false">IF(OR(B33="",C33=""),0,C33*IFERROR(INDEX($I$8:$I$12,MATCH(D33,$H$8:$H$12,0)),1))</f>
        <v>2816.66666666667</v>
      </c>
      <c r="F33" s="117" t="s">
        <v>155</v>
      </c>
    </row>
    <row r="34" customFormat="false" ht="15" hidden="false" customHeight="false" outlineLevel="0" collapsed="false">
      <c r="A34" s="124" t="s">
        <v>19</v>
      </c>
      <c r="B34" s="115" t="s">
        <v>156</v>
      </c>
      <c r="C34" s="95" t="n">
        <v>600</v>
      </c>
      <c r="D34" s="116" t="s">
        <v>126</v>
      </c>
      <c r="E34" s="34" t="n">
        <f aca="false">IF(OR(B34="",C34=""),0,C34*IFERROR(INDEX($I$8:$I$12,MATCH(D34,$H$8:$H$12,0)),1))</f>
        <v>600</v>
      </c>
      <c r="F34" s="117"/>
    </row>
    <row r="35" customFormat="false" ht="15" hidden="false" customHeight="false" outlineLevel="0" collapsed="false">
      <c r="A35" s="124" t="s">
        <v>19</v>
      </c>
      <c r="B35" s="115" t="s">
        <v>157</v>
      </c>
      <c r="C35" s="95" t="n">
        <v>150</v>
      </c>
      <c r="D35" s="116" t="s">
        <v>126</v>
      </c>
      <c r="E35" s="34" t="n">
        <f aca="false">IF(OR(B35="",C35=""),0,C35*IFERROR(INDEX($I$8:$I$12,MATCH(D35,$H$8:$H$12,0)),1))</f>
        <v>150</v>
      </c>
      <c r="F35" s="117"/>
    </row>
    <row r="36" customFormat="false" ht="15" hidden="false" customHeight="false" outlineLevel="0" collapsed="false">
      <c r="A36" s="124" t="s">
        <v>19</v>
      </c>
      <c r="B36" s="115" t="s">
        <v>158</v>
      </c>
      <c r="C36" s="95" t="n">
        <v>250</v>
      </c>
      <c r="D36" s="116" t="s">
        <v>130</v>
      </c>
      <c r="E36" s="34" t="n">
        <f aca="false">IF(OR(B36="",C36=""),0,C36*IFERROR(INDEX($I$8:$I$12,MATCH(D36,$H$8:$H$12,0)),1))</f>
        <v>1083.33333333333</v>
      </c>
      <c r="F36" s="117"/>
    </row>
    <row r="37" customFormat="false" ht="15" hidden="false" customHeight="false" outlineLevel="0" collapsed="false">
      <c r="A37" s="124" t="s">
        <v>19</v>
      </c>
      <c r="B37" s="115" t="s">
        <v>159</v>
      </c>
      <c r="C37" s="95" t="n">
        <v>400</v>
      </c>
      <c r="D37" s="116" t="s">
        <v>126</v>
      </c>
      <c r="E37" s="34" t="n">
        <f aca="false">IF(OR(B37="",C37=""),0,C37*IFERROR(INDEX($I$8:$I$12,MATCH(D37,$H$8:$H$12,0)),1))</f>
        <v>400</v>
      </c>
      <c r="F37" s="117"/>
    </row>
    <row r="38" customFormat="false" ht="15" hidden="false" customHeight="false" outlineLevel="0" collapsed="false">
      <c r="A38" s="124" t="s">
        <v>19</v>
      </c>
      <c r="B38" s="115" t="s">
        <v>160</v>
      </c>
      <c r="C38" s="95" t="n">
        <v>200</v>
      </c>
      <c r="D38" s="116" t="s">
        <v>126</v>
      </c>
      <c r="E38" s="34" t="n">
        <f aca="false">IF(OR(B38="",C38=""),0,C38*IFERROR(INDEX($I$8:$I$12,MATCH(D38,$H$8:$H$12,0)),1))</f>
        <v>200</v>
      </c>
      <c r="F38" s="117"/>
    </row>
    <row r="39" customFormat="false" ht="15" hidden="false" customHeight="false" outlineLevel="0" collapsed="false">
      <c r="A39" s="124" t="s">
        <v>19</v>
      </c>
      <c r="B39" s="115" t="s">
        <v>161</v>
      </c>
      <c r="C39" s="95" t="n">
        <v>900</v>
      </c>
      <c r="D39" s="116" t="s">
        <v>126</v>
      </c>
      <c r="E39" s="34" t="n">
        <f aca="false">IF(OR(B39="",C39=""),0,C39*IFERROR(INDEX($I$8:$I$12,MATCH(D39,$H$8:$H$12,0)),1))</f>
        <v>900</v>
      </c>
      <c r="F39" s="117"/>
    </row>
    <row r="40" customFormat="false" ht="15" hidden="false" customHeight="false" outlineLevel="0" collapsed="false">
      <c r="A40" s="124" t="s">
        <v>19</v>
      </c>
      <c r="B40" s="115" t="s">
        <v>162</v>
      </c>
      <c r="C40" s="95" t="n">
        <v>300</v>
      </c>
      <c r="D40" s="116" t="s">
        <v>126</v>
      </c>
      <c r="E40" s="34" t="n">
        <f aca="false">IF(OR(B40="",C40=""),0,C40*IFERROR(INDEX($I$8:$I$12,MATCH(D40,$H$8:$H$12,0)),1))</f>
        <v>300</v>
      </c>
      <c r="F40" s="117"/>
    </row>
    <row r="41" customFormat="false" ht="15" hidden="false" customHeight="false" outlineLevel="0" collapsed="false">
      <c r="A41" s="124" t="s">
        <v>19</v>
      </c>
      <c r="B41" s="115" t="s">
        <v>163</v>
      </c>
      <c r="C41" s="95" t="n">
        <v>200</v>
      </c>
      <c r="D41" s="116" t="s">
        <v>126</v>
      </c>
      <c r="E41" s="34" t="n">
        <f aca="false">IF(OR(B41="",C41=""),0,C41*IFERROR(INDEX($I$8:$I$12,MATCH(D41,$H$8:$H$12,0)),1))</f>
        <v>200</v>
      </c>
      <c r="F41" s="117"/>
    </row>
    <row r="42" customFormat="false" ht="15" hidden="false" customHeight="false" outlineLevel="0" collapsed="false">
      <c r="A42" s="124" t="s">
        <v>19</v>
      </c>
      <c r="B42" s="115" t="s">
        <v>164</v>
      </c>
      <c r="C42" s="95" t="n">
        <v>300</v>
      </c>
      <c r="D42" s="116" t="s">
        <v>126</v>
      </c>
      <c r="E42" s="34" t="n">
        <f aca="false">IF(OR(B42="",C42=""),0,C42*IFERROR(INDEX($I$8:$I$12,MATCH(D42,$H$8:$H$12,0)),1))</f>
        <v>300</v>
      </c>
      <c r="F42" s="117"/>
    </row>
    <row r="43" customFormat="false" ht="15" hidden="false" customHeight="false" outlineLevel="0" collapsed="false">
      <c r="A43" s="124" t="s">
        <v>19</v>
      </c>
      <c r="B43" s="115" t="s">
        <v>165</v>
      </c>
      <c r="C43" s="95" t="n">
        <v>150</v>
      </c>
      <c r="D43" s="116" t="s">
        <v>126</v>
      </c>
      <c r="E43" s="34" t="n">
        <f aca="false">IF(OR(B43="",C43=""),0,C43*IFERROR(INDEX($I$8:$I$12,MATCH(D43,$H$8:$H$12,0)),1))</f>
        <v>150</v>
      </c>
      <c r="F43" s="117"/>
    </row>
    <row r="44" customFormat="false" ht="15" hidden="false" customHeight="false" outlineLevel="0" collapsed="false">
      <c r="A44" s="124" t="s">
        <v>19</v>
      </c>
      <c r="B44" s="115" t="s">
        <v>166</v>
      </c>
      <c r="C44" s="95" t="n">
        <v>300</v>
      </c>
      <c r="D44" s="116" t="s">
        <v>126</v>
      </c>
      <c r="E44" s="34" t="n">
        <f aca="false">IF(OR(B44="",C44=""),0,C44*IFERROR(INDEX($I$8:$I$12,MATCH(D44,$H$8:$H$12,0)),1))</f>
        <v>300</v>
      </c>
      <c r="F44" s="117"/>
    </row>
    <row r="45" customFormat="false" ht="15" hidden="false" customHeight="false" outlineLevel="0" collapsed="false">
      <c r="A45" s="124" t="s">
        <v>19</v>
      </c>
      <c r="B45" s="115"/>
      <c r="C45" s="95"/>
      <c r="D45" s="116" t="s">
        <v>126</v>
      </c>
      <c r="E45" s="34" t="n">
        <f aca="false">IF(OR(B45="",C45=""),0,C45*IFERROR(INDEX($I$8:$I$12,MATCH(D45,$H$8:$H$12,0)),1))</f>
        <v>0</v>
      </c>
      <c r="F45" s="117"/>
    </row>
    <row r="46" customFormat="false" ht="15" hidden="false" customHeight="false" outlineLevel="0" collapsed="false">
      <c r="A46" s="124" t="s">
        <v>19</v>
      </c>
      <c r="B46" s="115"/>
      <c r="C46" s="95"/>
      <c r="D46" s="116" t="s">
        <v>126</v>
      </c>
      <c r="E46" s="34" t="n">
        <f aca="false">IF(OR(B46="",C46=""),0,C46*IFERROR(INDEX($I$8:$I$12,MATCH(D46,$H$8:$H$12,0)),1))</f>
        <v>0</v>
      </c>
      <c r="F46" s="117"/>
    </row>
    <row r="47" customFormat="false" ht="15" hidden="false" customHeight="false" outlineLevel="0" collapsed="false">
      <c r="A47" s="124" t="s">
        <v>19</v>
      </c>
      <c r="B47" s="115"/>
      <c r="C47" s="95"/>
      <c r="D47" s="116" t="s">
        <v>126</v>
      </c>
      <c r="E47" s="34" t="n">
        <f aca="false">IF(OR(B47="",C47=""),0,C47*IFERROR(INDEX($I$8:$I$12,MATCH(D47,$H$8:$H$12,0)),1))</f>
        <v>0</v>
      </c>
      <c r="F47" s="117"/>
    </row>
    <row r="48" customFormat="false" ht="15" hidden="false" customHeight="false" outlineLevel="0" collapsed="false">
      <c r="A48" s="125" t="s">
        <v>20</v>
      </c>
      <c r="B48" s="115" t="s">
        <v>167</v>
      </c>
      <c r="C48" s="95" t="n">
        <v>1100</v>
      </c>
      <c r="D48" s="116" t="s">
        <v>126</v>
      </c>
      <c r="E48" s="34" t="n">
        <f aca="false">IF(OR(B48="",C48=""),0,C48*IFERROR(INDEX($I$8:$I$12,MATCH(D48,$H$8:$H$12,0)),1))</f>
        <v>1100</v>
      </c>
      <c r="F48" s="117"/>
    </row>
    <row r="49" customFormat="false" ht="15" hidden="false" customHeight="false" outlineLevel="0" collapsed="false">
      <c r="A49" s="126" t="s">
        <v>20</v>
      </c>
      <c r="B49" s="115" t="s">
        <v>168</v>
      </c>
      <c r="C49" s="95" t="n">
        <v>800</v>
      </c>
      <c r="D49" s="116" t="s">
        <v>126</v>
      </c>
      <c r="E49" s="34" t="n">
        <f aca="false">IF(OR(B49="",C49=""),0,C49*IFERROR(INDEX($I$8:$I$12,MATCH(D49,$H$8:$H$12,0)),1))</f>
        <v>800</v>
      </c>
      <c r="F49" s="117"/>
    </row>
    <row r="50" customFormat="false" ht="15" hidden="false" customHeight="false" outlineLevel="0" collapsed="false">
      <c r="A50" s="126" t="s">
        <v>20</v>
      </c>
      <c r="B50" s="115" t="s">
        <v>169</v>
      </c>
      <c r="C50" s="95" t="n">
        <v>400</v>
      </c>
      <c r="D50" s="116" t="s">
        <v>126</v>
      </c>
      <c r="E50" s="34" t="n">
        <f aca="false">IF(OR(B50="",C50=""),0,C50*IFERROR(INDEX($I$8:$I$12,MATCH(D50,$H$8:$H$12,0)),1))</f>
        <v>400</v>
      </c>
      <c r="F50" s="117"/>
    </row>
    <row r="51" customFormat="false" ht="15" hidden="false" customHeight="false" outlineLevel="0" collapsed="false">
      <c r="A51" s="126" t="s">
        <v>20</v>
      </c>
      <c r="B51" s="115"/>
      <c r="C51" s="95"/>
      <c r="D51" s="116" t="s">
        <v>126</v>
      </c>
      <c r="E51" s="34" t="n">
        <f aca="false">IF(OR(B51="",C51=""),0,C51*IFERROR(INDEX($I$8:$I$12,MATCH(D51,$H$8:$H$12,0)),1))</f>
        <v>0</v>
      </c>
      <c r="F51" s="117"/>
    </row>
    <row r="52" customFormat="false" ht="15" hidden="false" customHeight="false" outlineLevel="0" collapsed="false">
      <c r="A52" s="126" t="s">
        <v>20</v>
      </c>
      <c r="B52" s="115"/>
      <c r="C52" s="95"/>
      <c r="D52" s="116" t="s">
        <v>126</v>
      </c>
      <c r="E52" s="34" t="n">
        <f aca="false">IF(OR(B52="",C52=""),0,C52*IFERROR(INDEX($I$8:$I$12,MATCH(D52,$H$8:$H$12,0)),1))</f>
        <v>0</v>
      </c>
      <c r="F52" s="117"/>
    </row>
    <row r="53" customFormat="false" ht="15" hidden="false" customHeight="false" outlineLevel="0" collapsed="false">
      <c r="A53" s="126" t="s">
        <v>20</v>
      </c>
      <c r="B53" s="115"/>
      <c r="C53" s="95"/>
      <c r="D53" s="116" t="s">
        <v>126</v>
      </c>
      <c r="E53" s="34" t="n">
        <f aca="false">IF(OR(B53="",C53=""),0,C53*IFERROR(INDEX($I$8:$I$12,MATCH(D53,$H$8:$H$12,0)),1))</f>
        <v>0</v>
      </c>
      <c r="F53" s="117"/>
    </row>
  </sheetData>
  <mergeCells count="2">
    <mergeCell ref="A1:I1"/>
    <mergeCell ref="A5:F5"/>
  </mergeCells>
  <dataValidations count="1">
    <dataValidation allowBlank="true" errorStyle="stop" operator="between" showDropDown="false" showErrorMessage="false" showInputMessage="false" sqref="D8:D53" type="list">
      <formula1>$H$8:$H$12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2026-10-05T19:00:07Z</dcterms:created>
  <dc:creator>openpyxl</dc:creator>
  <dc:description/>
  <dc:language>en-US</dc:language>
  <cp:lastModifiedBy/>
  <dcterms:modified xsi:type="dcterms:W3CDTF">2026-10-05T19:00:17Z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