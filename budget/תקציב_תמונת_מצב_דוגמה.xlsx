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תמונת מצב" sheetId="1" state="visible" r:id="rId1"/>
    <sheet name="📥 הזנה חודשית" sheetId="2" state="visible" r:id="rId2"/>
    <sheet name="📈 מגמות" sheetId="3" state="visible" r:id="rId3"/>
    <sheet name="🎯 יעדים" sheetId="4" state="visible" r:id="rId4"/>
    <sheet name="📖 מדרי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₪#,##0;-₪#,##0;&quot;–&quot;"/>
    <numFmt numFmtId="165" formatCode="₪#,##0;[Red]-₪#,##0;&quot;–&quot;"/>
    <numFmt numFmtId="166" formatCode="&quot;✅&quot;;;&quot;—&quot;"/>
    <numFmt numFmtId="167" formatCode="#,##0;-#,##0;&quot;–&quot;"/>
    <numFmt numFmtId="168" formatCode="mm/yyyy"/>
    <numFmt numFmtId="169" formatCode="0.0%"/>
  </numFmts>
  <fonts count="39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CBD5E1"/>
      <sz val="10"/>
    </font>
    <font>
      <name val="Arial"/>
      <b val="1"/>
      <color rgb="00334155"/>
      <sz val="10"/>
    </font>
    <font>
      <name val="Arial"/>
      <b val="1"/>
      <color rgb="000F172A"/>
      <sz val="12"/>
    </font>
    <font>
      <name val="Arial"/>
      <color rgb="0064748B"/>
      <sz val="9"/>
    </font>
    <font>
      <name val="Arial"/>
      <b val="1"/>
      <color rgb="00FFFFFF"/>
      <sz val="10"/>
    </font>
    <font>
      <name val="Arial"/>
      <b val="1"/>
      <color rgb="002563EB"/>
      <sz val="11"/>
    </font>
    <font>
      <name val="Arial"/>
      <b val="1"/>
      <color rgb="002563EB"/>
      <sz val="10"/>
    </font>
    <font>
      <name val="Arial"/>
      <color rgb="000F172A"/>
      <sz val="10"/>
    </font>
    <font>
      <name val="Arial"/>
      <color rgb="00334155"/>
      <sz val="10"/>
    </font>
    <font>
      <name val="Arial"/>
      <b val="1"/>
      <color rgb="000F172A"/>
      <sz val="10"/>
    </font>
    <font>
      <name val="Arial"/>
      <color rgb="0064748B"/>
      <sz val="10"/>
    </font>
    <font>
      <name val="Arial"/>
      <b val="1"/>
      <color rgb="00059669"/>
      <sz val="11"/>
    </font>
    <font>
      <name val="Arial"/>
      <b val="1"/>
      <color rgb="00059669"/>
      <sz val="10"/>
    </font>
    <font>
      <name val="Arial"/>
      <b val="1"/>
      <color rgb="007C3AED"/>
      <sz val="11"/>
    </font>
    <font>
      <name val="Arial"/>
      <b val="1"/>
      <color rgb="007C3AED"/>
      <sz val="10"/>
    </font>
    <font>
      <name val="Arial"/>
      <b val="1"/>
      <color rgb="00EA580C"/>
      <sz val="11"/>
    </font>
    <font>
      <name val="Arial"/>
      <b val="1"/>
      <color rgb="00EA580C"/>
      <sz val="10"/>
    </font>
    <font>
      <name val="Arial"/>
      <b val="1"/>
      <color rgb="00DC2626"/>
      <sz val="11"/>
    </font>
    <font>
      <name val="Arial"/>
      <b val="1"/>
      <color rgb="00DC2626"/>
      <sz val="10"/>
    </font>
    <font>
      <name val="Arial"/>
      <b val="1"/>
      <color rgb="00FFFFFF"/>
      <sz val="11"/>
    </font>
    <font>
      <name val="Arial"/>
      <b val="1"/>
      <color rgb="001E293B"/>
      <sz val="10"/>
    </font>
    <font>
      <name val="Arial"/>
      <b val="1"/>
      <color rgb="0064748B"/>
      <sz val="10"/>
    </font>
    <font>
      <name val="Arial"/>
      <b val="1"/>
      <color rgb="000F172A"/>
      <sz val="22"/>
    </font>
    <font>
      <name val="Arial"/>
      <b val="1"/>
      <color rgb="000F172A"/>
      <sz val="13"/>
    </font>
    <font>
      <name val="Arial"/>
      <color rgb="002563EB"/>
      <sz val="9"/>
    </font>
    <font>
      <name val="Arial"/>
      <color rgb="00059669"/>
      <sz val="9"/>
    </font>
    <font>
      <name val="Arial"/>
      <color rgb="007C3AED"/>
      <sz val="9"/>
    </font>
    <font>
      <name val="Arial"/>
      <color rgb="00EA580C"/>
      <sz val="9"/>
    </font>
    <font>
      <name val="Arial"/>
      <color rgb="00DC2626"/>
      <sz val="9"/>
    </font>
    <font>
      <name val="Arial"/>
      <b val="1"/>
      <color rgb="00334155"/>
      <sz val="12"/>
    </font>
    <font>
      <name val="Arial"/>
      <color rgb="000F172A"/>
      <sz val="9"/>
    </font>
    <font>
      <name val="Arial"/>
      <b val="1"/>
      <color rgb="00059669"/>
      <sz val="13"/>
    </font>
    <font>
      <name val="Arial"/>
      <color rgb="00A7F3D0"/>
      <sz val="9"/>
    </font>
    <font>
      <name val="Arial"/>
      <b val="1"/>
      <color rgb="00DC2626"/>
      <sz val="13"/>
    </font>
    <font>
      <name val="Arial"/>
      <color rgb="00FECACA"/>
      <sz val="9"/>
    </font>
    <font>
      <name val="Arial"/>
      <i val="1"/>
      <color rgb="0064748B"/>
      <sz val="9"/>
    </font>
    <font>
      <name val="Arial"/>
      <b val="1"/>
      <color rgb="00F59E0B"/>
      <sz val="26"/>
    </font>
  </fonts>
  <fills count="1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BEB"/>
        <bgColor rgb="00FFFBEB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EDE9FE"/>
        <bgColor rgb="00EDE9FE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55">
    <border>
      <left/>
      <right/>
      <top/>
      <bottom/>
      <diagonal/>
    </border>
    <border>
      <left style="thin">
        <color rgb="00FCD34D"/>
      </left>
      <right style="thin">
        <color rgb="00FCD34D"/>
      </right>
      <top style="thin">
        <color rgb="00FCD34D"/>
      </top>
      <bottom style="thin">
        <color rgb="00FCD34D"/>
      </bottom>
    </border>
    <border>
      <bottom style="thin">
        <color rgb="001E293B"/>
      </bottom>
    </border>
    <border>
      <top style="medium">
        <color rgb="002563EB"/>
      </top>
    </border>
    <border>
      <right style="thick">
        <color rgb="002563EB"/>
      </right>
      <bottom style="thin">
        <color rgb="00E2E8F0"/>
      </bottom>
    </border>
    <border>
      <left style="thin">
        <color rgb="00E2E8F0"/>
      </left>
      <bottom style="thin">
        <color rgb="00E2E8F0"/>
      </bottom>
    </border>
    <border>
      <left style="thin">
        <color rgb="00F1F5F9"/>
      </left>
      <bottom style="thin">
        <color rgb="00E2E8F0"/>
      </bottom>
    </border>
    <border>
      <bottom style="thin">
        <color rgb="00E2E8F0"/>
      </bottom>
    </border>
    <border>
      <top style="medium">
        <color rgb="00059669"/>
      </top>
    </border>
    <border>
      <right style="thick">
        <color rgb="00059669"/>
      </right>
      <bottom style="thin">
        <color rgb="00E2E8F0"/>
      </bottom>
    </border>
    <border>
      <top style="medium">
        <color rgb="007C3AED"/>
      </top>
    </border>
    <border>
      <right style="thick">
        <color rgb="007C3AED"/>
      </right>
      <bottom style="thin">
        <color rgb="00E2E8F0"/>
      </bottom>
    </border>
    <border>
      <top style="medium">
        <color rgb="00EA580C"/>
      </top>
    </border>
    <border>
      <right style="thick">
        <color rgb="00EA580C"/>
      </right>
      <bottom style="thin">
        <color rgb="00E2E8F0"/>
      </bottom>
    </border>
    <border>
      <top style="medium">
        <color rgb="00DC2626"/>
      </top>
    </border>
    <border>
      <right style="thick">
        <color rgb="00DC2626"/>
      </right>
      <bottom style="thin">
        <color rgb="00E2E8F0"/>
      </bottom>
    </border>
    <border>
      <right style="thin">
        <color rgb="00FCD34D"/>
      </right>
      <top style="thin">
        <color rgb="00FCD34D"/>
      </top>
      <bottom style="thin">
        <color rgb="00FCD34D"/>
      </bottom>
    </border>
    <border>
      <top style="thin">
        <color rgb="00FCD34D"/>
      </top>
      <bottom style="thin">
        <color rgb="00FCD34D"/>
      </bottom>
    </border>
    <border>
      <left style="thin">
        <color rgb="00FCD34D"/>
      </left>
      <top style="thin">
        <color rgb="00FCD34D"/>
      </top>
      <bottom style="thin">
        <color rgb="00FCD34D"/>
      </bottom>
    </border>
    <border>
      <right style="thick">
        <color rgb="00F1F5F9"/>
      </right>
      <top style="thick">
        <color rgb="002563EB"/>
      </top>
    </border>
    <border>
      <top style="thick">
        <color rgb="002563EB"/>
      </top>
    </border>
    <border>
      <left style="thick">
        <color rgb="00F1F5F9"/>
      </left>
      <top style="thick">
        <color rgb="002563EB"/>
      </top>
    </border>
    <border>
      <right style="thick">
        <color rgb="00F1F5F9"/>
      </right>
    </border>
    <border/>
    <border>
      <left style="thick">
        <color rgb="00F1F5F9"/>
      </left>
    </border>
    <border>
      <right style="thick">
        <color rgb="00F1F5F9"/>
      </right>
      <bottom style="thin">
        <color rgb="00E2E8F0"/>
      </bottom>
    </border>
    <border>
      <left style="thick">
        <color rgb="00F1F5F9"/>
      </left>
      <bottom style="thin">
        <color rgb="00E2E8F0"/>
      </bottom>
    </border>
    <border>
      <left/>
      <right/>
      <top style="thick">
        <color rgb="002563EB"/>
      </top>
      <bottom/>
      <diagonal/>
    </border>
    <border>
      <left/>
      <right style="thick">
        <color rgb="00F1F5F9"/>
      </right>
      <top style="thick">
        <color rgb="002563EB"/>
      </top>
      <bottom/>
      <diagonal/>
    </border>
    <border>
      <left/>
      <right style="thick">
        <color rgb="00F1F5F9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ck">
        <color rgb="00F1F5F9"/>
      </right>
      <top/>
      <bottom style="thin">
        <color rgb="00E2E8F0"/>
      </bottom>
      <diagonal/>
    </border>
    <border>
      <right style="thick">
        <color rgb="00F1F5F9"/>
      </right>
      <top style="thick">
        <color rgb="00EA580C"/>
      </top>
    </border>
    <border>
      <top style="thick">
        <color rgb="00EA580C"/>
      </top>
    </border>
    <border>
      <left style="thick">
        <color rgb="00F1F5F9"/>
      </left>
      <top style="thick">
        <color rgb="00EA580C"/>
      </top>
    </border>
    <border>
      <left/>
      <right/>
      <top style="thick">
        <color rgb="00EA580C"/>
      </top>
      <bottom/>
      <diagonal/>
    </border>
    <border>
      <left/>
      <right style="thick">
        <color rgb="00F1F5F9"/>
      </right>
      <top style="thick">
        <color rgb="00EA580C"/>
      </top>
      <bottom/>
      <diagonal/>
    </border>
    <border>
      <right style="thick">
        <color rgb="00F1F5F9"/>
      </right>
      <top style="thick">
        <color rgb="00059669"/>
      </top>
    </border>
    <border>
      <top style="thick">
        <color rgb="00059669"/>
      </top>
    </border>
    <border>
      <left style="thick">
        <color rgb="00F1F5F9"/>
      </left>
      <top style="thick">
        <color rgb="00059669"/>
      </top>
    </border>
    <border>
      <left/>
      <right/>
      <top style="thick">
        <color rgb="00059669"/>
      </top>
      <bottom/>
      <diagonal/>
    </border>
    <border>
      <left/>
      <right style="thick">
        <color rgb="00F1F5F9"/>
      </right>
      <top style="thick">
        <color rgb="00059669"/>
      </top>
      <bottom/>
      <diagonal/>
    </border>
    <border>
      <right style="thick">
        <color rgb="00F1F5F9"/>
      </right>
      <top style="thick">
        <color rgb="001E293B"/>
      </top>
    </border>
    <border>
      <top style="thick">
        <color rgb="001E293B"/>
      </top>
    </border>
    <border>
      <left style="thick">
        <color rgb="00F1F5F9"/>
      </left>
      <top style="thick">
        <color rgb="001E293B"/>
      </top>
    </border>
    <border>
      <left/>
      <right/>
      <top style="thick">
        <color rgb="001E293B"/>
      </top>
      <bottom/>
      <diagonal/>
    </border>
    <border>
      <left/>
      <right style="thick">
        <color rgb="00F1F5F9"/>
      </right>
      <top style="thick">
        <color rgb="001E293B"/>
      </top>
      <bottom/>
      <diagonal/>
    </border>
    <border>
      <left/>
      <right/>
      <top/>
      <bottom style="thin">
        <color rgb="001E293B"/>
      </bottom>
      <diagonal/>
    </border>
    <border>
      <left style="thin">
        <color rgb="00FFFFFF"/>
      </left>
      <bottom style="thin">
        <color rgb="00E2E8F0"/>
      </bottom>
    </border>
    <border>
      <bottom style="thin">
        <color rgb="00059669"/>
      </bottom>
    </border>
    <border>
      <left/>
      <right/>
      <top/>
      <bottom style="thin">
        <color rgb="00059669"/>
      </bottom>
      <diagonal/>
    </border>
    <border>
      <bottom style="thin">
        <color rgb="00DC2626"/>
      </bottom>
    </border>
    <border>
      <left/>
      <right/>
      <top/>
      <bottom style="thin">
        <color rgb="00DC2626"/>
      </bottom>
      <diagonal/>
    </border>
    <border>
      <bottom style="thick">
        <color rgb="00F1F5F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0" fillId="11" borderId="0" pivotButton="0" quotePrefix="0" xfId="0"/>
    <xf numFmtId="0" fontId="1" fillId="2" borderId="0" applyAlignment="1" pivotButton="0" quotePrefix="0" xfId="0">
      <alignment horizontal="right" vertical="center" indent="1"/>
    </xf>
    <xf numFmtId="0" fontId="2" fillId="2" borderId="0" applyAlignment="1" pivotButton="0" quotePrefix="0" xfId="0">
      <alignment horizontal="right" vertical="center" indent="1"/>
    </xf>
    <xf numFmtId="0" fontId="3" fillId="11" borderId="0" applyAlignment="1" pivotButton="0" quotePrefix="0" xfId="0">
      <alignment horizontal="right" vertical="center" indent="1"/>
    </xf>
    <xf numFmtId="0" fontId="11" fillId="3" borderId="16" applyAlignment="1" pivotButton="0" quotePrefix="0" xfId="0">
      <alignment horizontal="right" vertical="center" indent="1"/>
    </xf>
    <xf numFmtId="0" fontId="0" fillId="3" borderId="17" pivotButton="0" quotePrefix="0" xfId="0"/>
    <xf numFmtId="0" fontId="0" fillId="3" borderId="18" pivotButton="0" quotePrefix="0" xfId="0"/>
    <xf numFmtId="0" fontId="5" fillId="11" borderId="0" applyAlignment="1" pivotButton="0" quotePrefix="0" xfId="0">
      <alignment horizontal="right" vertical="center"/>
    </xf>
    <xf numFmtId="0" fontId="23" fillId="5" borderId="19" applyAlignment="1" pivotButton="0" quotePrefix="0" xfId="0">
      <alignment horizontal="right" vertical="bottom" indent="1"/>
    </xf>
    <xf numFmtId="0" fontId="0" fillId="0" borderId="27" pivotButton="0" quotePrefix="0" xfId="0"/>
    <xf numFmtId="0" fontId="0" fillId="0" borderId="28" pivotButton="0" quotePrefix="0" xfId="0"/>
    <xf numFmtId="0" fontId="23" fillId="5" borderId="32" applyAlignment="1" pivotButton="0" quotePrefix="0" xfId="0">
      <alignment horizontal="right" vertical="bottom" indent="1"/>
    </xf>
    <xf numFmtId="0" fontId="0" fillId="0" borderId="35" pivotButton="0" quotePrefix="0" xfId="0"/>
    <xf numFmtId="0" fontId="0" fillId="0" borderId="36" pivotButton="0" quotePrefix="0" xfId="0"/>
    <xf numFmtId="0" fontId="23" fillId="5" borderId="37" applyAlignment="1" pivotButton="0" quotePrefix="0" xfId="0">
      <alignment horizontal="right" vertical="bottom" indent="1"/>
    </xf>
    <xf numFmtId="0" fontId="0" fillId="0" borderId="40" pivotButton="0" quotePrefix="0" xfId="0"/>
    <xf numFmtId="0" fontId="0" fillId="0" borderId="41" pivotButton="0" quotePrefix="0" xfId="0"/>
    <xf numFmtId="0" fontId="23" fillId="5" borderId="42" applyAlignment="1" pivotButton="0" quotePrefix="0" xfId="0">
      <alignment horizontal="right" vertical="bottom" indent="1"/>
    </xf>
    <xf numFmtId="0" fontId="0" fillId="0" borderId="45" pivotButton="0" quotePrefix="0" xfId="0"/>
    <xf numFmtId="0" fontId="0" fillId="0" borderId="46" pivotButton="0" quotePrefix="0" xfId="0"/>
    <xf numFmtId="164" fontId="24" fillId="5" borderId="22" applyAlignment="1" pivotButton="0" quotePrefix="0" xfId="0">
      <alignment horizontal="right" vertical="center" indent="1"/>
    </xf>
    <xf numFmtId="0" fontId="0" fillId="0" borderId="29" pivotButton="0" quotePrefix="0" xfId="0"/>
    <xf numFmtId="0" fontId="5" fillId="5" borderId="25" applyAlignment="1" pivotButton="0" quotePrefix="0" xfId="0">
      <alignment horizontal="right" vertical="top" indent="1"/>
    </xf>
    <xf numFmtId="0" fontId="0" fillId="0" borderId="30" pivotButton="0" quotePrefix="0" xfId="0"/>
    <xf numFmtId="0" fontId="0" fillId="0" borderId="31" pivotButton="0" quotePrefix="0" xfId="0"/>
    <xf numFmtId="9" fontId="24" fillId="5" borderId="22" applyAlignment="1" pivotButton="0" quotePrefix="0" xfId="0">
      <alignment horizontal="right" vertical="center" indent="1"/>
    </xf>
    <xf numFmtId="0" fontId="25" fillId="11" borderId="0" applyAlignment="1" pivotButton="0" quotePrefix="0" xfId="0">
      <alignment horizontal="right" vertical="center"/>
    </xf>
    <xf numFmtId="0" fontId="6" fillId="2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right" vertical="center" indent="1"/>
    </xf>
    <xf numFmtId="0" fontId="0" fillId="2" borderId="0" pivotButton="0" quotePrefix="0" xfId="0"/>
    <xf numFmtId="0" fontId="8" fillId="5" borderId="4" applyAlignment="1" pivotButton="0" quotePrefix="0" xfId="0">
      <alignment horizontal="right" vertical="center" indent="1"/>
    </xf>
    <xf numFmtId="164" fontId="10" fillId="5" borderId="7" applyAlignment="1" pivotButton="0" quotePrefix="0" xfId="0">
      <alignment horizontal="center" vertical="center"/>
    </xf>
    <xf numFmtId="164" fontId="11" fillId="5" borderId="7" applyAlignment="1" pivotButton="0" quotePrefix="0" xfId="0">
      <alignment horizontal="center" vertical="center"/>
    </xf>
    <xf numFmtId="165" fontId="9" fillId="5" borderId="7" applyAlignment="1" pivotButton="0" quotePrefix="0" xfId="0">
      <alignment horizontal="center" vertical="center"/>
    </xf>
    <xf numFmtId="0" fontId="26" fillId="5" borderId="7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/>
    </xf>
    <xf numFmtId="0" fontId="9" fillId="5" borderId="7" applyAlignment="1" pivotButton="0" quotePrefix="0" xfId="0">
      <alignment horizontal="right" vertical="center" wrapText="1" indent="1"/>
    </xf>
    <xf numFmtId="0" fontId="0" fillId="5" borderId="7" pivotButton="0" quotePrefix="0" xfId="0"/>
    <xf numFmtId="0" fontId="14" fillId="5" borderId="9" applyAlignment="1" pivotButton="0" quotePrefix="0" xfId="0">
      <alignment horizontal="right" vertical="center" indent="1"/>
    </xf>
    <xf numFmtId="0" fontId="27" fillId="5" borderId="7" applyAlignment="1" pivotButton="0" quotePrefix="0" xfId="0">
      <alignment horizontal="center" vertical="center"/>
    </xf>
    <xf numFmtId="0" fontId="16" fillId="5" borderId="11" applyAlignment="1" pivotButton="0" quotePrefix="0" xfId="0">
      <alignment horizontal="right" vertical="center" indent="1"/>
    </xf>
    <xf numFmtId="0" fontId="28" fillId="5" borderId="7" applyAlignment="1" pivotButton="0" quotePrefix="0" xfId="0">
      <alignment horizontal="center" vertical="center"/>
    </xf>
    <xf numFmtId="0" fontId="18" fillId="5" borderId="13" applyAlignment="1" pivotButton="0" quotePrefix="0" xfId="0">
      <alignment horizontal="right" vertical="center" indent="1"/>
    </xf>
    <xf numFmtId="0" fontId="29" fillId="5" borderId="7" applyAlignment="1" pivotButton="0" quotePrefix="0" xfId="0">
      <alignment horizontal="center" vertical="center"/>
    </xf>
    <xf numFmtId="0" fontId="20" fillId="5" borderId="15" applyAlignment="1" pivotButton="0" quotePrefix="0" xfId="0">
      <alignment horizontal="right" vertical="center" indent="1"/>
    </xf>
    <xf numFmtId="0" fontId="30" fillId="5" borderId="7" applyAlignment="1" pivotButton="0" quotePrefix="0" xfId="0">
      <alignment horizontal="center" vertical="center"/>
    </xf>
    <xf numFmtId="165" fontId="6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0" fontId="0" fillId="0" borderId="47" pivotButton="0" quotePrefix="0" xfId="0"/>
    <xf numFmtId="0" fontId="31" fillId="5" borderId="7" applyAlignment="1" pivotButton="0" quotePrefix="0" xfId="0">
      <alignment horizontal="center" vertical="center"/>
    </xf>
    <xf numFmtId="0" fontId="11" fillId="5" borderId="7" applyAlignment="1" pivotButton="0" quotePrefix="0" xfId="0">
      <alignment horizontal="right" vertical="center" indent="1"/>
    </xf>
    <xf numFmtId="9" fontId="10" fillId="5" borderId="7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indent="1"/>
    </xf>
    <xf numFmtId="0" fontId="4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7" fillId="4" borderId="3" applyAlignment="1" pivotButton="0" quotePrefix="0" xfId="0">
      <alignment horizontal="right" vertical="center" indent="1"/>
    </xf>
    <xf numFmtId="164" fontId="8" fillId="4" borderId="3" applyAlignment="1" pivotButton="0" quotePrefix="0" xfId="0">
      <alignment horizontal="center" vertical="center"/>
    </xf>
    <xf numFmtId="0" fontId="9" fillId="3" borderId="4" applyAlignment="1" pivotButton="0" quotePrefix="0" xfId="0">
      <alignment horizontal="right" vertical="center" indent="1"/>
    </xf>
    <xf numFmtId="164" fontId="10" fillId="3" borderId="5" applyAlignment="1" pivotButton="0" quotePrefix="0" xfId="0">
      <alignment horizontal="center" vertical="center"/>
    </xf>
    <xf numFmtId="164" fontId="9" fillId="5" borderId="6" applyAlignment="1" pivotButton="0" quotePrefix="0" xfId="0">
      <alignment horizontal="center" vertical="center"/>
    </xf>
    <xf numFmtId="164" fontId="11" fillId="6" borderId="7" applyAlignment="1" pivotButton="0" quotePrefix="0" xfId="0">
      <alignment horizontal="center" vertical="center"/>
    </xf>
    <xf numFmtId="164" fontId="12" fillId="6" borderId="7" applyAlignment="1" pivotButton="0" quotePrefix="0" xfId="0">
      <alignment horizontal="center" vertical="center"/>
    </xf>
    <xf numFmtId="0" fontId="13" fillId="7" borderId="8" applyAlignment="1" pivotButton="0" quotePrefix="0" xfId="0">
      <alignment horizontal="right" vertical="center" indent="1"/>
    </xf>
    <xf numFmtId="164" fontId="14" fillId="7" borderId="8" applyAlignment="1" pivotButton="0" quotePrefix="0" xfId="0">
      <alignment horizontal="center" vertical="center"/>
    </xf>
    <xf numFmtId="0" fontId="9" fillId="3" borderId="9" applyAlignment="1" pivotButton="0" quotePrefix="0" xfId="0">
      <alignment horizontal="right" vertical="center" indent="1"/>
    </xf>
    <xf numFmtId="0" fontId="15" fillId="8" borderId="10" applyAlignment="1" pivotButton="0" quotePrefix="0" xfId="0">
      <alignment horizontal="right" vertical="center" indent="1"/>
    </xf>
    <xf numFmtId="164" fontId="16" fillId="8" borderId="10" applyAlignment="1" pivotButton="0" quotePrefix="0" xfId="0">
      <alignment horizontal="center" vertical="center"/>
    </xf>
    <xf numFmtId="0" fontId="9" fillId="3" borderId="11" applyAlignment="1" pivotButton="0" quotePrefix="0" xfId="0">
      <alignment horizontal="right" vertical="center" indent="1"/>
    </xf>
    <xf numFmtId="0" fontId="17" fillId="9" borderId="12" applyAlignment="1" pivotButton="0" quotePrefix="0" xfId="0">
      <alignment horizontal="right" vertical="center" indent="1"/>
    </xf>
    <xf numFmtId="164" fontId="18" fillId="9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right" vertical="center" indent="1"/>
    </xf>
    <xf numFmtId="0" fontId="19" fillId="10" borderId="14" applyAlignment="1" pivotButton="0" quotePrefix="0" xfId="0">
      <alignment horizontal="right" vertical="center" indent="1"/>
    </xf>
    <xf numFmtId="164" fontId="20" fillId="10" borderId="14" applyAlignment="1" pivotButton="0" quotePrefix="0" xfId="0">
      <alignment horizontal="center" vertical="center"/>
    </xf>
    <xf numFmtId="0" fontId="9" fillId="3" borderId="15" applyAlignment="1" pivotButton="0" quotePrefix="0" xfId="0">
      <alignment horizontal="right" vertical="center" indent="1"/>
    </xf>
    <xf numFmtId="0" fontId="21" fillId="2" borderId="0" applyAlignment="1" pivotButton="0" quotePrefix="0" xfId="0">
      <alignment horizontal="right" vertical="center" indent="1"/>
    </xf>
    <xf numFmtId="164" fontId="9" fillId="5" borderId="7" applyAlignment="1" pivotButton="0" quotePrefix="0" xfId="0">
      <alignment horizontal="center" vertical="center"/>
    </xf>
    <xf numFmtId="164" fontId="9" fillId="6" borderId="7" applyAlignment="1" pivotButton="0" quotePrefix="0" xfId="0">
      <alignment horizontal="center" vertical="center"/>
    </xf>
    <xf numFmtId="0" fontId="22" fillId="6" borderId="7" applyAlignment="1" pivotButton="0" quotePrefix="0" xfId="0">
      <alignment horizontal="right" vertical="center" indent="1"/>
    </xf>
    <xf numFmtId="165" fontId="11" fillId="6" borderId="7" applyAlignment="1" pivotButton="0" quotePrefix="0" xfId="0">
      <alignment horizontal="center" vertical="center"/>
    </xf>
    <xf numFmtId="9" fontId="9" fillId="5" borderId="7" applyAlignment="1" pivotButton="0" quotePrefix="0" xfId="0">
      <alignment horizontal="center" vertical="center"/>
    </xf>
    <xf numFmtId="9" fontId="9" fillId="6" borderId="7" applyAlignment="1" pivotButton="0" quotePrefix="0" xfId="0">
      <alignment horizontal="center" vertical="center"/>
    </xf>
    <xf numFmtId="0" fontId="23" fillId="0" borderId="0" applyAlignment="1" pivotButton="0" quotePrefix="0" xfId="0">
      <alignment horizontal="right" vertical="center" indent="1"/>
    </xf>
    <xf numFmtId="166" fontId="13" fillId="0" borderId="0" applyAlignment="1" pivotButton="0" quotePrefix="0" xfId="0">
      <alignment horizontal="center" vertical="center"/>
    </xf>
    <xf numFmtId="165" fontId="11" fillId="5" borderId="7" applyAlignment="1" pivotButton="0" quotePrefix="0" xfId="0">
      <alignment horizontal="center" vertical="center"/>
    </xf>
    <xf numFmtId="164" fontId="14" fillId="5" borderId="7" applyAlignment="1" pivotButton="0" quotePrefix="0" xfId="0">
      <alignment horizontal="center" vertical="center"/>
    </xf>
    <xf numFmtId="0" fontId="11" fillId="6" borderId="7" applyAlignment="1" pivotButton="0" quotePrefix="0" xfId="0">
      <alignment horizontal="right" vertical="center" indent="1"/>
    </xf>
    <xf numFmtId="9" fontId="10" fillId="6" borderId="7" applyAlignment="1" pivotButton="0" quotePrefix="0" xfId="0">
      <alignment horizontal="center" vertical="center"/>
    </xf>
    <xf numFmtId="164" fontId="14" fillId="6" borderId="7" applyAlignment="1" pivotButton="0" quotePrefix="0" xfId="0">
      <alignment horizontal="center" vertical="center"/>
    </xf>
    <xf numFmtId="9" fontId="6" fillId="2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right" vertical="center" indent="1"/>
    </xf>
    <xf numFmtId="165" fontId="9" fillId="12" borderId="0" applyAlignment="1" pivotButton="0" quotePrefix="0" xfId="0">
      <alignment horizontal="center" vertical="center"/>
    </xf>
    <xf numFmtId="9" fontId="9" fillId="12" borderId="0" applyAlignment="1" pivotButton="0" quotePrefix="0" xfId="0">
      <alignment horizontal="center" vertical="center"/>
    </xf>
    <xf numFmtId="164" fontId="9" fillId="12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right" vertical="center" indent="1"/>
    </xf>
    <xf numFmtId="0" fontId="0" fillId="8" borderId="0" pivotButton="0" quotePrefix="0" xfId="0"/>
    <xf numFmtId="0" fontId="9" fillId="5" borderId="11" applyAlignment="1" pivotButton="0" quotePrefix="0" xfId="0">
      <alignment horizontal="right" vertical="center" indent="1"/>
    </xf>
    <xf numFmtId="167" fontId="32" fillId="5" borderId="48" applyAlignment="1" pivotButton="0" quotePrefix="0" xfId="0">
      <alignment horizontal="center" vertical="center"/>
    </xf>
    <xf numFmtId="0" fontId="18" fillId="9" borderId="0" applyAlignment="1" pivotButton="0" quotePrefix="0" xfId="0">
      <alignment horizontal="right" vertical="center" indent="1"/>
    </xf>
    <xf numFmtId="0" fontId="0" fillId="9" borderId="0" pivotButton="0" quotePrefix="0" xfId="0"/>
    <xf numFmtId="0" fontId="9" fillId="5" borderId="13" applyAlignment="1" pivotButton="0" quotePrefix="0" xfId="0">
      <alignment horizontal="right" vertical="center" indent="1"/>
    </xf>
    <xf numFmtId="0" fontId="20" fillId="10" borderId="0" applyAlignment="1" pivotButton="0" quotePrefix="0" xfId="0">
      <alignment horizontal="right" vertical="center" indent="1"/>
    </xf>
    <xf numFmtId="0" fontId="0" fillId="10" borderId="0" pivotButton="0" quotePrefix="0" xfId="0"/>
    <xf numFmtId="0" fontId="9" fillId="5" borderId="15" applyAlignment="1" pivotButton="0" quotePrefix="0" xfId="0">
      <alignment horizontal="right" vertical="center" indent="1"/>
    </xf>
    <xf numFmtId="0" fontId="33" fillId="11" borderId="0" applyAlignment="1" pivotButton="0" quotePrefix="0" xfId="0">
      <alignment horizontal="right" vertical="center"/>
    </xf>
    <xf numFmtId="0" fontId="6" fillId="13" borderId="49" applyAlignment="1" pivotButton="0" quotePrefix="0" xfId="0">
      <alignment horizontal="center" vertical="center" wrapText="1"/>
    </xf>
    <xf numFmtId="0" fontId="0" fillId="0" borderId="50" pivotButton="0" quotePrefix="0" xfId="0"/>
    <xf numFmtId="0" fontId="11" fillId="5" borderId="9" applyAlignment="1" pivotButton="0" quotePrefix="0" xfId="0">
      <alignment horizontal="right" vertical="center" indent="1"/>
    </xf>
    <xf numFmtId="164" fontId="9" fillId="3" borderId="7" applyAlignment="1" pivotButton="0" quotePrefix="0" xfId="0">
      <alignment horizontal="center" vertical="center"/>
    </xf>
    <xf numFmtId="168" fontId="9" fillId="3" borderId="7" applyAlignment="1" pivotButton="0" quotePrefix="0" xfId="0">
      <alignment horizontal="center" vertical="center"/>
    </xf>
    <xf numFmtId="9" fontId="13" fillId="5" borderId="7" applyAlignment="1" pivotButton="0" quotePrefix="0" xfId="0">
      <alignment horizontal="center" vertical="center"/>
    </xf>
    <xf numFmtId="9" fontId="21" fillId="2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5" fillId="11" borderId="0" applyAlignment="1" pivotButton="0" quotePrefix="0" xfId="0">
      <alignment horizontal="right" vertical="center"/>
    </xf>
    <xf numFmtId="0" fontId="6" fillId="14" borderId="51" applyAlignment="1" pivotButton="0" quotePrefix="0" xfId="0">
      <alignment horizontal="center" vertical="center" wrapText="1"/>
    </xf>
    <xf numFmtId="0" fontId="0" fillId="0" borderId="52" pivotButton="0" quotePrefix="0" xfId="0"/>
    <xf numFmtId="0" fontId="11" fillId="5" borderId="15" applyAlignment="1" pivotButton="0" quotePrefix="0" xfId="0">
      <alignment horizontal="right" vertical="center" indent="1"/>
    </xf>
    <xf numFmtId="169" fontId="9" fillId="3" borderId="7" applyAlignment="1" pivotButton="0" quotePrefix="0" xfId="0">
      <alignment horizontal="center" vertical="center"/>
    </xf>
    <xf numFmtId="9" fontId="19" fillId="5" borderId="7" applyAlignment="1" pivotButton="0" quotePrefix="0" xfId="0">
      <alignment horizontal="center" vertical="center"/>
    </xf>
    <xf numFmtId="1" fontId="9" fillId="5" borderId="7" applyAlignment="1" pivotButton="0" quotePrefix="0" xfId="0">
      <alignment horizontal="center" vertical="center"/>
    </xf>
    <xf numFmtId="168" fontId="11" fillId="5" borderId="7" applyAlignment="1" pivotButton="0" quotePrefix="0" xfId="0">
      <alignment horizontal="center" vertical="center"/>
    </xf>
    <xf numFmtId="0" fontId="36" fillId="2" borderId="0" applyAlignment="1" pivotButton="0" quotePrefix="0" xfId="0">
      <alignment horizontal="center" vertical="center"/>
    </xf>
    <xf numFmtId="1" fontId="6" fillId="2" borderId="0" applyAlignment="1" pivotButton="0" quotePrefix="0" xfId="0">
      <alignment horizontal="center" vertical="center"/>
    </xf>
    <xf numFmtId="168" fontId="6" fillId="2" borderId="0" applyAlignment="1" pivotButton="0" quotePrefix="0" xfId="0">
      <alignment horizontal="center" vertical="center"/>
    </xf>
    <xf numFmtId="0" fontId="37" fillId="11" borderId="0" applyAlignment="1" pivotButton="0" quotePrefix="0" xfId="0">
      <alignment horizontal="right" vertical="center" wrapText="1"/>
    </xf>
    <xf numFmtId="0" fontId="38" fillId="5" borderId="0" applyAlignment="1" pivotButton="0" quotePrefix="0" xfId="0">
      <alignment horizontal="center" vertical="center"/>
    </xf>
    <xf numFmtId="0" fontId="25" fillId="5" borderId="0" applyAlignment="1" pivotButton="0" quotePrefix="0" xfId="0">
      <alignment horizontal="right" vertical="bottom" indent="1"/>
    </xf>
    <xf numFmtId="0" fontId="0" fillId="0" borderId="53" pivotButton="0" quotePrefix="0" xfId="0"/>
    <xf numFmtId="0" fontId="10" fillId="5" borderId="53" applyAlignment="1" pivotButton="0" quotePrefix="0" xfId="0">
      <alignment horizontal="right" vertical="top" wrapText="1" indent="1"/>
    </xf>
    <xf numFmtId="0" fontId="4" fillId="11" borderId="0" applyAlignment="1" pivotButton="0" quotePrefix="0" xfId="0">
      <alignment horizontal="right" vertical="center"/>
    </xf>
    <xf numFmtId="0" fontId="0" fillId="3" borderId="54" pivotButton="0" quotePrefix="0" xfId="0"/>
    <xf numFmtId="0" fontId="9" fillId="5" borderId="0" applyAlignment="1" pivotButton="0" quotePrefix="0" xfId="0">
      <alignment horizontal="right" vertical="center" indent="1"/>
    </xf>
    <xf numFmtId="0" fontId="0" fillId="4" borderId="54" pivotButton="0" quotePrefix="0" xfId="0"/>
    <xf numFmtId="0" fontId="0" fillId="7" borderId="54" pivotButton="0" quotePrefix="0" xfId="0"/>
    <xf numFmtId="0" fontId="0" fillId="8" borderId="54" pivotButton="0" quotePrefix="0" xfId="0"/>
    <xf numFmtId="0" fontId="0" fillId="9" borderId="54" pivotButton="0" quotePrefix="0" xfId="0"/>
    <xf numFmtId="0" fontId="0" fillId="10" borderId="54" pivotButton="0" quotePrefix="0" xfId="0"/>
    <xf numFmtId="0" fontId="0" fillId="15" borderId="54" pivotButton="0" quotePrefix="0" xfId="0"/>
    <xf numFmtId="0" fontId="10" fillId="11" borderId="0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ont>
        <name val="Arial"/>
        <b val="1"/>
        <color rgb="00DC2626"/>
      </font>
    </dxf>
    <dxf>
      <fill>
        <patternFill patternType="solid">
          <fgColor rgb="00FEF2F2"/>
          <bgColor rgb="00FEF2F2"/>
        </patternFill>
      </fill>
    </dxf>
    <dxf>
      <font>
        <name val="Arial"/>
        <b val="1"/>
        <color rgb="00DC2626"/>
      </font>
      <fill>
        <patternFill patternType="solid">
          <fgColor rgb="00FEF2F2"/>
          <bgColor rgb="00FE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לאן הלך הכסף החודש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5966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7C3AED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EA580C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DC2626"/>
              </a:solidFill>
              <a:ln>
                <a:solidFill>
                  <a:srgbClr val="FFFFFF"/>
                </a:solidFill>
                <a:prstDash val="solid"/>
              </a:ln>
            </spPr>
          </dPt>
          <cat>
            <numRef>
              <f>'📊 תמונת מצב'!$B$18:$B$21</f>
            </numRef>
          </cat>
          <val>
            <numRef>
              <f>'📊 תמונת מצב'!$D$18:$D$21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תקציב מול בפועל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תמונת מצב'!C16</f>
            </strRef>
          </tx>
          <spPr>
            <a:solidFill>
              <a:srgbClr val="CBD5E1"/>
            </a:solidFill>
            <a:ln>
              <a:noFill/>
              <a:prstDash val="solid"/>
            </a:ln>
          </spPr>
          <cat>
            <numRef>
              <f>'📊 תמונת מצב'!$B$17:$B$21</f>
            </numRef>
          </cat>
          <val>
            <numRef>
              <f>'📊 תמונת מצב'!$C$17:$C$21</f>
            </numRef>
          </val>
        </ser>
        <ser>
          <idx val="1"/>
          <order val="1"/>
          <tx>
            <strRef>
              <f>'📊 תמונת מצב'!D16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cat>
            <numRef>
              <f>'📊 תמונת מצב'!$B$17:$B$21</f>
            </numRef>
          </cat>
          <val>
            <numRef>
              <f>'📊 תמונת מצב'!$D$17:$D$21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הכנסות מול הוצאות – כל השנה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מגמות'!C6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מגמות'!$C$7:$C$18</f>
            </numRef>
          </val>
        </ser>
        <ser>
          <idx val="1"/>
          <order val="1"/>
          <tx>
            <strRef>
              <f>'📈 מגמות'!G6</f>
            </strRef>
          </tx>
          <spPr>
            <a:solidFill>
              <a:srgbClr val="EA580C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מגמות'!$G$7:$G$18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הכנסות, הוצאות וחיסכון לפי חודש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מגמות'!C6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מגמות'!$C$7:$C$18</f>
            </numRef>
          </val>
        </ser>
        <ser>
          <idx val="1"/>
          <order val="1"/>
          <tx>
            <strRef>
              <f>'📈 מגמות'!G6</f>
            </strRef>
          </tx>
          <spPr>
            <a:solidFill>
              <a:srgbClr val="EA580C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מגמות'!$G$7:$G$18</f>
            </numRef>
          </val>
        </ser>
        <ser>
          <idx val="2"/>
          <order val="2"/>
          <tx>
            <strRef>
              <f>'📈 מגמות'!H6</f>
            </strRef>
          </tx>
          <spPr>
            <a:solidFill>
              <a:srgbClr val="059669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מגמות'!$H$7:$H$18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ממה מורכבות ההוצאות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'📈 מגמות'!D6</f>
            </strRef>
          </tx>
          <spPr>
            <a:solidFill>
              <a:srgbClr val="7C3AED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מגמות'!$D$7:$D$18</f>
            </numRef>
          </val>
        </ser>
        <ser>
          <idx val="1"/>
          <order val="1"/>
          <tx>
            <strRef>
              <f>'📈 מגמות'!E6</f>
            </strRef>
          </tx>
          <spPr>
            <a:solidFill>
              <a:srgbClr val="EA580C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מגמות'!$E$7:$E$18</f>
            </numRef>
          </val>
        </ser>
        <ser>
          <idx val="2"/>
          <order val="2"/>
          <tx>
            <strRef>
              <f>'📈 מגמות'!F6</f>
            </strRef>
          </tx>
          <spPr>
            <a:solidFill>
              <a:srgbClr val="DC2626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מגמות'!$F$7:$F$18</f>
            </numRef>
          </val>
        </ser>
        <gapWidth val="5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חיסכון מצטבר מתחילת השנה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מגמות'!K6</f>
            </strRef>
          </tx>
          <spPr>
            <a:solidFill>
              <a:srgbClr val="059669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מגמות'!$K$7:$K$18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נשאר בעו"ש בכל חודש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מגמות'!I6</f>
            </strRef>
          </tx>
          <spPr>
            <a:solidFill>
              <a:srgbClr val="1E293B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מגמות'!$I$7:$I$18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יעד מול נחסך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'🎯 יעדים'!C6</f>
            </strRef>
          </tx>
          <spPr>
            <a:solidFill>
              <a:srgbClr val="D1FAE5"/>
            </a:solidFill>
            <a:ln>
              <a:noFill/>
              <a:prstDash val="solid"/>
            </a:ln>
          </spPr>
          <cat>
            <numRef>
              <f>'🎯 יעדים'!$B$7:$B$11</f>
            </numRef>
          </cat>
          <val>
            <numRef>
              <f>'🎯 יעדים'!$C$7:$C$11</f>
            </numRef>
          </val>
        </ser>
        <ser>
          <idx val="1"/>
          <order val="1"/>
          <tx>
            <strRef>
              <f>'🎯 יעדים'!G6</f>
            </strRef>
          </tx>
          <spPr>
            <a:solidFill>
              <a:srgbClr val="059669"/>
            </a:solidFill>
            <a:ln>
              <a:noFill/>
              <a:prstDash val="solid"/>
            </a:ln>
          </spPr>
          <cat>
            <numRef>
              <f>'🎯 יעדים'!$B$7:$B$11</f>
            </numRef>
          </cat>
          <val>
            <numRef>
              <f>'🎯 יעדים'!$G$7:$G$11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שולם מול נותר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'🎯 יעדים'!E16</f>
            </strRef>
          </tx>
          <spPr>
            <a:solidFill>
              <a:srgbClr val="059669"/>
            </a:solidFill>
            <a:ln>
              <a:noFill/>
              <a:prstDash val="solid"/>
            </a:ln>
          </spPr>
          <cat>
            <numRef>
              <f>'🎯 יעדים'!$B$17:$B$20</f>
            </numRef>
          </cat>
          <val>
            <numRef>
              <f>'🎯 יעדים'!$E$17:$E$20</f>
            </numRef>
          </val>
        </ser>
        <ser>
          <idx val="1"/>
          <order val="1"/>
          <tx>
            <strRef>
              <f>'🎯 יעדים'!F16</f>
            </strRef>
          </tx>
          <spPr>
            <a:solidFill>
              <a:srgbClr val="FCA5A5"/>
            </a:solidFill>
            <a:ln>
              <a:noFill/>
              <a:prstDash val="solid"/>
            </a:ln>
          </spPr>
          <cat>
            <numRef>
              <f>'🎯 יעדים'!$B$17:$B$20</f>
            </numRef>
          </cat>
          <val>
            <numRef>
              <f>'🎯 יעדים'!$F$17:$F$20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23</row>
      <rowOff>0</rowOff>
    </from>
    <to>
      <col>13</col>
      <colOff>0</colOff>
      <row>38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39</row>
      <rowOff>0</rowOff>
    </from>
    <to>
      <col>7</col>
      <colOff>0</colOff>
      <row>55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8</col>
      <colOff>0</colOff>
      <row>39</row>
      <rowOff>0</rowOff>
    </from>
    <to>
      <col>13</col>
      <colOff>0</colOff>
      <row>55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21</row>
      <rowOff>0</rowOff>
    </from>
    <to>
      <col>7</col>
      <colOff>0</colOff>
      <row>38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21</row>
      <rowOff>0</rowOff>
    </from>
    <to>
      <col>15</col>
      <colOff>0</colOff>
      <row>38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0</colOff>
      <row>39</row>
      <rowOff>0</rowOff>
    </from>
    <to>
      <col>7</col>
      <colOff>0</colOff>
      <row>56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8</col>
      <colOff>0</colOff>
      <row>39</row>
      <rowOff>0</rowOff>
    </from>
    <to>
      <col>15</col>
      <colOff>0</colOff>
      <row>56</row>
      <rowOff>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23</row>
      <rowOff>0</rowOff>
    </from>
    <to>
      <col>5</col>
      <colOff>0</colOff>
      <row>40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6</col>
      <colOff>0</colOff>
      <row>23</row>
      <rowOff>0</rowOff>
    </from>
    <to>
      <col>11</col>
      <colOff>0</colOff>
      <row>40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E293B"/>
    <outlinePr summaryBelow="1" summaryRight="1"/>
    <pageSetUpPr fitToPage="1"/>
  </sheetPr>
  <dimension ref="A1:AC75"/>
  <sheetViews>
    <sheetView showGridLines="0" rightToLeft="1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2" customWidth="1" min="14" max="14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Y1">
        <f>IF(OR($C$5="",$C$5="אוטומטי – החודש האחרון שמולא"),MAX(1,Y2),IFERROR(MATCH($C$5,$X$3:$X$14,0),MAX(1,Y2)))</f>
        <v/>
      </c>
    </row>
    <row r="2" ht="44" customHeight="1">
      <c r="A2" s="1" t="n"/>
      <c r="B2" s="2" t="inlineStr">
        <is>
          <t>📊 תמונת מצב פיננסית</t>
        </is>
      </c>
      <c r="N2" s="1" t="n"/>
      <c r="Y2">
        <f>MAX('📥 הזנה חודשית'!$C$58:$N$58)</f>
        <v/>
      </c>
    </row>
    <row r="3" ht="22" customHeight="1">
      <c r="A3" s="1" t="n"/>
      <c r="B3" s="3">
        <f>IF($Y$2=0,"👋 ברוכים הבאים! מלאו את החודש הראשון בלשונית '📥 הזנה חודשית' והלוח יתעורר לחיים","מציג את "&amp;$Y$3&amp;" "&amp;'📥 הזנה חודשית'!$B$3&amp;"  •  מולאו "&amp;COUNTIF('📥 הזנה חודשית'!$C$58:$N$58,"&gt;0")&amp;" מתוך 12 חודשים")</f>
        <v/>
      </c>
      <c r="N3" s="1" t="n"/>
      <c r="X3" t="inlineStr">
        <is>
          <t>ינואר</t>
        </is>
      </c>
      <c r="Y3">
        <f>INDEX($X$3:$X$14,$Y$1)</f>
        <v/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X4" t="inlineStr">
        <is>
          <t>פברואר</t>
        </is>
      </c>
      <c r="Y4">
        <f>IF($Y$1=1,"",INDEX($X$3:$X$14,$Y$1-1))</f>
        <v/>
      </c>
    </row>
    <row r="5" ht="26" customHeight="1">
      <c r="A5" s="1" t="n"/>
      <c r="B5" s="4" t="inlineStr">
        <is>
          <t>📅 חודש לתצוגה</t>
        </is>
      </c>
      <c r="C5" s="5" t="inlineStr">
        <is>
          <t>אוטומטי – החודש האחרון שמולא</t>
        </is>
      </c>
      <c r="D5" s="6" t="n"/>
      <c r="E5" s="7" t="n"/>
      <c r="F5" s="8" t="inlineStr">
        <is>
          <t>← לחצו כדי לבחור חודש. במצב 'אוטומטי' הלוח מציג תמיד את החודש האחרון שמילאתם.</t>
        </is>
      </c>
      <c r="N5" s="1" t="n"/>
      <c r="X5" t="inlineStr">
        <is>
          <t>מרץ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X6" t="inlineStr">
        <is>
          <t>אפריל</t>
        </is>
      </c>
    </row>
    <row r="7" ht="24" customHeight="1">
      <c r="A7" s="1" t="n"/>
      <c r="B7" s="9" t="inlineStr">
        <is>
          <t>💰 הכנסות החודש</t>
        </is>
      </c>
      <c r="C7" s="10" t="n"/>
      <c r="D7" s="11" t="n"/>
      <c r="E7" s="12" t="inlineStr">
        <is>
          <t>🧾 הוצאות החודש</t>
        </is>
      </c>
      <c r="F7" s="13" t="n"/>
      <c r="G7" s="14" t="n"/>
      <c r="H7" s="15" t="inlineStr">
        <is>
          <t>🐷 הופקד לחיסכון</t>
        </is>
      </c>
      <c r="I7" s="16" t="n"/>
      <c r="J7" s="17" t="n"/>
      <c r="K7" s="18" t="inlineStr">
        <is>
          <t>🏦 נשאר בעו"ש</t>
        </is>
      </c>
      <c r="L7" s="19" t="n"/>
      <c r="M7" s="20" t="n"/>
      <c r="N7" s="1" t="n"/>
      <c r="X7" t="inlineStr">
        <is>
          <t>מאי</t>
        </is>
      </c>
    </row>
    <row r="8" ht="36" customHeight="1">
      <c r="A8" s="1" t="n"/>
      <c r="B8" s="21">
        <f>INDEX('📥 הזנה חודשית'!$C$53:$N$53,$Y$1)</f>
        <v/>
      </c>
      <c r="D8" s="22" t="n"/>
      <c r="E8" s="21">
        <f>INDEX('📥 הזנה חודשית'!$C$54:$N$54,$Y$1)</f>
        <v/>
      </c>
      <c r="G8" s="22" t="n"/>
      <c r="H8" s="21">
        <f>INDEX('📥 הזנה חודשית'!$C$55:$N$55,$Y$1)</f>
        <v/>
      </c>
      <c r="J8" s="22" t="n"/>
      <c r="K8" s="21">
        <f>INDEX('📥 הזנה חודשית'!$C$56:$N$56,$Y$1)</f>
        <v/>
      </c>
      <c r="M8" s="22" t="n"/>
      <c r="N8" s="1" t="n"/>
      <c r="X8" t="inlineStr">
        <is>
          <t>יוני</t>
        </is>
      </c>
    </row>
    <row r="9" ht="22" customHeight="1">
      <c r="A9" s="1" t="n"/>
      <c r="B9" s="23">
        <f>IF($Y$2=0,"—",IF('📥 הזנה חודשית'!$B$53=0,"",IF(INDEX('📥 הזנה חודשית'!$C$53:$N$53,$Y$1)&gt;='📥 הזנה חודשית'!$B$53,"✅ ","⏳ ")&amp;"תכנון: "&amp;"₪"&amp;TEXT('📥 הזנה חודשית'!$B$53,"#,##0")))</f>
        <v/>
      </c>
      <c r="C9" s="24" t="n"/>
      <c r="D9" s="25" t="n"/>
      <c r="E9" s="23">
        <f>IF($Y$2=0,"—",IF('📥 הזנה חודשית'!$B$54=0,"",IF(INDEX('📥 הזנה חודשית'!$C$54:$N$54,$Y$1)&lt;='📥 הזנה חודשית'!$B$54,"✅ "&amp;"₪"&amp;TEXT('📥 הזנה חודשית'!$B$54-INDEX('📥 הזנה חודשית'!$C$54:$N$54,$Y$1),"#,##0")&amp;" מתחת לתקציב","⚠️ "&amp;"₪"&amp;TEXT(INDEX('📥 הזנה חודשית'!$C$54:$N$54,$Y$1)-'📥 הזנה חודשית'!$B$54,"#,##0")&amp;" מעל התקציב")))</f>
        <v/>
      </c>
      <c r="F9" s="24" t="n"/>
      <c r="G9" s="25" t="n"/>
      <c r="H9" s="23">
        <f>IF($Y$2=0,"—",IF('📥 הזנה חודשית'!$B$55=0,"",IF(INDEX('📥 הזנה חודשית'!$C$55:$N$55,$Y$1)&gt;='📥 הזנה חודשית'!$B$55,"✅ עמדת ביעד ","⏳ יעד: ")&amp;"₪"&amp;TEXT('📥 הזנה חודשית'!$B$55,"#,##0")))</f>
        <v/>
      </c>
      <c r="I9" s="24" t="n"/>
      <c r="J9" s="25" t="n"/>
      <c r="K9" s="23">
        <f>IF($Y$2=0,"—",IF($Y$1=1,"החודש הראשון בשנה",IF(INDEX('📥 הזנה חודשית'!$C$56:$N$56,$Y$1)&gt;=IF($Y$1=1,0,INDEX('📥 הזנה חודשית'!$C$56:$N$56,$Y$1-1)),"▲ ","▼ ")&amp;"₪"&amp;TEXT(ABS(INDEX('📥 הזנה חודשית'!$C$56:$N$56,$Y$1)-IF($Y$1=1,0,INDEX('📥 הזנה חודשית'!$C$56:$N$56,$Y$1-1))),"#,##0")&amp;" לעומת "&amp;$Y$4))</f>
        <v/>
      </c>
      <c r="L9" s="24" t="n"/>
      <c r="M9" s="25" t="n"/>
      <c r="N9" s="1" t="n"/>
      <c r="X9" t="inlineStr">
        <is>
          <t>יולי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X10" t="inlineStr">
        <is>
          <t>אוגוסט</t>
        </is>
      </c>
      <c r="Z10">
        <f>SUMPRODUCT(('📥 הזנה חודשית'!$C$4:$N$4&lt;=$Y$1)*'📥 הזנה חודשית'!$C$53:$N$53)</f>
        <v/>
      </c>
    </row>
    <row r="11" ht="24" customHeight="1">
      <c r="A11" s="1" t="n"/>
      <c r="B11" s="9" t="inlineStr">
        <is>
          <t>📅 הכנסות מתחילת השנה</t>
        </is>
      </c>
      <c r="C11" s="10" t="n"/>
      <c r="D11" s="11" t="n"/>
      <c r="E11" s="12" t="inlineStr">
        <is>
          <t>📅 הוצאות מתחילת השנה</t>
        </is>
      </c>
      <c r="F11" s="13" t="n"/>
      <c r="G11" s="14" t="n"/>
      <c r="H11" s="15" t="inlineStr">
        <is>
          <t>📅 נחסך מתחילת השנה</t>
        </is>
      </c>
      <c r="I11" s="16" t="n"/>
      <c r="J11" s="17" t="n"/>
      <c r="K11" s="18" t="inlineStr">
        <is>
          <t>🎯 שיעור חיסכון שנתי</t>
        </is>
      </c>
      <c r="L11" s="19" t="n"/>
      <c r="M11" s="20" t="n"/>
      <c r="N11" s="1" t="n"/>
      <c r="X11" t="inlineStr">
        <is>
          <t>ספטמבר</t>
        </is>
      </c>
      <c r="Z11">
        <f>SUMPRODUCT(('📥 הזנה חודשית'!$C$4:$N$4&lt;=$Y$1)*'📥 הזנה חודשית'!$C$54:$N$54)</f>
        <v/>
      </c>
    </row>
    <row r="12" ht="36" customHeight="1">
      <c r="A12" s="1" t="n"/>
      <c r="B12" s="21">
        <f>$Z$10</f>
        <v/>
      </c>
      <c r="D12" s="22" t="n"/>
      <c r="E12" s="21">
        <f>$Z$11</f>
        <v/>
      </c>
      <c r="G12" s="22" t="n"/>
      <c r="H12" s="21">
        <f>$Z$12</f>
        <v/>
      </c>
      <c r="J12" s="22" t="n"/>
      <c r="K12" s="26">
        <f>IF($Z$10=0,0,$Z$12/$Z$10)</f>
        <v/>
      </c>
      <c r="M12" s="22" t="n"/>
      <c r="N12" s="1" t="n"/>
      <c r="X12" t="inlineStr">
        <is>
          <t>אוקטובר</t>
        </is>
      </c>
      <c r="Z12">
        <f>SUMPRODUCT(('📥 הזנה חודשית'!$C$4:$N$4&lt;=$Y$1)*'📥 הזנה חודשית'!$C$55:$N$55)</f>
        <v/>
      </c>
    </row>
    <row r="13" ht="22" customHeight="1">
      <c r="A13" s="1" t="n"/>
      <c r="B13" s="23">
        <f>IF($Y$2=0,"—","ממוצע לחודש: "&amp;"₪"&amp;TEXT($Z$10/$Y$1,"#,##0"))</f>
        <v/>
      </c>
      <c r="C13" s="24" t="n"/>
      <c r="D13" s="25" t="n"/>
      <c r="E13" s="23">
        <f>IF($Y$2=0,"—","ממוצע לחודש: "&amp;"₪"&amp;TEXT($Z$11/$Y$1,"#,##0"))</f>
        <v/>
      </c>
      <c r="F13" s="24" t="n"/>
      <c r="G13" s="25" t="n"/>
      <c r="H13" s="23">
        <f>IF($Y$2=0,"—","בקצב הזה: כ-"&amp;"₪"&amp;TEXT($Z$12/$Y$1*12,"#,##0")&amp;" עד סוף השנה")</f>
        <v/>
      </c>
      <c r="I13" s="24" t="n"/>
      <c r="J13" s="25" t="n"/>
      <c r="K13" s="23">
        <f>IF($Y$2=0,"—",IF($Z$10=0,"",IF($Z$12/$Z$10&gt;=0.2,"מצוין! מעל היעד המומלץ (20%) 🎉",IF($Z$12/$Z$10&gt;=0.1,"טוב – היעד המומלץ הוא 20%","כדאי לשאוף ל-10%–20% מההכנסה"))))</f>
        <v/>
      </c>
      <c r="L13" s="24" t="n"/>
      <c r="M13" s="25" t="n"/>
      <c r="N13" s="1" t="n"/>
      <c r="X13" t="inlineStr">
        <is>
          <t>נובמבר</t>
        </is>
      </c>
      <c r="Z13">
        <f>SUMPRODUCT(('📥 הזנה חודשית'!$C$4:$N$4&lt;=$Y$1)*'📥 הזנה חודשית'!$C$56:$N$56)</f>
        <v/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X14" t="inlineStr">
        <is>
          <t>דצמבר</t>
        </is>
      </c>
    </row>
    <row r="15" ht="26" customHeight="1">
      <c r="A15" s="1" t="n"/>
      <c r="B15" s="27" t="inlineStr">
        <is>
          <t>⚖️ תקציב מול בפועל – החודש</t>
        </is>
      </c>
      <c r="C15" s="1" t="n"/>
      <c r="D15" s="1" t="n"/>
      <c r="E15" s="1" t="n"/>
      <c r="F15" s="1" t="n"/>
      <c r="G15" s="1" t="n"/>
      <c r="H15" s="27" t="inlineStr">
        <is>
          <t>💡 תובנות אוטומטיות</t>
        </is>
      </c>
      <c r="I15" s="1" t="n"/>
      <c r="J15" s="1" t="n"/>
      <c r="K15" s="1" t="n"/>
      <c r="L15" s="1" t="n"/>
      <c r="M15" s="1" t="n"/>
      <c r="N15" s="1" t="n"/>
    </row>
    <row r="16" ht="30" customHeight="1">
      <c r="A16" s="1" t="n"/>
      <c r="B16" s="28" t="inlineStr">
        <is>
          <t>סעיף</t>
        </is>
      </c>
      <c r="C16" s="28" t="inlineStr">
        <is>
          <t>תקציב</t>
        </is>
      </c>
      <c r="D16" s="28" t="inlineStr">
        <is>
          <t>בפועל</t>
        </is>
      </c>
      <c r="E16" s="28" t="inlineStr">
        <is>
          <t>הפרש</t>
        </is>
      </c>
      <c r="F16" s="28" t="inlineStr">
        <is>
          <t>ניצול</t>
        </is>
      </c>
      <c r="G16" s="28" t="inlineStr">
        <is>
          <t>סטטוס</t>
        </is>
      </c>
      <c r="H16" s="29" t="inlineStr">
        <is>
          <t>מה המספרים אומרים החודש</t>
        </is>
      </c>
      <c r="I16" s="30" t="n"/>
      <c r="J16" s="30" t="n"/>
      <c r="K16" s="30" t="n"/>
      <c r="L16" s="30" t="n"/>
      <c r="M16" s="30" t="n"/>
      <c r="N16" s="1" t="n"/>
    </row>
    <row r="17" ht="26" customHeight="1">
      <c r="A17" s="1" t="n"/>
      <c r="B17" s="31" t="inlineStr">
        <is>
          <t>הכנסות</t>
        </is>
      </c>
      <c r="C17" s="32">
        <f>'📥 הזנה חודשית'!$B$6</f>
        <v/>
      </c>
      <c r="D17" s="33">
        <f>INDEX('📥 הזנה חודשית'!$C$6:$N$6,$Y$1)</f>
        <v/>
      </c>
      <c r="E17" s="34">
        <f>IF($Y$2=0,"",D17-C17)</f>
        <v/>
      </c>
      <c r="F17" s="35">
        <f>IF(C17=0,"",REPT("█",ROUND(MAX(0,MIN(1,D17/C17))*8,0))&amp;REPT("░",8-ROUND(MAX(0,MIN(1,D17/C17))*8,0)))</f>
        <v/>
      </c>
      <c r="G17" s="36">
        <f>IF($Y$2=0,"",IF(C17=0,"",IF(D17&gt;=C17,"✅ הושג",TEXT(D17/C17,"0%")&amp;" מהיעד")))</f>
        <v/>
      </c>
      <c r="H17" s="37">
        <f>IF($Y$2=0,"👋 עוד לא הוזנו נתונים – פתחו את '📥 הזנה חודשית' ומלאו את העמודה של החודש.",IF(INDEX('📥 הזנה חודשית'!$C$53:$N$53,$Y$1)=0,"ℹ️ לא הוזנו הכנסות בחודש הזה.","🐷 החודש חסכתם "&amp;TEXT(INDEX('📥 הזנה חודשית'!$C$55:$N$55,$Y$1)/INDEX('📥 הזנה חודשית'!$C$53:$N$53,$Y$1),"0%")&amp;" מההכנסה"&amp;IF(INDEX('📥 הזנה חודשית'!$C$55:$N$55,$Y$1)/INDEX('📥 הזנה חודשית'!$C$53:$N$53,$Y$1)&gt;=0.2," – מצוין! 🎉",IF(INDEX('📥 הזנה חודשית'!$C$55:$N$55,$Y$1)/INDEX('📥 הזנה חודשית'!$C$53:$N$53,$Y$1)&gt;=0.1," – יפה, היעד המומלץ הוא 20% 👍"," – נסו להגדיל לפחות ל-10%"))))</f>
        <v/>
      </c>
      <c r="I17" s="38" t="n"/>
      <c r="J17" s="38" t="n"/>
      <c r="K17" s="38" t="n"/>
      <c r="L17" s="38" t="n"/>
      <c r="M17" s="38" t="n"/>
      <c r="N17" s="1" t="n"/>
    </row>
    <row r="18" ht="26" customHeight="1">
      <c r="A18" s="1" t="n"/>
      <c r="B18" s="39" t="inlineStr">
        <is>
          <t>חיסכון</t>
        </is>
      </c>
      <c r="C18" s="32">
        <f>'📥 הזנה חודשית'!$B$14</f>
        <v/>
      </c>
      <c r="D18" s="33">
        <f>INDEX('📥 הזנה חודשית'!$C$14:$N$14,$Y$1)</f>
        <v/>
      </c>
      <c r="E18" s="34">
        <f>IF($Y$2=0,"",D18-C18)</f>
        <v/>
      </c>
      <c r="F18" s="40">
        <f>IF(C18=0,"",REPT("█",ROUND(MAX(0,MIN(1,D18/C18))*8,0))&amp;REPT("░",8-ROUND(MAX(0,MIN(1,D18/C18))*8,0)))</f>
        <v/>
      </c>
      <c r="G18" s="36">
        <f>IF($Y$2=0,"",IF(C18=0,"",IF(D18&gt;=C18,"✅ הושג",TEXT(D18/C18,"0%")&amp;" מהיעד")))</f>
        <v/>
      </c>
      <c r="H18" s="37">
        <f>IF($Y$2=0,"",IF(SUMPRODUCT(($AB$20:$AB$44&gt;$AA$20:$AA$44)*($AA$20:$AA$44&gt;0))=0,"✅ כל קטגוריות ההוצאה עמדו בתקציב החודש – כל הכבוד!","⚠️ "&amp;SUMPRODUCT(($AB$20:$AB$44&gt;$AA$20:$AA$44)*($AA$20:$AA$44&gt;0))&amp;" קטגוריות חרגו מהתקציב החודש (מסומנות באדום בלשונית ההזנה)"))</f>
        <v/>
      </c>
      <c r="I18" s="38" t="n"/>
      <c r="J18" s="38" t="n"/>
      <c r="K18" s="38" t="n"/>
      <c r="L18" s="38" t="n"/>
      <c r="M18" s="38" t="n"/>
      <c r="N18" s="1" t="n"/>
    </row>
    <row r="19" ht="26" customHeight="1">
      <c r="A19" s="1" t="n"/>
      <c r="B19" s="41" t="inlineStr">
        <is>
          <t>חשבונות ומנויים</t>
        </is>
      </c>
      <c r="C19" s="32">
        <f>'📥 הזנה חודשית'!$B$21</f>
        <v/>
      </c>
      <c r="D19" s="33">
        <f>INDEX('📥 הזנה חודשית'!$C$21:$N$21,$Y$1)</f>
        <v/>
      </c>
      <c r="E19" s="34">
        <f>IF($Y$2=0,"",C19-D19)</f>
        <v/>
      </c>
      <c r="F19" s="42">
        <f>IF(C19=0,"",REPT("█",ROUND(MAX(0,MIN(1,D19/C19))*8,0))&amp;REPT("░",8-ROUND(MAX(0,MIN(1,D19/C19))*8,0)))</f>
        <v/>
      </c>
      <c r="G19" s="36">
        <f>IF($Y$2=0,"",IF(C19=0,"",IF(D19&lt;=C19,"✅ בתקציב","🔴 חריגה")))</f>
        <v/>
      </c>
      <c r="H19" s="37">
        <f>IF(C27="","","💸 ההוצאה הגדולה ביותר: "&amp;C27&amp;" – "&amp;"₪"&amp;TEXT(E27,"#,##0")&amp;" ("&amp;TEXT(F27,"0%")&amp;" מכלל ההוצאות)")</f>
        <v/>
      </c>
      <c r="I19" s="38" t="n"/>
      <c r="J19" s="38" t="n"/>
      <c r="K19" s="38" t="n"/>
      <c r="L19" s="38" t="n"/>
      <c r="M19" s="38" t="n"/>
      <c r="N19" s="1" t="n"/>
    </row>
    <row r="20" ht="26" customHeight="1">
      <c r="A20" s="1" t="n"/>
      <c r="B20" s="43" t="inlineStr">
        <is>
          <t>הוצאות משתנות</t>
        </is>
      </c>
      <c r="C20" s="32">
        <f>'📥 הזנה חודשית'!$B$33</f>
        <v/>
      </c>
      <c r="D20" s="33">
        <f>INDEX('📥 הזנה חודשית'!$C$33:$N$33,$Y$1)</f>
        <v/>
      </c>
      <c r="E20" s="34">
        <f>IF($Y$2=0,"",C20-D20)</f>
        <v/>
      </c>
      <c r="F20" s="44">
        <f>IF(C20=0,"",REPT("█",ROUND(MAX(0,MIN(1,D20/C20))*8,0))&amp;REPT("░",8-ROUND(MAX(0,MIN(1,D20/C20))*8,0)))</f>
        <v/>
      </c>
      <c r="G20" s="36">
        <f>IF($Y$2=0,"",IF(C20=0,"",IF(D20&lt;=C20,"✅ בתקציב","🔴 חריגה")))</f>
        <v/>
      </c>
      <c r="H20" s="37">
        <f>IF(OR($Y$1=1,$Y$2=0,IF($Y$1=1,0,INDEX('📥 הזנה חודשית'!$C$54:$N$54,$Y$1-1))=0),"",IF(INDEX('📥 הזנה חודשית'!$C$54:$N$54,$Y$1)&gt;IF($Y$1=1,0,INDEX('📥 הזנה חודשית'!$C$54:$N$54,$Y$1-1)),"📈 ההוצאות עלו ב-","📉 ההוצאות ירדו ב-")&amp;TEXT(ABS(INDEX('📥 הזנה חודשית'!$C$54:$N$54,$Y$1)/IF($Y$1=1,0,INDEX('📥 הזנה חודשית'!$C$54:$N$54,$Y$1-1))-1),"0%")&amp;" לעומת "&amp;$Y$4)</f>
        <v/>
      </c>
      <c r="I20" s="38" t="n"/>
      <c r="J20" s="38" t="n"/>
      <c r="K20" s="38" t="n"/>
      <c r="L20" s="38" t="n"/>
      <c r="M20" s="38" t="n"/>
      <c r="N20" s="1" t="n"/>
      <c r="Z20">
        <f>'📥 הזנה חודשית'!$A$22&amp;""</f>
        <v/>
      </c>
      <c r="AA20">
        <f>N('📥 הזנה חודשית'!$B$22)</f>
        <v/>
      </c>
      <c r="AB20">
        <f>N(INDEX('📥 הזנה חודשית'!$C$22:$N$22,$Y$1))</f>
        <v/>
      </c>
      <c r="AC20">
        <f>IF(AND(Z20&lt;&gt;"",AB20&gt;0),AB20+ROW()/1000000,0)</f>
        <v/>
      </c>
    </row>
    <row r="21" ht="26" customHeight="1">
      <c r="A21" s="1" t="n"/>
      <c r="B21" s="45" t="inlineStr">
        <is>
          <t>חובות</t>
        </is>
      </c>
      <c r="C21" s="32">
        <f>'📥 הזנה חודשית'!$B$46</f>
        <v/>
      </c>
      <c r="D21" s="33">
        <f>INDEX('📥 הזנה חודשית'!$C$46:$N$46,$Y$1)</f>
        <v/>
      </c>
      <c r="E21" s="34">
        <f>IF($Y$2=0,"",C21-D21)</f>
        <v/>
      </c>
      <c r="F21" s="46">
        <f>IF(C21=0,"",REPT("█",ROUND(MAX(0,MIN(1,D21/C21))*8,0))&amp;REPT("░",8-ROUND(MAX(0,MIN(1,D21/C21))*8,0)))</f>
        <v/>
      </c>
      <c r="G21" s="36">
        <f>IF($Y$2=0,"",IF(C21=0,"",IF(D21&lt;=C21,"✅ בתקציב","🔴 חריגה")))</f>
        <v/>
      </c>
      <c r="H21" s="37">
        <f>IF($Y$2=0,"","🔮 תחזית לסוף השנה (לפי הקצב עד עכשיו): הכנסות "&amp;"₪"&amp;TEXT($Z$10/$Y$1*12,"#,##0")&amp;" • חיסכון "&amp;"₪"&amp;TEXT($Z$12/$Y$1*12,"#,##0"))</f>
        <v/>
      </c>
      <c r="I21" s="38" t="n"/>
      <c r="J21" s="38" t="n"/>
      <c r="K21" s="38" t="n"/>
      <c r="L21" s="38" t="n"/>
      <c r="M21" s="38" t="n"/>
      <c r="N21" s="1" t="n"/>
      <c r="Z21">
        <f>'📥 הזנה חודשית'!$A$23&amp;""</f>
        <v/>
      </c>
      <c r="AA21">
        <f>N('📥 הזנה חודשית'!$B$23)</f>
        <v/>
      </c>
      <c r="AB21">
        <f>N(INDEX('📥 הזנה חודשית'!$C$23:$N$23,$Y$1))</f>
        <v/>
      </c>
      <c r="AC21">
        <f>IF(AND(Z21&lt;&gt;"",AB21&gt;0),AB21+ROW()/1000000,0)</f>
        <v/>
      </c>
    </row>
    <row r="22" ht="26" customHeight="1">
      <c r="A22" s="1" t="n"/>
      <c r="B22" s="29" t="inlineStr">
        <is>
          <t>🏦 נשאר בעו"ש</t>
        </is>
      </c>
      <c r="C22" s="47">
        <f>'📥 הזנה חודשית'!$B$56</f>
        <v/>
      </c>
      <c r="D22" s="47">
        <f>INDEX('📥 הזנה חודשית'!$C$56:$N$56,$Y$1)</f>
        <v/>
      </c>
      <c r="E22" s="48">
        <f>D22-C22</f>
        <v/>
      </c>
      <c r="F22" s="30" t="n"/>
      <c r="G22" s="30" t="n"/>
      <c r="H22" s="1" t="n"/>
      <c r="I22" s="1" t="n"/>
      <c r="J22" s="1" t="n"/>
      <c r="K22" s="1" t="n"/>
      <c r="L22" s="1" t="n"/>
      <c r="M22" s="1" t="n"/>
      <c r="N22" s="1" t="n"/>
      <c r="Z22">
        <f>'📥 הזנה חודשית'!$A$24&amp;""</f>
        <v/>
      </c>
      <c r="AA22">
        <f>N('📥 הזנה חודשית'!$B$24)</f>
        <v/>
      </c>
      <c r="AB22">
        <f>N(INDEX('📥 הזנה חודשית'!$C$24:$N$24,$Y$1))</f>
        <v/>
      </c>
      <c r="AC22">
        <f>IF(AND(Z22&lt;&gt;"",AB22&gt;0),AB22+ROW()/1000000,0)</f>
        <v/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Z23">
        <f>'📥 הזנה חודשית'!$A$25&amp;""</f>
        <v/>
      </c>
      <c r="AA23">
        <f>N('📥 הזנה חודשית'!$B$25)</f>
        <v/>
      </c>
      <c r="AB23">
        <f>N(INDEX('📥 הזנה חודשית'!$C$25:$N$25,$Y$1))</f>
        <v/>
      </c>
      <c r="AC23">
        <f>IF(AND(Z23&lt;&gt;"",AB23&gt;0),AB23+ROW()/1000000,0)</f>
        <v/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Z24">
        <f>'📥 הזנה חודשית'!$A$26&amp;""</f>
        <v/>
      </c>
      <c r="AA24">
        <f>N('📥 הזנה חודשית'!$B$26)</f>
        <v/>
      </c>
      <c r="AB24">
        <f>N(INDEX('📥 הזנה חודשית'!$C$26:$N$26,$Y$1))</f>
        <v/>
      </c>
      <c r="AC24">
        <f>IF(AND(Z24&lt;&gt;"",AB24&gt;0),AB24+ROW()/1000000,0)</f>
        <v/>
      </c>
    </row>
    <row r="25" ht="26" customHeight="1">
      <c r="A25" s="1" t="n"/>
      <c r="B25" s="27" t="inlineStr">
        <is>
          <t>🏆 5 ההוצאות הגדולות של החודש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Z25">
        <f>'📥 הזנה חודשית'!$A$27&amp;""</f>
        <v/>
      </c>
      <c r="AA25">
        <f>N('📥 הזנה חודשית'!$B$27)</f>
        <v/>
      </c>
      <c r="AB25">
        <f>N(INDEX('📥 הזנה חודשית'!$C$27:$N$27,$Y$1))</f>
        <v/>
      </c>
      <c r="AC25">
        <f>IF(AND(Z25&lt;&gt;"",AB25&gt;0),AB25+ROW()/1000000,0)</f>
        <v/>
      </c>
    </row>
    <row r="26" ht="30" customHeight="1">
      <c r="A26" s="1" t="n"/>
      <c r="B26" s="28" t="inlineStr">
        <is>
          <t>#</t>
        </is>
      </c>
      <c r="C26" s="28" t="inlineStr">
        <is>
          <t>קטגוריה</t>
        </is>
      </c>
      <c r="D26" s="49" t="n"/>
      <c r="E26" s="28" t="inlineStr">
        <is>
          <t>סכום</t>
        </is>
      </c>
      <c r="F26" s="28" t="inlineStr">
        <is>
          <t>% מההוצאות</t>
        </is>
      </c>
      <c r="G26" s="28" t="inlineStr">
        <is>
          <t>מול תקציב</t>
        </is>
      </c>
      <c r="H26" s="1" t="n"/>
      <c r="I26" s="1" t="n"/>
      <c r="J26" s="1" t="n"/>
      <c r="K26" s="1" t="n"/>
      <c r="L26" s="1" t="n"/>
      <c r="M26" s="1" t="n"/>
      <c r="N26" s="1" t="n"/>
      <c r="Z26">
        <f>'📥 הזנה חודשית'!$A$28&amp;""</f>
        <v/>
      </c>
      <c r="AA26">
        <f>N('📥 הזנה חודשית'!$B$28)</f>
        <v/>
      </c>
      <c r="AB26">
        <f>N(INDEX('📥 הזנה חודשית'!$C$28:$N$28,$Y$1))</f>
        <v/>
      </c>
      <c r="AC26">
        <f>IF(AND(Z26&lt;&gt;"",AB26&gt;0),AB26+ROW()/1000000,0)</f>
        <v/>
      </c>
    </row>
    <row r="27" ht="24" customHeight="1">
      <c r="A27" s="1" t="n"/>
      <c r="B27" s="50" t="inlineStr">
        <is>
          <t>🥇</t>
        </is>
      </c>
      <c r="C27" s="51">
        <f>IF(LARGE($AC$20:$AC$44,1)&lt;=0,"",INDEX($Z$20:$Z$44,MATCH(LARGE($AC$20:$AC$44,1),$AC$20:$AC$44,0)))</f>
        <v/>
      </c>
      <c r="D27" s="38" t="n"/>
      <c r="E27" s="33">
        <f>IF(LARGE($AC$20:$AC$44,1)&lt;=0,"",INDEX($AB$20:$AB$44,MATCH(LARGE($AC$20:$AC$44,1),$AC$20:$AC$44,0)))</f>
        <v/>
      </c>
      <c r="F27" s="52">
        <f>IF(OR(E27="",N(D19)+N(D20)+N(D21)=0),"",E27/(D19+D20+D21))</f>
        <v/>
      </c>
      <c r="G27" s="53">
        <f>IF(E27="","",IF(INDEX($AA$20:$AA$44,MATCH(LARGE($AC$20:$AC$44,1),$AC$20:$AC$44,0))=0,"—",IF(E27&lt;=INDEX($AA$20:$AA$44,MATCH(LARGE($AC$20:$AC$44,1),$AC$20:$AC$44,0)),"✅ בתקציב","🔴 +"&amp;TEXT(E27-INDEX($AA$20:$AA$44,MATCH(LARGE($AC$20:$AC$44,1),$AC$20:$AC$44,0)),"#,##0"))))</f>
        <v/>
      </c>
      <c r="H27" s="1" t="n"/>
      <c r="I27" s="1" t="n"/>
      <c r="J27" s="1" t="n"/>
      <c r="K27" s="1" t="n"/>
      <c r="L27" s="1" t="n"/>
      <c r="M27" s="1" t="n"/>
      <c r="N27" s="1" t="n"/>
      <c r="Z27">
        <f>'📥 הזנה חודשית'!$A$29&amp;""</f>
        <v/>
      </c>
      <c r="AA27">
        <f>N('📥 הזנה חודשית'!$B$29)</f>
        <v/>
      </c>
      <c r="AB27">
        <f>N(INDEX('📥 הזנה חודשית'!$C$29:$N$29,$Y$1))</f>
        <v/>
      </c>
      <c r="AC27">
        <f>IF(AND(Z27&lt;&gt;"",AB27&gt;0),AB27+ROW()/1000000,0)</f>
        <v/>
      </c>
    </row>
    <row r="28" ht="24" customHeight="1">
      <c r="A28" s="1" t="n"/>
      <c r="B28" s="50" t="inlineStr">
        <is>
          <t>🥈</t>
        </is>
      </c>
      <c r="C28" s="51">
        <f>IF(LARGE($AC$20:$AC$44,2)&lt;=0,"",INDEX($Z$20:$Z$44,MATCH(LARGE($AC$20:$AC$44,2),$AC$20:$AC$44,0)))</f>
        <v/>
      </c>
      <c r="D28" s="38" t="n"/>
      <c r="E28" s="33">
        <f>IF(LARGE($AC$20:$AC$44,2)&lt;=0,"",INDEX($AB$20:$AB$44,MATCH(LARGE($AC$20:$AC$44,2),$AC$20:$AC$44,0)))</f>
        <v/>
      </c>
      <c r="F28" s="52">
        <f>IF(OR(E28="",N(D19)+N(D20)+N(D21)=0),"",E28/(D19+D20+D21))</f>
        <v/>
      </c>
      <c r="G28" s="53">
        <f>IF(E28="","",IF(INDEX($AA$20:$AA$44,MATCH(LARGE($AC$20:$AC$44,2),$AC$20:$AC$44,0))=0,"—",IF(E28&lt;=INDEX($AA$20:$AA$44,MATCH(LARGE($AC$20:$AC$44,2),$AC$20:$AC$44,0)),"✅ בתקציב","🔴 +"&amp;TEXT(E28-INDEX($AA$20:$AA$44,MATCH(LARGE($AC$20:$AC$44,2),$AC$20:$AC$44,0)),"#,##0"))))</f>
        <v/>
      </c>
      <c r="H28" s="1" t="n"/>
      <c r="I28" s="1" t="n"/>
      <c r="J28" s="1" t="n"/>
      <c r="K28" s="1" t="n"/>
      <c r="L28" s="1" t="n"/>
      <c r="M28" s="1" t="n"/>
      <c r="N28" s="1" t="n"/>
      <c r="Z28">
        <f>'📥 הזנה חודשית'!$A$30&amp;""</f>
        <v/>
      </c>
      <c r="AA28">
        <f>N('📥 הזנה חודשית'!$B$30)</f>
        <v/>
      </c>
      <c r="AB28">
        <f>N(INDEX('📥 הזנה חודשית'!$C$30:$N$30,$Y$1))</f>
        <v/>
      </c>
      <c r="AC28">
        <f>IF(AND(Z28&lt;&gt;"",AB28&gt;0),AB28+ROW()/1000000,0)</f>
        <v/>
      </c>
    </row>
    <row r="29" ht="24" customHeight="1">
      <c r="A29" s="1" t="n"/>
      <c r="B29" s="50" t="inlineStr">
        <is>
          <t>🥉</t>
        </is>
      </c>
      <c r="C29" s="51">
        <f>IF(LARGE($AC$20:$AC$44,3)&lt;=0,"",INDEX($Z$20:$Z$44,MATCH(LARGE($AC$20:$AC$44,3),$AC$20:$AC$44,0)))</f>
        <v/>
      </c>
      <c r="D29" s="38" t="n"/>
      <c r="E29" s="33">
        <f>IF(LARGE($AC$20:$AC$44,3)&lt;=0,"",INDEX($AB$20:$AB$44,MATCH(LARGE($AC$20:$AC$44,3),$AC$20:$AC$44,0)))</f>
        <v/>
      </c>
      <c r="F29" s="52">
        <f>IF(OR(E29="",N(D19)+N(D20)+N(D21)=0),"",E29/(D19+D20+D21))</f>
        <v/>
      </c>
      <c r="G29" s="53">
        <f>IF(E29="","",IF(INDEX($AA$20:$AA$44,MATCH(LARGE($AC$20:$AC$44,3),$AC$20:$AC$44,0))=0,"—",IF(E29&lt;=INDEX($AA$20:$AA$44,MATCH(LARGE($AC$20:$AC$44,3),$AC$20:$AC$44,0)),"✅ בתקציב","🔴 +"&amp;TEXT(E29-INDEX($AA$20:$AA$44,MATCH(LARGE($AC$20:$AC$44,3),$AC$20:$AC$44,0)),"#,##0"))))</f>
        <v/>
      </c>
      <c r="H29" s="1" t="n"/>
      <c r="I29" s="1" t="n"/>
      <c r="J29" s="1" t="n"/>
      <c r="K29" s="1" t="n"/>
      <c r="L29" s="1" t="n"/>
      <c r="M29" s="1" t="n"/>
      <c r="N29" s="1" t="n"/>
      <c r="Z29">
        <f>'📥 הזנה חודשית'!$A$31&amp;""</f>
        <v/>
      </c>
      <c r="AA29">
        <f>N('📥 הזנה חודשית'!$B$31)</f>
        <v/>
      </c>
      <c r="AB29">
        <f>N(INDEX('📥 הזנה חודשית'!$C$31:$N$31,$Y$1))</f>
        <v/>
      </c>
      <c r="AC29">
        <f>IF(AND(Z29&lt;&gt;"",AB29&gt;0),AB29+ROW()/1000000,0)</f>
        <v/>
      </c>
    </row>
    <row r="30" ht="24" customHeight="1">
      <c r="A30" s="1" t="n"/>
      <c r="B30" s="50" t="inlineStr">
        <is>
          <t>4</t>
        </is>
      </c>
      <c r="C30" s="51">
        <f>IF(LARGE($AC$20:$AC$44,4)&lt;=0,"",INDEX($Z$20:$Z$44,MATCH(LARGE($AC$20:$AC$44,4),$AC$20:$AC$44,0)))</f>
        <v/>
      </c>
      <c r="D30" s="38" t="n"/>
      <c r="E30" s="33">
        <f>IF(LARGE($AC$20:$AC$44,4)&lt;=0,"",INDEX($AB$20:$AB$44,MATCH(LARGE($AC$20:$AC$44,4),$AC$20:$AC$44,0)))</f>
        <v/>
      </c>
      <c r="F30" s="52">
        <f>IF(OR(E30="",N(D19)+N(D20)+N(D21)=0),"",E30/(D19+D20+D21))</f>
        <v/>
      </c>
      <c r="G30" s="53">
        <f>IF(E30="","",IF(INDEX($AA$20:$AA$44,MATCH(LARGE($AC$20:$AC$44,4),$AC$20:$AC$44,0))=0,"—",IF(E30&lt;=INDEX($AA$20:$AA$44,MATCH(LARGE($AC$20:$AC$44,4),$AC$20:$AC$44,0)),"✅ בתקציב","🔴 +"&amp;TEXT(E30-INDEX($AA$20:$AA$44,MATCH(LARGE($AC$20:$AC$44,4),$AC$20:$AC$44,0)),"#,##0"))))</f>
        <v/>
      </c>
      <c r="H30" s="1" t="n"/>
      <c r="I30" s="1" t="n"/>
      <c r="J30" s="1" t="n"/>
      <c r="K30" s="1" t="n"/>
      <c r="L30" s="1" t="n"/>
      <c r="M30" s="1" t="n"/>
      <c r="N30" s="1" t="n"/>
      <c r="Z30">
        <f>'📥 הזנה חודשית'!$A$34&amp;""</f>
        <v/>
      </c>
      <c r="AA30">
        <f>N('📥 הזנה חודשית'!$B$34)</f>
        <v/>
      </c>
      <c r="AB30">
        <f>N(INDEX('📥 הזנה חודשית'!$C$34:$N$34,$Y$1))</f>
        <v/>
      </c>
      <c r="AC30">
        <f>IF(AND(Z30&lt;&gt;"",AB30&gt;0),AB30+ROW()/1000000,0)</f>
        <v/>
      </c>
    </row>
    <row r="31" ht="24" customHeight="1">
      <c r="A31" s="1" t="n"/>
      <c r="B31" s="50" t="inlineStr">
        <is>
          <t>5</t>
        </is>
      </c>
      <c r="C31" s="51">
        <f>IF(LARGE($AC$20:$AC$44,5)&lt;=0,"",INDEX($Z$20:$Z$44,MATCH(LARGE($AC$20:$AC$44,5),$AC$20:$AC$44,0)))</f>
        <v/>
      </c>
      <c r="D31" s="38" t="n"/>
      <c r="E31" s="33">
        <f>IF(LARGE($AC$20:$AC$44,5)&lt;=0,"",INDEX($AB$20:$AB$44,MATCH(LARGE($AC$20:$AC$44,5),$AC$20:$AC$44,0)))</f>
        <v/>
      </c>
      <c r="F31" s="52">
        <f>IF(OR(E31="",N(D19)+N(D20)+N(D21)=0),"",E31/(D19+D20+D21))</f>
        <v/>
      </c>
      <c r="G31" s="53">
        <f>IF(E31="","",IF(INDEX($AA$20:$AA$44,MATCH(LARGE($AC$20:$AC$44,5),$AC$20:$AC$44,0))=0,"—",IF(E31&lt;=INDEX($AA$20:$AA$44,MATCH(LARGE($AC$20:$AC$44,5),$AC$20:$AC$44,0)),"✅ בתקציב","🔴 +"&amp;TEXT(E31-INDEX($AA$20:$AA$44,MATCH(LARGE($AC$20:$AC$44,5),$AC$20:$AC$44,0)),"#,##0"))))</f>
        <v/>
      </c>
      <c r="H31" s="1" t="n"/>
      <c r="I31" s="1" t="n"/>
      <c r="J31" s="1" t="n"/>
      <c r="K31" s="1" t="n"/>
      <c r="L31" s="1" t="n"/>
      <c r="M31" s="1" t="n"/>
      <c r="N31" s="1" t="n"/>
      <c r="Z31">
        <f>'📥 הזנה חודשית'!$A$35&amp;""</f>
        <v/>
      </c>
      <c r="AA31">
        <f>N('📥 הזנה חודשית'!$B$35)</f>
        <v/>
      </c>
      <c r="AB31">
        <f>N(INDEX('📥 הזנה חודשית'!$C$35:$N$35,$Y$1))</f>
        <v/>
      </c>
      <c r="AC31">
        <f>IF(AND(Z31&lt;&gt;"",AB31&gt;0),AB31+ROW()/1000000,0)</f>
        <v/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Z32">
        <f>'📥 הזנה חודשית'!$A$36&amp;""</f>
        <v/>
      </c>
      <c r="AA32">
        <f>N('📥 הזנה חודשית'!$B$36)</f>
        <v/>
      </c>
      <c r="AB32">
        <f>N(INDEX('📥 הזנה חודשית'!$C$36:$N$36,$Y$1))</f>
        <v/>
      </c>
      <c r="AC32">
        <f>IF(AND(Z32&lt;&gt;"",AB32&gt;0),AB32+ROW()/1000000,0)</f>
        <v/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Z33">
        <f>'📥 הזנה חודשית'!$A$37&amp;""</f>
        <v/>
      </c>
      <c r="AA33">
        <f>N('📥 הזנה חודשית'!$B$37)</f>
        <v/>
      </c>
      <c r="AB33">
        <f>N(INDEX('📥 הזנה חודשית'!$C$37:$N$37,$Y$1))</f>
        <v/>
      </c>
      <c r="AC33">
        <f>IF(AND(Z33&lt;&gt;"",AB33&gt;0),AB33+ROW()/1000000,0)</f>
        <v/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Z34">
        <f>'📥 הזנה חודשית'!$A$38&amp;""</f>
        <v/>
      </c>
      <c r="AA34">
        <f>N('📥 הזנה חודשית'!$B$38)</f>
        <v/>
      </c>
      <c r="AB34">
        <f>N(INDEX('📥 הזנה חודשית'!$C$38:$N$38,$Y$1))</f>
        <v/>
      </c>
      <c r="AC34">
        <f>IF(AND(Z34&lt;&gt;"",AB34&gt;0),AB34+ROW()/1000000,0)</f>
        <v/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Z35">
        <f>'📥 הזנה חודשית'!$A$39&amp;""</f>
        <v/>
      </c>
      <c r="AA35">
        <f>N('📥 הזנה חודשית'!$B$39)</f>
        <v/>
      </c>
      <c r="AB35">
        <f>N(INDEX('📥 הזנה חודשית'!$C$39:$N$39,$Y$1))</f>
        <v/>
      </c>
      <c r="AC35">
        <f>IF(AND(Z35&lt;&gt;"",AB35&gt;0),AB35+ROW()/1000000,0)</f>
        <v/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Z36">
        <f>'📥 הזנה חודשית'!$A$40&amp;""</f>
        <v/>
      </c>
      <c r="AA36">
        <f>N('📥 הזנה חודשית'!$B$40)</f>
        <v/>
      </c>
      <c r="AB36">
        <f>N(INDEX('📥 הזנה חודשית'!$C$40:$N$40,$Y$1))</f>
        <v/>
      </c>
      <c r="AC36">
        <f>IF(AND(Z36&lt;&gt;"",AB36&gt;0),AB36+ROW()/1000000,0)</f>
        <v/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Z37">
        <f>'📥 הזנה חודשית'!$A$41&amp;""</f>
        <v/>
      </c>
      <c r="AA37">
        <f>N('📥 הזנה חודשית'!$B$41)</f>
        <v/>
      </c>
      <c r="AB37">
        <f>N(INDEX('📥 הזנה חודשית'!$C$41:$N$41,$Y$1))</f>
        <v/>
      </c>
      <c r="AC37">
        <f>IF(AND(Z37&lt;&gt;"",AB37&gt;0),AB37+ROW()/1000000,0)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Z38">
        <f>'📥 הזנה חודשית'!$A$42&amp;""</f>
        <v/>
      </c>
      <c r="AA38">
        <f>N('📥 הזנה חודשית'!$B$42)</f>
        <v/>
      </c>
      <c r="AB38">
        <f>N(INDEX('📥 הזנה חודשית'!$C$42:$N$42,$Y$1))</f>
        <v/>
      </c>
      <c r="AC38">
        <f>IF(AND(Z38&lt;&gt;"",AB38&gt;0),AB38+ROW()/1000000,0)</f>
        <v/>
      </c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Z39">
        <f>'📥 הזנה חודשית'!$A$43&amp;""</f>
        <v/>
      </c>
      <c r="AA39">
        <f>N('📥 הזנה חודשית'!$B$43)</f>
        <v/>
      </c>
      <c r="AB39">
        <f>N(INDEX('📥 הזנה חודשית'!$C$43:$N$43,$Y$1))</f>
        <v/>
      </c>
      <c r="AC39">
        <f>IF(AND(Z39&lt;&gt;"",AB39&gt;0),AB39+ROW()/1000000,0)</f>
        <v/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Z40">
        <f>'📥 הזנה חודשית'!$A$44&amp;""</f>
        <v/>
      </c>
      <c r="AA40">
        <f>N('📥 הזנה חודשית'!$B$44)</f>
        <v/>
      </c>
      <c r="AB40">
        <f>N(INDEX('📥 הזנה חודשית'!$C$44:$N$44,$Y$1))</f>
        <v/>
      </c>
      <c r="AC40">
        <f>IF(AND(Z40&lt;&gt;"",AB40&gt;0),AB40+ROW()/1000000,0)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Z41">
        <f>'📥 הזנה חודשית'!$A$47&amp;""</f>
        <v/>
      </c>
      <c r="AA41">
        <f>N('📥 הזנה חודשית'!$B$47)</f>
        <v/>
      </c>
      <c r="AB41">
        <f>N(INDEX('📥 הזנה חודשית'!$C$47:$N$47,$Y$1))</f>
        <v/>
      </c>
      <c r="AC41">
        <f>IF(AND(Z41&lt;&gt;"",AB41&gt;0),AB41+ROW()/1000000,0)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Z42">
        <f>'📥 הזנה חודשית'!$A$48&amp;""</f>
        <v/>
      </c>
      <c r="AA42">
        <f>N('📥 הזנה חודשית'!$B$48)</f>
        <v/>
      </c>
      <c r="AB42">
        <f>N(INDEX('📥 הזנה חודשית'!$C$48:$N$48,$Y$1))</f>
        <v/>
      </c>
      <c r="AC42">
        <f>IF(AND(Z42&lt;&gt;"",AB42&gt;0),AB42+ROW()/1000000,0)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Z43">
        <f>'📥 הזנה חודשית'!$A$49&amp;""</f>
        <v/>
      </c>
      <c r="AA43">
        <f>N('📥 הזנה חודשית'!$B$49)</f>
        <v/>
      </c>
      <c r="AB43">
        <f>N(INDEX('📥 הזנה חודשית'!$C$49:$N$49,$Y$1))</f>
        <v/>
      </c>
      <c r="AC43">
        <f>IF(AND(Z43&lt;&gt;"",AB43&gt;0),AB43+ROW()/1000000,0)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Z44">
        <f>'📥 הזנה חודשית'!$A$50&amp;""</f>
        <v/>
      </c>
      <c r="AA44">
        <f>N('📥 הזנה חודשית'!$B$50)</f>
        <v/>
      </c>
      <c r="AB44">
        <f>N(INDEX('📥 הזנה חודשית'!$C$50:$N$50,$Y$1))</f>
        <v/>
      </c>
      <c r="AC44">
        <f>IF(AND(Z44&lt;&gt;"",AB44&gt;0),AB44+ROW()/1000000,0)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</sheetData>
  <mergeCells count="40">
    <mergeCell ref="B11:D11"/>
    <mergeCell ref="B2:M2"/>
    <mergeCell ref="H21:M21"/>
    <mergeCell ref="E13:G13"/>
    <mergeCell ref="C30:D30"/>
    <mergeCell ref="B8:D8"/>
    <mergeCell ref="B13:D13"/>
    <mergeCell ref="E9:G9"/>
    <mergeCell ref="H17:M17"/>
    <mergeCell ref="K12:M12"/>
    <mergeCell ref="C26:D26"/>
    <mergeCell ref="H11:J11"/>
    <mergeCell ref="H7:J7"/>
    <mergeCell ref="H16:M16"/>
    <mergeCell ref="K8:M8"/>
    <mergeCell ref="C29:D29"/>
    <mergeCell ref="E11:G11"/>
    <mergeCell ref="H19:M19"/>
    <mergeCell ref="H13:J13"/>
    <mergeCell ref="B9:D9"/>
    <mergeCell ref="F5:M5"/>
    <mergeCell ref="H12:J12"/>
    <mergeCell ref="C31:D31"/>
    <mergeCell ref="E7:G7"/>
    <mergeCell ref="K7:M7"/>
    <mergeCell ref="K13:M13"/>
    <mergeCell ref="H18:M18"/>
    <mergeCell ref="C27:D27"/>
    <mergeCell ref="H8:J8"/>
    <mergeCell ref="E12:G12"/>
    <mergeCell ref="B7:D7"/>
    <mergeCell ref="H20:M20"/>
    <mergeCell ref="C5:E5"/>
    <mergeCell ref="B3:M3"/>
    <mergeCell ref="K9:M9"/>
    <mergeCell ref="E8:G8"/>
    <mergeCell ref="C28:D28"/>
    <mergeCell ref="H9:J9"/>
    <mergeCell ref="B12:D12"/>
    <mergeCell ref="K11:M11"/>
  </mergeCells>
  <conditionalFormatting sqref="G19">
    <cfRule type="expression" priority="1" dxfId="0">
      <formula>D19&gt;C19</formula>
    </cfRule>
  </conditionalFormatting>
  <conditionalFormatting sqref="E19">
    <cfRule type="expression" priority="2" dxfId="1">
      <formula>E19&lt;0</formula>
    </cfRule>
  </conditionalFormatting>
  <conditionalFormatting sqref="G20">
    <cfRule type="expression" priority="3" dxfId="0">
      <formula>D20&gt;C20</formula>
    </cfRule>
  </conditionalFormatting>
  <conditionalFormatting sqref="E20">
    <cfRule type="expression" priority="4" dxfId="1">
      <formula>E20&lt;0</formula>
    </cfRule>
  </conditionalFormatting>
  <conditionalFormatting sqref="G21">
    <cfRule type="expression" priority="5" dxfId="0">
      <formula>D21&gt;C21</formula>
    </cfRule>
  </conditionalFormatting>
  <conditionalFormatting sqref="E21">
    <cfRule type="expression" priority="6" dxfId="1">
      <formula>E21&lt;0</formula>
    </cfRule>
  </conditionalFormatting>
  <dataValidations count="1">
    <dataValidation sqref="C5" showDropDown="0" showInputMessage="0" showErrorMessage="0" allowBlank="1" type="list">
      <formula1>"אוטומטי – החודש האחרון שמולא,ינואר,פברואר,מרץ,אפריל,מאי,יוני,יולי,אוגוסט,ספטמבר,אוקטובר,נובמבר,דצמבר"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P58"/>
  <sheetViews>
    <sheetView showGridLines="0" rightToLeft="1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3" customWidth="1" min="15" max="15"/>
    <col width="13" customWidth="1" min="16" max="16"/>
  </cols>
  <sheetData>
    <row r="1" ht="44" customHeight="1">
      <c r="A1" s="2" t="inlineStr">
        <is>
          <t>📥 הזנה חודשית</t>
        </is>
      </c>
    </row>
    <row r="2" ht="22" customHeight="1">
      <c r="A2" s="3" t="inlineStr">
        <is>
          <t>פעם בחודש: ממלאים את העמודה של החודש עם הסכומים מדף הבנק ומפירוט האשראי. כל השאר מתעדכן לבד ✨</t>
        </is>
      </c>
    </row>
    <row r="3" ht="26" customHeight="1">
      <c r="A3" s="54" t="inlineStr">
        <is>
          <t>שנת התקציב</t>
        </is>
      </c>
      <c r="B3" s="55" t="n">
        <v>2026</v>
      </c>
      <c r="D3" s="56" t="inlineStr">
        <is>
          <t>💡 תאים בצבע שמנת = להזנה. אפשר לשנות שמות קטגוריות ולמלא שורות ריקות – הכל מתעדכן אוטומטית.</t>
        </is>
      </c>
    </row>
    <row r="4" hidden="1"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</row>
    <row r="5" ht="30" customHeight="1">
      <c r="A5" s="28" t="inlineStr">
        <is>
          <t>קטגוריה</t>
        </is>
      </c>
      <c r="B5" s="28" t="inlineStr">
        <is>
          <t>תקציב חודשי</t>
        </is>
      </c>
      <c r="C5" s="28" t="inlineStr">
        <is>
          <t>ינואר</t>
        </is>
      </c>
      <c r="D5" s="28" t="inlineStr">
        <is>
          <t>פברואר</t>
        </is>
      </c>
      <c r="E5" s="28" t="inlineStr">
        <is>
          <t>מרץ</t>
        </is>
      </c>
      <c r="F5" s="28" t="inlineStr">
        <is>
          <t>אפריל</t>
        </is>
      </c>
      <c r="G5" s="28" t="inlineStr">
        <is>
          <t>מאי</t>
        </is>
      </c>
      <c r="H5" s="28" t="inlineStr">
        <is>
          <t>יוני</t>
        </is>
      </c>
      <c r="I5" s="28" t="inlineStr">
        <is>
          <t>יולי</t>
        </is>
      </c>
      <c r="J5" s="28" t="inlineStr">
        <is>
          <t>אוגוסט</t>
        </is>
      </c>
      <c r="K5" s="28" t="inlineStr">
        <is>
          <t>ספטמבר</t>
        </is>
      </c>
      <c r="L5" s="28" t="inlineStr">
        <is>
          <t>אוקטובר</t>
        </is>
      </c>
      <c r="M5" s="28" t="inlineStr">
        <is>
          <t>נובמבר</t>
        </is>
      </c>
      <c r="N5" s="28" t="inlineStr">
        <is>
          <t>דצמבר</t>
        </is>
      </c>
      <c r="O5" s="28" t="inlineStr">
        <is>
          <t>סה"כ שנתי</t>
        </is>
      </c>
      <c r="P5" s="28" t="inlineStr">
        <is>
          <t>ממוצע לחודש</t>
        </is>
      </c>
    </row>
    <row r="6" ht="26" customHeight="1">
      <c r="A6" s="57" t="inlineStr">
        <is>
          <t>💰 הכנסות</t>
        </is>
      </c>
      <c r="B6" s="58">
        <f>SUM(B7:B12)</f>
        <v/>
      </c>
      <c r="C6" s="58">
        <f>SUM(C7:C12)</f>
        <v/>
      </c>
      <c r="D6" s="58">
        <f>SUM(D7:D12)</f>
        <v/>
      </c>
      <c r="E6" s="58">
        <f>SUM(E7:E12)</f>
        <v/>
      </c>
      <c r="F6" s="58">
        <f>SUM(F7:F12)</f>
        <v/>
      </c>
      <c r="G6" s="58">
        <f>SUM(G7:G12)</f>
        <v/>
      </c>
      <c r="H6" s="58">
        <f>SUM(H7:H12)</f>
        <v/>
      </c>
      <c r="I6" s="58">
        <f>SUM(I7:I12)</f>
        <v/>
      </c>
      <c r="J6" s="58">
        <f>SUM(J7:J12)</f>
        <v/>
      </c>
      <c r="K6" s="58">
        <f>SUM(K7:K12)</f>
        <v/>
      </c>
      <c r="L6" s="58">
        <f>SUM(L7:L12)</f>
        <v/>
      </c>
      <c r="M6" s="58">
        <f>SUM(M7:M12)</f>
        <v/>
      </c>
      <c r="N6" s="58">
        <f>SUM(N7:N12)</f>
        <v/>
      </c>
      <c r="O6" s="58">
        <f>SUM(O7:O12)</f>
        <v/>
      </c>
      <c r="P6" s="58">
        <f>SUM(P7:P12)</f>
        <v/>
      </c>
    </row>
    <row r="7" ht="21" customHeight="1">
      <c r="A7" s="59" t="inlineStr">
        <is>
          <t>משכורת 1</t>
        </is>
      </c>
      <c r="B7" s="60" t="n">
        <v>14000</v>
      </c>
      <c r="C7" s="61" t="n">
        <v>14000</v>
      </c>
      <c r="D7" s="61" t="n">
        <v>14000</v>
      </c>
      <c r="E7" s="61" t="n">
        <v>14000</v>
      </c>
      <c r="F7" s="61" t="n">
        <v>14000</v>
      </c>
      <c r="G7" s="61" t="n">
        <v>14000</v>
      </c>
      <c r="H7" s="61" t="n">
        <v>14000</v>
      </c>
      <c r="I7" s="61" t="n">
        <v>14000</v>
      </c>
      <c r="J7" s="61" t="n">
        <v>14000</v>
      </c>
      <c r="K7" s="61" t="n">
        <v>14000</v>
      </c>
      <c r="L7" s="61" t="n"/>
      <c r="M7" s="61" t="n"/>
      <c r="N7" s="61" t="n"/>
      <c r="O7" s="62">
        <f>SUM(C7:N7)</f>
        <v/>
      </c>
      <c r="P7" s="63">
        <f>IF(COUNT(C7:N7)=0,0,AVERAGE(C7:N7))</f>
        <v/>
      </c>
    </row>
    <row r="8" ht="21" customHeight="1">
      <c r="A8" s="59" t="inlineStr">
        <is>
          <t>משכורת 2</t>
        </is>
      </c>
      <c r="B8" s="60" t="n">
        <v>9500</v>
      </c>
      <c r="C8" s="61" t="n">
        <v>9500</v>
      </c>
      <c r="D8" s="61" t="n">
        <v>9500</v>
      </c>
      <c r="E8" s="61" t="n">
        <v>9500</v>
      </c>
      <c r="F8" s="61" t="n">
        <v>9500</v>
      </c>
      <c r="G8" s="61" t="n">
        <v>9500</v>
      </c>
      <c r="H8" s="61" t="n">
        <v>9500</v>
      </c>
      <c r="I8" s="61" t="n">
        <v>9500</v>
      </c>
      <c r="J8" s="61" t="n">
        <v>9500</v>
      </c>
      <c r="K8" s="61" t="n">
        <v>9500</v>
      </c>
      <c r="L8" s="61" t="n"/>
      <c r="M8" s="61" t="n"/>
      <c r="N8" s="61" t="n"/>
      <c r="O8" s="62">
        <f>SUM(C8:N8)</f>
        <v/>
      </c>
      <c r="P8" s="63">
        <f>IF(COUNT(C8:N8)=0,0,AVERAGE(C8:N8))</f>
        <v/>
      </c>
    </row>
    <row r="9" ht="21" customHeight="1">
      <c r="A9" s="59" t="inlineStr">
        <is>
          <t>עבודה נוספת / בונוסים</t>
        </is>
      </c>
      <c r="B9" s="60" t="n">
        <v>1000</v>
      </c>
      <c r="C9" s="61" t="n">
        <v>780</v>
      </c>
      <c r="D9" s="61" t="n">
        <v>470</v>
      </c>
      <c r="E9" s="61" t="n">
        <v>1370</v>
      </c>
      <c r="F9" s="61" t="n">
        <v>2830</v>
      </c>
      <c r="G9" s="61" t="n">
        <v>1160</v>
      </c>
      <c r="H9" s="61" t="n">
        <v>860</v>
      </c>
      <c r="I9" s="61" t="n">
        <v>300</v>
      </c>
      <c r="J9" s="61" t="n">
        <v>1110</v>
      </c>
      <c r="K9" s="61" t="n">
        <v>270</v>
      </c>
      <c r="L9" s="61" t="n"/>
      <c r="M9" s="61" t="n"/>
      <c r="N9" s="61" t="n"/>
      <c r="O9" s="62">
        <f>SUM(C9:N9)</f>
        <v/>
      </c>
      <c r="P9" s="63">
        <f>IF(COUNT(C9:N9)=0,0,AVERAGE(C9:N9))</f>
        <v/>
      </c>
    </row>
    <row r="10" ht="21" customHeight="1">
      <c r="A10" s="59" t="inlineStr">
        <is>
          <t>קצבאות</t>
        </is>
      </c>
      <c r="B10" s="60" t="n">
        <v>320</v>
      </c>
      <c r="C10" s="61" t="n">
        <v>320</v>
      </c>
      <c r="D10" s="61" t="n">
        <v>320</v>
      </c>
      <c r="E10" s="61" t="n">
        <v>320</v>
      </c>
      <c r="F10" s="61" t="n">
        <v>320</v>
      </c>
      <c r="G10" s="61" t="n">
        <v>320</v>
      </c>
      <c r="H10" s="61" t="n">
        <v>320</v>
      </c>
      <c r="I10" s="61" t="n">
        <v>320</v>
      </c>
      <c r="J10" s="61" t="n">
        <v>320</v>
      </c>
      <c r="K10" s="61" t="n">
        <v>320</v>
      </c>
      <c r="L10" s="61" t="n"/>
      <c r="M10" s="61" t="n"/>
      <c r="N10" s="61" t="n"/>
      <c r="O10" s="62">
        <f>SUM(C10:N10)</f>
        <v/>
      </c>
      <c r="P10" s="63">
        <f>IF(COUNT(C10:N10)=0,0,AVERAGE(C10:N10))</f>
        <v/>
      </c>
    </row>
    <row r="11" ht="21" customHeight="1">
      <c r="A11" s="59" t="inlineStr">
        <is>
          <t>הכנסות אחרות</t>
        </is>
      </c>
      <c r="B11" s="60" t="n">
        <v>0</v>
      </c>
      <c r="C11" s="61" t="n">
        <v>130</v>
      </c>
      <c r="D11" s="61" t="n">
        <v>20</v>
      </c>
      <c r="E11" s="61" t="n">
        <v>30</v>
      </c>
      <c r="F11" s="61" t="n">
        <v>130</v>
      </c>
      <c r="G11" s="61" t="n">
        <v>250</v>
      </c>
      <c r="H11" s="61" t="n">
        <v>40</v>
      </c>
      <c r="I11" s="61" t="n">
        <v>70</v>
      </c>
      <c r="J11" s="61" t="n">
        <v>190</v>
      </c>
      <c r="K11" s="61" t="n">
        <v>280</v>
      </c>
      <c r="L11" s="61" t="n"/>
      <c r="M11" s="61" t="n"/>
      <c r="N11" s="61" t="n"/>
      <c r="O11" s="62">
        <f>SUM(C11:N11)</f>
        <v/>
      </c>
      <c r="P11" s="63">
        <f>IF(COUNT(C11:N11)=0,0,AVERAGE(C11:N11))</f>
        <v/>
      </c>
    </row>
    <row r="12" ht="21" customHeight="1">
      <c r="A12" s="59" t="n"/>
      <c r="B12" s="60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61" t="n"/>
      <c r="L12" s="61" t="n"/>
      <c r="M12" s="61" t="n"/>
      <c r="N12" s="61" t="n"/>
      <c r="O12" s="62">
        <f>SUM(C12:N12)</f>
        <v/>
      </c>
      <c r="P12" s="63">
        <f>IF(COUNT(C12:N12)=0,0,AVERAGE(C12:N12))</f>
        <v/>
      </c>
    </row>
    <row r="14" ht="26" customHeight="1">
      <c r="A14" s="64" t="inlineStr">
        <is>
          <t>🐷 חיסכון</t>
        </is>
      </c>
      <c r="B14" s="65">
        <f>SUM(B15:B19)</f>
        <v/>
      </c>
      <c r="C14" s="65">
        <f>SUM(C15:C19)</f>
        <v/>
      </c>
      <c r="D14" s="65">
        <f>SUM(D15:D19)</f>
        <v/>
      </c>
      <c r="E14" s="65">
        <f>SUM(E15:E19)</f>
        <v/>
      </c>
      <c r="F14" s="65">
        <f>SUM(F15:F19)</f>
        <v/>
      </c>
      <c r="G14" s="65">
        <f>SUM(G15:G19)</f>
        <v/>
      </c>
      <c r="H14" s="65">
        <f>SUM(H15:H19)</f>
        <v/>
      </c>
      <c r="I14" s="65">
        <f>SUM(I15:I19)</f>
        <v/>
      </c>
      <c r="J14" s="65">
        <f>SUM(J15:J19)</f>
        <v/>
      </c>
      <c r="K14" s="65">
        <f>SUM(K15:K19)</f>
        <v/>
      </c>
      <c r="L14" s="65">
        <f>SUM(L15:L19)</f>
        <v/>
      </c>
      <c r="M14" s="65">
        <f>SUM(M15:M19)</f>
        <v/>
      </c>
      <c r="N14" s="65">
        <f>SUM(N15:N19)</f>
        <v/>
      </c>
      <c r="O14" s="65">
        <f>SUM(O15:O19)</f>
        <v/>
      </c>
      <c r="P14" s="65">
        <f>SUM(P15:P19)</f>
        <v/>
      </c>
    </row>
    <row r="15" ht="21" customHeight="1">
      <c r="A15" s="66" t="inlineStr">
        <is>
          <t>קרן חירום</t>
        </is>
      </c>
      <c r="B15" s="60" t="n">
        <v>1500</v>
      </c>
      <c r="C15" s="61" t="n">
        <v>1500</v>
      </c>
      <c r="D15" s="61" t="n">
        <v>1500</v>
      </c>
      <c r="E15" s="61" t="n">
        <v>1500</v>
      </c>
      <c r="F15" s="61" t="n">
        <v>1500</v>
      </c>
      <c r="G15" s="61" t="n">
        <v>1500</v>
      </c>
      <c r="H15" s="61" t="n">
        <v>1500</v>
      </c>
      <c r="I15" s="61" t="n">
        <v>1500</v>
      </c>
      <c r="J15" s="61" t="n">
        <v>1500</v>
      </c>
      <c r="K15" s="61" t="n">
        <v>1500</v>
      </c>
      <c r="L15" s="61" t="n"/>
      <c r="M15" s="61" t="n"/>
      <c r="N15" s="61" t="n"/>
      <c r="O15" s="62">
        <f>SUM(C15:N15)</f>
        <v/>
      </c>
      <c r="P15" s="63">
        <f>IF(COUNT(C15:N15)=0,0,AVERAGE(C15:N15))</f>
        <v/>
      </c>
    </row>
    <row r="16" ht="21" customHeight="1">
      <c r="A16" s="66" t="inlineStr">
        <is>
          <t>חופשה משפחתית</t>
        </is>
      </c>
      <c r="B16" s="60" t="n">
        <v>600</v>
      </c>
      <c r="C16" s="61" t="n">
        <v>600</v>
      </c>
      <c r="D16" s="61" t="n">
        <v>600</v>
      </c>
      <c r="E16" s="61" t="n">
        <v>600</v>
      </c>
      <c r="F16" s="61" t="n">
        <v>600</v>
      </c>
      <c r="G16" s="61" t="n">
        <v>600</v>
      </c>
      <c r="H16" s="61" t="n">
        <v>600</v>
      </c>
      <c r="I16" s="61" t="n">
        <v>600</v>
      </c>
      <c r="J16" s="61" t="n">
        <v>600</v>
      </c>
      <c r="K16" s="61" t="n">
        <v>600</v>
      </c>
      <c r="L16" s="61" t="n"/>
      <c r="M16" s="61" t="n"/>
      <c r="N16" s="61" t="n"/>
      <c r="O16" s="62">
        <f>SUM(C16:N16)</f>
        <v/>
      </c>
      <c r="P16" s="63">
        <f>IF(COUNT(C16:N16)=0,0,AVERAGE(C16:N16))</f>
        <v/>
      </c>
    </row>
    <row r="17" ht="21" customHeight="1">
      <c r="A17" s="66" t="inlineStr">
        <is>
          <t>רכב חדש</t>
        </is>
      </c>
      <c r="B17" s="60" t="n">
        <v>800</v>
      </c>
      <c r="C17" s="61" t="n">
        <v>770</v>
      </c>
      <c r="D17" s="61" t="n">
        <v>720</v>
      </c>
      <c r="E17" s="61" t="n">
        <v>890</v>
      </c>
      <c r="F17" s="61" t="n">
        <v>610</v>
      </c>
      <c r="G17" s="61" t="n">
        <v>860</v>
      </c>
      <c r="H17" s="61" t="n">
        <v>690</v>
      </c>
      <c r="I17" s="61" t="n">
        <v>640</v>
      </c>
      <c r="J17" s="61" t="n">
        <v>640</v>
      </c>
      <c r="K17" s="61" t="n">
        <v>690</v>
      </c>
      <c r="L17" s="61" t="n"/>
      <c r="M17" s="61" t="n"/>
      <c r="N17" s="61" t="n"/>
      <c r="O17" s="62">
        <f>SUM(C17:N17)</f>
        <v/>
      </c>
      <c r="P17" s="63">
        <f>IF(COUNT(C17:N17)=0,0,AVERAGE(C17:N17))</f>
        <v/>
      </c>
    </row>
    <row r="18" ht="21" customHeight="1">
      <c r="A18" s="66" t="inlineStr">
        <is>
          <t>דירה</t>
        </is>
      </c>
      <c r="B18" s="60" t="n">
        <v>1500</v>
      </c>
      <c r="C18" s="61" t="n">
        <v>1500</v>
      </c>
      <c r="D18" s="61" t="n">
        <v>1500</v>
      </c>
      <c r="E18" s="61" t="n">
        <v>1500</v>
      </c>
      <c r="F18" s="61" t="n">
        <v>1500</v>
      </c>
      <c r="G18" s="61" t="n">
        <v>1500</v>
      </c>
      <c r="H18" s="61" t="n">
        <v>1500</v>
      </c>
      <c r="I18" s="61" t="n">
        <v>1500</v>
      </c>
      <c r="J18" s="61" t="n">
        <v>1500</v>
      </c>
      <c r="K18" s="61" t="n">
        <v>1500</v>
      </c>
      <c r="L18" s="61" t="n"/>
      <c r="M18" s="61" t="n"/>
      <c r="N18" s="61" t="n"/>
      <c r="O18" s="62">
        <f>SUM(C18:N18)</f>
        <v/>
      </c>
      <c r="P18" s="63">
        <f>IF(COUNT(C18:N18)=0,0,AVERAGE(C18:N18))</f>
        <v/>
      </c>
    </row>
    <row r="19" ht="21" customHeight="1">
      <c r="A19" s="66" t="inlineStr">
        <is>
          <t>השקעות</t>
        </is>
      </c>
      <c r="B19" s="60" t="n">
        <v>1000</v>
      </c>
      <c r="C19" s="61" t="n">
        <v>1190</v>
      </c>
      <c r="D19" s="61" t="n">
        <v>810</v>
      </c>
      <c r="E19" s="61" t="n">
        <v>1050</v>
      </c>
      <c r="F19" s="61" t="n">
        <v>1080</v>
      </c>
      <c r="G19" s="61" t="n">
        <v>920</v>
      </c>
      <c r="H19" s="61" t="n">
        <v>1030</v>
      </c>
      <c r="I19" s="61" t="n">
        <v>740</v>
      </c>
      <c r="J19" s="61" t="n">
        <v>740</v>
      </c>
      <c r="K19" s="61" t="n">
        <v>820</v>
      </c>
      <c r="L19" s="61" t="n"/>
      <c r="M19" s="61" t="n"/>
      <c r="N19" s="61" t="n"/>
      <c r="O19" s="62">
        <f>SUM(C19:N19)</f>
        <v/>
      </c>
      <c r="P19" s="63">
        <f>IF(COUNT(C19:N19)=0,0,AVERAGE(C19:N19))</f>
        <v/>
      </c>
    </row>
    <row r="21" ht="26" customHeight="1">
      <c r="A21" s="67" t="inlineStr">
        <is>
          <t>🧾 חשבונות ומנויים</t>
        </is>
      </c>
      <c r="B21" s="68">
        <f>SUM(B22:B31)</f>
        <v/>
      </c>
      <c r="C21" s="68">
        <f>SUM(C22:C31)</f>
        <v/>
      </c>
      <c r="D21" s="68">
        <f>SUM(D22:D31)</f>
        <v/>
      </c>
      <c r="E21" s="68">
        <f>SUM(E22:E31)</f>
        <v/>
      </c>
      <c r="F21" s="68">
        <f>SUM(F22:F31)</f>
        <v/>
      </c>
      <c r="G21" s="68">
        <f>SUM(G22:G31)</f>
        <v/>
      </c>
      <c r="H21" s="68">
        <f>SUM(H22:H31)</f>
        <v/>
      </c>
      <c r="I21" s="68">
        <f>SUM(I22:I31)</f>
        <v/>
      </c>
      <c r="J21" s="68">
        <f>SUM(J22:J31)</f>
        <v/>
      </c>
      <c r="K21" s="68">
        <f>SUM(K22:K31)</f>
        <v/>
      </c>
      <c r="L21" s="68">
        <f>SUM(L22:L31)</f>
        <v/>
      </c>
      <c r="M21" s="68">
        <f>SUM(M22:M31)</f>
        <v/>
      </c>
      <c r="N21" s="68">
        <f>SUM(N22:N31)</f>
        <v/>
      </c>
      <c r="O21" s="68">
        <f>SUM(O22:O31)</f>
        <v/>
      </c>
      <c r="P21" s="68">
        <f>SUM(P22:P31)</f>
        <v/>
      </c>
    </row>
    <row r="22" ht="21" customHeight="1">
      <c r="A22" s="69" t="inlineStr">
        <is>
          <t>שכר דירה / משכנתא</t>
        </is>
      </c>
      <c r="B22" s="60" t="n">
        <v>5200</v>
      </c>
      <c r="C22" s="61" t="n">
        <v>5200</v>
      </c>
      <c r="D22" s="61" t="n">
        <v>5200</v>
      </c>
      <c r="E22" s="61" t="n">
        <v>5200</v>
      </c>
      <c r="F22" s="61" t="n">
        <v>5200</v>
      </c>
      <c r="G22" s="61" t="n">
        <v>5200</v>
      </c>
      <c r="H22" s="61" t="n">
        <v>5200</v>
      </c>
      <c r="I22" s="61" t="n">
        <v>5200</v>
      </c>
      <c r="J22" s="61" t="n">
        <v>5200</v>
      </c>
      <c r="K22" s="61" t="n">
        <v>5200</v>
      </c>
      <c r="L22" s="61" t="n"/>
      <c r="M22" s="61" t="n"/>
      <c r="N22" s="61" t="n"/>
      <c r="O22" s="62">
        <f>SUM(C22:N22)</f>
        <v/>
      </c>
      <c r="P22" s="63">
        <f>IF(COUNT(C22:N22)=0,0,AVERAGE(C22:N22))</f>
        <v/>
      </c>
    </row>
    <row r="23" ht="21" customHeight="1">
      <c r="A23" s="69" t="inlineStr">
        <is>
          <t>ארנונה</t>
        </is>
      </c>
      <c r="B23" s="60" t="n">
        <v>450</v>
      </c>
      <c r="C23" s="61" t="n">
        <v>450</v>
      </c>
      <c r="D23" s="61" t="n">
        <v>450</v>
      </c>
      <c r="E23" s="61" t="n">
        <v>450</v>
      </c>
      <c r="F23" s="61" t="n">
        <v>450</v>
      </c>
      <c r="G23" s="61" t="n">
        <v>450</v>
      </c>
      <c r="H23" s="61" t="n">
        <v>450</v>
      </c>
      <c r="I23" s="61" t="n">
        <v>450</v>
      </c>
      <c r="J23" s="61" t="n">
        <v>450</v>
      </c>
      <c r="K23" s="61" t="n">
        <v>450</v>
      </c>
      <c r="L23" s="61" t="n"/>
      <c r="M23" s="61" t="n"/>
      <c r="N23" s="61" t="n"/>
      <c r="O23" s="62">
        <f>SUM(C23:N23)</f>
        <v/>
      </c>
      <c r="P23" s="63">
        <f>IF(COUNT(C23:N23)=0,0,AVERAGE(C23:N23))</f>
        <v/>
      </c>
    </row>
    <row r="24" ht="21" customHeight="1">
      <c r="A24" s="69" t="inlineStr">
        <is>
          <t>חשמל</t>
        </is>
      </c>
      <c r="B24" s="60" t="n">
        <v>380</v>
      </c>
      <c r="C24" s="61" t="n">
        <v>420</v>
      </c>
      <c r="D24" s="61" t="n">
        <v>360</v>
      </c>
      <c r="E24" s="61" t="n">
        <v>340</v>
      </c>
      <c r="F24" s="61" t="n">
        <v>400</v>
      </c>
      <c r="G24" s="61" t="n">
        <v>370</v>
      </c>
      <c r="H24" s="61" t="n">
        <v>330</v>
      </c>
      <c r="I24" s="61" t="n">
        <v>450</v>
      </c>
      <c r="J24" s="61" t="n">
        <v>430</v>
      </c>
      <c r="K24" s="61" t="n">
        <v>320</v>
      </c>
      <c r="L24" s="61" t="n"/>
      <c r="M24" s="61" t="n"/>
      <c r="N24" s="61" t="n"/>
      <c r="O24" s="62">
        <f>SUM(C24:N24)</f>
        <v/>
      </c>
      <c r="P24" s="63">
        <f>IF(COUNT(C24:N24)=0,0,AVERAGE(C24:N24))</f>
        <v/>
      </c>
    </row>
    <row r="25" ht="21" customHeight="1">
      <c r="A25" s="69" t="inlineStr">
        <is>
          <t>מים וגז</t>
        </is>
      </c>
      <c r="B25" s="60" t="n">
        <v>180</v>
      </c>
      <c r="C25" s="61" t="n">
        <v>190</v>
      </c>
      <c r="D25" s="61" t="n">
        <v>180</v>
      </c>
      <c r="E25" s="61" t="n">
        <v>210</v>
      </c>
      <c r="F25" s="61" t="n">
        <v>200</v>
      </c>
      <c r="G25" s="61" t="n">
        <v>160</v>
      </c>
      <c r="H25" s="61" t="n">
        <v>220</v>
      </c>
      <c r="I25" s="61" t="n">
        <v>150</v>
      </c>
      <c r="J25" s="61" t="n">
        <v>170</v>
      </c>
      <c r="K25" s="61" t="n">
        <v>200</v>
      </c>
      <c r="L25" s="61" t="n"/>
      <c r="M25" s="61" t="n"/>
      <c r="N25" s="61" t="n"/>
      <c r="O25" s="62">
        <f>SUM(C25:N25)</f>
        <v/>
      </c>
      <c r="P25" s="63">
        <f>IF(COUNT(C25:N25)=0,0,AVERAGE(C25:N25))</f>
        <v/>
      </c>
    </row>
    <row r="26" ht="21" customHeight="1">
      <c r="A26" s="69" t="inlineStr">
        <is>
          <t>ועד בית</t>
        </is>
      </c>
      <c r="B26" s="60" t="n">
        <v>250</v>
      </c>
      <c r="C26" s="61" t="n">
        <v>250</v>
      </c>
      <c r="D26" s="61" t="n">
        <v>250</v>
      </c>
      <c r="E26" s="61" t="n">
        <v>250</v>
      </c>
      <c r="F26" s="61" t="n">
        <v>250</v>
      </c>
      <c r="G26" s="61" t="n">
        <v>250</v>
      </c>
      <c r="H26" s="61" t="n">
        <v>250</v>
      </c>
      <c r="I26" s="61" t="n">
        <v>250</v>
      </c>
      <c r="J26" s="61" t="n">
        <v>250</v>
      </c>
      <c r="K26" s="61" t="n">
        <v>250</v>
      </c>
      <c r="L26" s="61" t="n"/>
      <c r="M26" s="61" t="n"/>
      <c r="N26" s="61" t="n"/>
      <c r="O26" s="62">
        <f>SUM(C26:N26)</f>
        <v/>
      </c>
      <c r="P26" s="63">
        <f>IF(COUNT(C26:N26)=0,0,AVERAGE(C26:N26))</f>
        <v/>
      </c>
    </row>
    <row r="27" ht="21" customHeight="1">
      <c r="A27" s="69" t="inlineStr">
        <is>
          <t>תקשורת (אינטרנט + סלולר)</t>
        </is>
      </c>
      <c r="B27" s="60" t="n">
        <v>300</v>
      </c>
      <c r="C27" s="61" t="n">
        <v>300</v>
      </c>
      <c r="D27" s="61" t="n">
        <v>300</v>
      </c>
      <c r="E27" s="61" t="n">
        <v>300</v>
      </c>
      <c r="F27" s="61" t="n">
        <v>300</v>
      </c>
      <c r="G27" s="61" t="n">
        <v>300</v>
      </c>
      <c r="H27" s="61" t="n">
        <v>300</v>
      </c>
      <c r="I27" s="61" t="n">
        <v>300</v>
      </c>
      <c r="J27" s="61" t="n">
        <v>300</v>
      </c>
      <c r="K27" s="61" t="n">
        <v>300</v>
      </c>
      <c r="L27" s="61" t="n"/>
      <c r="M27" s="61" t="n"/>
      <c r="N27" s="61" t="n"/>
      <c r="O27" s="62">
        <f>SUM(C27:N27)</f>
        <v/>
      </c>
      <c r="P27" s="63">
        <f>IF(COUNT(C27:N27)=0,0,AVERAGE(C27:N27))</f>
        <v/>
      </c>
    </row>
    <row r="28" ht="21" customHeight="1">
      <c r="A28" s="69" t="inlineStr">
        <is>
          <t>ביטוחים</t>
        </is>
      </c>
      <c r="B28" s="60" t="n">
        <v>850</v>
      </c>
      <c r="C28" s="61" t="n">
        <v>850</v>
      </c>
      <c r="D28" s="61" t="n">
        <v>850</v>
      </c>
      <c r="E28" s="61" t="n">
        <v>850</v>
      </c>
      <c r="F28" s="61" t="n">
        <v>850</v>
      </c>
      <c r="G28" s="61" t="n">
        <v>850</v>
      </c>
      <c r="H28" s="61" t="n">
        <v>850</v>
      </c>
      <c r="I28" s="61" t="n">
        <v>850</v>
      </c>
      <c r="J28" s="61" t="n">
        <v>850</v>
      </c>
      <c r="K28" s="61" t="n">
        <v>850</v>
      </c>
      <c r="L28" s="61" t="n"/>
      <c r="M28" s="61" t="n"/>
      <c r="N28" s="61" t="n"/>
      <c r="O28" s="62">
        <f>SUM(C28:N28)</f>
        <v/>
      </c>
      <c r="P28" s="63">
        <f>IF(COUNT(C28:N28)=0,0,AVERAGE(C28:N28))</f>
        <v/>
      </c>
    </row>
    <row r="29" ht="21" customHeight="1">
      <c r="A29" s="69" t="inlineStr">
        <is>
          <t>מנויים וסטרימינג</t>
        </is>
      </c>
      <c r="B29" s="60" t="n">
        <v>140</v>
      </c>
      <c r="C29" s="61" t="n">
        <v>140</v>
      </c>
      <c r="D29" s="61" t="n">
        <v>140</v>
      </c>
      <c r="E29" s="61" t="n">
        <v>140</v>
      </c>
      <c r="F29" s="61" t="n">
        <v>140</v>
      </c>
      <c r="G29" s="61" t="n">
        <v>140</v>
      </c>
      <c r="H29" s="61" t="n">
        <v>140</v>
      </c>
      <c r="I29" s="61" t="n">
        <v>140</v>
      </c>
      <c r="J29" s="61" t="n">
        <v>140</v>
      </c>
      <c r="K29" s="61" t="n">
        <v>140</v>
      </c>
      <c r="L29" s="61" t="n"/>
      <c r="M29" s="61" t="n"/>
      <c r="N29" s="61" t="n"/>
      <c r="O29" s="62">
        <f>SUM(C29:N29)</f>
        <v/>
      </c>
      <c r="P29" s="63">
        <f>IF(COUNT(C29:N29)=0,0,AVERAGE(C29:N29))</f>
        <v/>
      </c>
    </row>
    <row r="30" ht="21" customHeight="1">
      <c r="A30" s="69" t="inlineStr">
        <is>
          <t>חינוך וחוגים</t>
        </is>
      </c>
      <c r="B30" s="60" t="n">
        <v>900</v>
      </c>
      <c r="C30" s="61" t="n">
        <v>860</v>
      </c>
      <c r="D30" s="61" t="n">
        <v>920</v>
      </c>
      <c r="E30" s="61" t="n">
        <v>850</v>
      </c>
      <c r="F30" s="61" t="n">
        <v>950</v>
      </c>
      <c r="G30" s="61" t="n">
        <v>960</v>
      </c>
      <c r="H30" s="61" t="n">
        <v>930</v>
      </c>
      <c r="I30" s="61" t="n">
        <v>980</v>
      </c>
      <c r="J30" s="61" t="n">
        <v>890</v>
      </c>
      <c r="K30" s="61" t="n">
        <v>950</v>
      </c>
      <c r="L30" s="61" t="n"/>
      <c r="M30" s="61" t="n"/>
      <c r="N30" s="61" t="n"/>
      <c r="O30" s="62">
        <f>SUM(C30:N30)</f>
        <v/>
      </c>
      <c r="P30" s="63">
        <f>IF(COUNT(C30:N30)=0,0,AVERAGE(C30:N30))</f>
        <v/>
      </c>
    </row>
    <row r="31" ht="21" customHeight="1">
      <c r="A31" s="69" t="n"/>
      <c r="B31" s="60" t="n"/>
      <c r="C31" s="61" t="n"/>
      <c r="D31" s="61" t="n"/>
      <c r="E31" s="61" t="n"/>
      <c r="F31" s="61" t="n"/>
      <c r="G31" s="61" t="n"/>
      <c r="H31" s="61" t="n"/>
      <c r="I31" s="61" t="n"/>
      <c r="J31" s="61" t="n"/>
      <c r="K31" s="61" t="n"/>
      <c r="L31" s="61" t="n"/>
      <c r="M31" s="61" t="n"/>
      <c r="N31" s="61" t="n"/>
      <c r="O31" s="62">
        <f>SUM(C31:N31)</f>
        <v/>
      </c>
      <c r="P31" s="63">
        <f>IF(COUNT(C31:N31)=0,0,AVERAGE(C31:N31))</f>
        <v/>
      </c>
    </row>
    <row r="33" ht="26" customHeight="1">
      <c r="A33" s="70" t="inlineStr">
        <is>
          <t>🛒 הוצאות משתנות</t>
        </is>
      </c>
      <c r="B33" s="71">
        <f>SUM(B34:B44)</f>
        <v/>
      </c>
      <c r="C33" s="71">
        <f>SUM(C34:C44)</f>
        <v/>
      </c>
      <c r="D33" s="71">
        <f>SUM(D34:D44)</f>
        <v/>
      </c>
      <c r="E33" s="71">
        <f>SUM(E34:E44)</f>
        <v/>
      </c>
      <c r="F33" s="71">
        <f>SUM(F34:F44)</f>
        <v/>
      </c>
      <c r="G33" s="71">
        <f>SUM(G34:G44)</f>
        <v/>
      </c>
      <c r="H33" s="71">
        <f>SUM(H34:H44)</f>
        <v/>
      </c>
      <c r="I33" s="71">
        <f>SUM(I34:I44)</f>
        <v/>
      </c>
      <c r="J33" s="71">
        <f>SUM(J34:J44)</f>
        <v/>
      </c>
      <c r="K33" s="71">
        <f>SUM(K34:K44)</f>
        <v/>
      </c>
      <c r="L33" s="71">
        <f>SUM(L34:L44)</f>
        <v/>
      </c>
      <c r="M33" s="71">
        <f>SUM(M34:M44)</f>
        <v/>
      </c>
      <c r="N33" s="71">
        <f>SUM(N34:N44)</f>
        <v/>
      </c>
      <c r="O33" s="71">
        <f>SUM(O34:O44)</f>
        <v/>
      </c>
      <c r="P33" s="71">
        <f>SUM(P34:P44)</f>
        <v/>
      </c>
    </row>
    <row r="34" ht="21" customHeight="1">
      <c r="A34" s="72" t="inlineStr">
        <is>
          <t>סופרמרקט</t>
        </is>
      </c>
      <c r="B34" s="60" t="n">
        <v>2800</v>
      </c>
      <c r="C34" s="61" t="n">
        <v>2970</v>
      </c>
      <c r="D34" s="61" t="n">
        <v>2960</v>
      </c>
      <c r="E34" s="61" t="n">
        <v>2870</v>
      </c>
      <c r="F34" s="61" t="n">
        <v>3140</v>
      </c>
      <c r="G34" s="61" t="n">
        <v>3210</v>
      </c>
      <c r="H34" s="61" t="n">
        <v>2880</v>
      </c>
      <c r="I34" s="61" t="n">
        <v>3010</v>
      </c>
      <c r="J34" s="61" t="n">
        <v>2590</v>
      </c>
      <c r="K34" s="61" t="n">
        <v>3040</v>
      </c>
      <c r="L34" s="61" t="n"/>
      <c r="M34" s="61" t="n"/>
      <c r="N34" s="61" t="n"/>
      <c r="O34" s="62">
        <f>SUM(C34:N34)</f>
        <v/>
      </c>
      <c r="P34" s="63">
        <f>IF(COUNT(C34:N34)=0,0,AVERAGE(C34:N34))</f>
        <v/>
      </c>
    </row>
    <row r="35" ht="21" customHeight="1">
      <c r="A35" s="72" t="inlineStr">
        <is>
          <t>דלק ותחבורה</t>
        </is>
      </c>
      <c r="B35" s="60" t="n">
        <v>750</v>
      </c>
      <c r="C35" s="61" t="n">
        <v>800</v>
      </c>
      <c r="D35" s="61" t="n">
        <v>910</v>
      </c>
      <c r="E35" s="61" t="n">
        <v>860</v>
      </c>
      <c r="F35" s="61" t="n">
        <v>700</v>
      </c>
      <c r="G35" s="61" t="n">
        <v>730</v>
      </c>
      <c r="H35" s="61" t="n">
        <v>810</v>
      </c>
      <c r="I35" s="61" t="n">
        <v>620</v>
      </c>
      <c r="J35" s="61" t="n">
        <v>750</v>
      </c>
      <c r="K35" s="61" t="n">
        <v>660</v>
      </c>
      <c r="L35" s="61" t="n"/>
      <c r="M35" s="61" t="n"/>
      <c r="N35" s="61" t="n"/>
      <c r="O35" s="62">
        <f>SUM(C35:N35)</f>
        <v/>
      </c>
      <c r="P35" s="63">
        <f>IF(COUNT(C35:N35)=0,0,AVERAGE(C35:N35))</f>
        <v/>
      </c>
    </row>
    <row r="36" ht="21" customHeight="1">
      <c r="A36" s="72" t="inlineStr">
        <is>
          <t>מסעדות ובילויים</t>
        </is>
      </c>
      <c r="B36" s="60" t="n">
        <v>900</v>
      </c>
      <c r="C36" s="61" t="n">
        <v>720</v>
      </c>
      <c r="D36" s="61" t="n">
        <v>690</v>
      </c>
      <c r="E36" s="61" t="n">
        <v>1110</v>
      </c>
      <c r="F36" s="61" t="n">
        <v>730</v>
      </c>
      <c r="G36" s="61" t="n">
        <v>800</v>
      </c>
      <c r="H36" s="61" t="n">
        <v>880</v>
      </c>
      <c r="I36" s="61" t="n">
        <v>1170</v>
      </c>
      <c r="J36" s="61" t="n">
        <v>700</v>
      </c>
      <c r="K36" s="61" t="n">
        <v>920</v>
      </c>
      <c r="L36" s="61" t="n"/>
      <c r="M36" s="61" t="n"/>
      <c r="N36" s="61" t="n"/>
      <c r="O36" s="62">
        <f>SUM(C36:N36)</f>
        <v/>
      </c>
      <c r="P36" s="63">
        <f>IF(COUNT(C36:N36)=0,0,AVERAGE(C36:N36))</f>
        <v/>
      </c>
    </row>
    <row r="37" ht="21" customHeight="1">
      <c r="A37" s="72" t="inlineStr">
        <is>
          <t>ביגוד והנעלה</t>
        </is>
      </c>
      <c r="B37" s="60" t="n">
        <v>400</v>
      </c>
      <c r="C37" s="61" t="n">
        <v>410</v>
      </c>
      <c r="D37" s="61" t="n">
        <v>610</v>
      </c>
      <c r="E37" s="61" t="n">
        <v>570</v>
      </c>
      <c r="F37" s="61" t="n">
        <v>600</v>
      </c>
      <c r="G37" s="61" t="n">
        <v>250</v>
      </c>
      <c r="H37" s="61" t="n">
        <v>330</v>
      </c>
      <c r="I37" s="61" t="n">
        <v>300</v>
      </c>
      <c r="J37" s="61" t="n">
        <v>610</v>
      </c>
      <c r="K37" s="61" t="n">
        <v>650</v>
      </c>
      <c r="L37" s="61" t="n"/>
      <c r="M37" s="61" t="n"/>
      <c r="N37" s="61" t="n"/>
      <c r="O37" s="62">
        <f>SUM(C37:N37)</f>
        <v/>
      </c>
      <c r="P37" s="63">
        <f>IF(COUNT(C37:N37)=0,0,AVERAGE(C37:N37))</f>
        <v/>
      </c>
    </row>
    <row r="38" ht="21" customHeight="1">
      <c r="A38" s="72" t="inlineStr">
        <is>
          <t>בריאות ותרופות</t>
        </is>
      </c>
      <c r="B38" s="60" t="n">
        <v>200</v>
      </c>
      <c r="C38" s="61" t="n">
        <v>100</v>
      </c>
      <c r="D38" s="61" t="n">
        <v>100</v>
      </c>
      <c r="E38" s="61" t="n">
        <v>120</v>
      </c>
      <c r="F38" s="61" t="n">
        <v>120</v>
      </c>
      <c r="G38" s="61" t="n">
        <v>180</v>
      </c>
      <c r="H38" s="61" t="n">
        <v>200</v>
      </c>
      <c r="I38" s="61" t="n">
        <v>120</v>
      </c>
      <c r="J38" s="61" t="n">
        <v>60</v>
      </c>
      <c r="K38" s="61" t="n">
        <v>160</v>
      </c>
      <c r="L38" s="61" t="n"/>
      <c r="M38" s="61" t="n"/>
      <c r="N38" s="61" t="n"/>
      <c r="O38" s="62">
        <f>SUM(C38:N38)</f>
        <v/>
      </c>
      <c r="P38" s="63">
        <f>IF(COUNT(C38:N38)=0,0,AVERAGE(C38:N38))</f>
        <v/>
      </c>
    </row>
    <row r="39" ht="21" customHeight="1">
      <c r="A39" s="72" t="inlineStr">
        <is>
          <t>טיפוח</t>
        </is>
      </c>
      <c r="B39" s="60" t="n">
        <v>200</v>
      </c>
      <c r="C39" s="61" t="n">
        <v>170</v>
      </c>
      <c r="D39" s="61" t="n">
        <v>200</v>
      </c>
      <c r="E39" s="61" t="n">
        <v>260</v>
      </c>
      <c r="F39" s="61" t="n">
        <v>220</v>
      </c>
      <c r="G39" s="61" t="n">
        <v>190</v>
      </c>
      <c r="H39" s="61" t="n">
        <v>210</v>
      </c>
      <c r="I39" s="61" t="n">
        <v>220</v>
      </c>
      <c r="J39" s="61" t="n">
        <v>120</v>
      </c>
      <c r="K39" s="61" t="n">
        <v>250</v>
      </c>
      <c r="L39" s="61" t="n"/>
      <c r="M39" s="61" t="n"/>
      <c r="N39" s="61" t="n"/>
      <c r="O39" s="62">
        <f>SUM(C39:N39)</f>
        <v/>
      </c>
      <c r="P39" s="63">
        <f>IF(COUNT(C39:N39)=0,0,AVERAGE(C39:N39))</f>
        <v/>
      </c>
    </row>
    <row r="40" ht="21" customHeight="1">
      <c r="A40" s="72" t="inlineStr">
        <is>
          <t>מתנות ואירועים</t>
        </is>
      </c>
      <c r="B40" s="60" t="n">
        <v>300</v>
      </c>
      <c r="C40" s="61" t="n">
        <v>470</v>
      </c>
      <c r="D40" s="61" t="n">
        <v>520</v>
      </c>
      <c r="E40" s="61" t="n">
        <v>480</v>
      </c>
      <c r="F40" s="61" t="n">
        <v>720</v>
      </c>
      <c r="G40" s="61" t="n">
        <v>280</v>
      </c>
      <c r="H40" s="61" t="n">
        <v>130</v>
      </c>
      <c r="I40" s="61" t="n">
        <v>1030</v>
      </c>
      <c r="J40" s="61" t="n">
        <v>110</v>
      </c>
      <c r="K40" s="61" t="n">
        <v>110</v>
      </c>
      <c r="L40" s="61" t="n"/>
      <c r="M40" s="61" t="n"/>
      <c r="N40" s="61" t="n"/>
      <c r="O40" s="62">
        <f>SUM(C40:N40)</f>
        <v/>
      </c>
      <c r="P40" s="63">
        <f>IF(COUNT(C40:N40)=0,0,AVERAGE(C40:N40))</f>
        <v/>
      </c>
    </row>
    <row r="41" ht="21" customHeight="1">
      <c r="A41" s="72" t="inlineStr">
        <is>
          <t>בית ותחזוקה</t>
        </is>
      </c>
      <c r="B41" s="60" t="n">
        <v>300</v>
      </c>
      <c r="C41" s="61" t="n">
        <v>150</v>
      </c>
      <c r="D41" s="61" t="n">
        <v>130</v>
      </c>
      <c r="E41" s="61" t="n">
        <v>210</v>
      </c>
      <c r="F41" s="61" t="n">
        <v>80</v>
      </c>
      <c r="G41" s="61" t="n">
        <v>60</v>
      </c>
      <c r="H41" s="61" t="n">
        <v>130</v>
      </c>
      <c r="I41" s="61" t="n">
        <v>100</v>
      </c>
      <c r="J41" s="61" t="n">
        <v>220</v>
      </c>
      <c r="K41" s="61" t="n">
        <v>70</v>
      </c>
      <c r="L41" s="61" t="n"/>
      <c r="M41" s="61" t="n"/>
      <c r="N41" s="61" t="n"/>
      <c r="O41" s="62">
        <f>SUM(C41:N41)</f>
        <v/>
      </c>
      <c r="P41" s="63">
        <f>IF(COUNT(C41:N41)=0,0,AVERAGE(C41:N41))</f>
        <v/>
      </c>
    </row>
    <row r="42" ht="21" customHeight="1">
      <c r="A42" s="72" t="inlineStr">
        <is>
          <t>חופשות ופנאי</t>
        </is>
      </c>
      <c r="B42" s="60" t="n">
        <v>500</v>
      </c>
      <c r="C42" s="61" t="n">
        <v>820</v>
      </c>
      <c r="D42" s="61" t="n">
        <v>560</v>
      </c>
      <c r="E42" s="61" t="n">
        <v>100</v>
      </c>
      <c r="F42" s="61" t="n">
        <v>530</v>
      </c>
      <c r="G42" s="61" t="n">
        <v>300</v>
      </c>
      <c r="H42" s="61" t="n">
        <v>310</v>
      </c>
      <c r="I42" s="61" t="n">
        <v>190</v>
      </c>
      <c r="J42" s="61" t="n">
        <v>800</v>
      </c>
      <c r="K42" s="61" t="n">
        <v>940</v>
      </c>
      <c r="L42" s="61" t="n"/>
      <c r="M42" s="61" t="n"/>
      <c r="N42" s="61" t="n"/>
      <c r="O42" s="62">
        <f>SUM(C42:N42)</f>
        <v/>
      </c>
      <c r="P42" s="63">
        <f>IF(COUNT(C42:N42)=0,0,AVERAGE(C42:N42))</f>
        <v/>
      </c>
    </row>
    <row r="43" ht="21" customHeight="1">
      <c r="A43" s="72" t="inlineStr">
        <is>
          <t>שונות</t>
        </is>
      </c>
      <c r="B43" s="60" t="n">
        <v>300</v>
      </c>
      <c r="C43" s="61" t="n">
        <v>300</v>
      </c>
      <c r="D43" s="61" t="n">
        <v>310</v>
      </c>
      <c r="E43" s="61" t="n">
        <v>190</v>
      </c>
      <c r="F43" s="61" t="n">
        <v>190</v>
      </c>
      <c r="G43" s="61" t="n">
        <v>260</v>
      </c>
      <c r="H43" s="61" t="n">
        <v>240</v>
      </c>
      <c r="I43" s="61" t="n">
        <v>410</v>
      </c>
      <c r="J43" s="61" t="n">
        <v>210</v>
      </c>
      <c r="K43" s="61" t="n">
        <v>170</v>
      </c>
      <c r="L43" s="61" t="n"/>
      <c r="M43" s="61" t="n"/>
      <c r="N43" s="61" t="n"/>
      <c r="O43" s="62">
        <f>SUM(C43:N43)</f>
        <v/>
      </c>
      <c r="P43" s="63">
        <f>IF(COUNT(C43:N43)=0,0,AVERAGE(C43:N43))</f>
        <v/>
      </c>
    </row>
    <row r="44" ht="21" customHeight="1">
      <c r="A44" s="7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2">
        <f>SUM(C44:N44)</f>
        <v/>
      </c>
      <c r="P44" s="63">
        <f>IF(COUNT(C44:N44)=0,0,AVERAGE(C44:N44))</f>
        <v/>
      </c>
    </row>
    <row r="46" ht="26" customHeight="1">
      <c r="A46" s="73" t="inlineStr">
        <is>
          <t>💳 חובות</t>
        </is>
      </c>
      <c r="B46" s="74">
        <f>SUM(B47:B50)</f>
        <v/>
      </c>
      <c r="C46" s="74">
        <f>SUM(C47:C50)</f>
        <v/>
      </c>
      <c r="D46" s="74">
        <f>SUM(D47:D50)</f>
        <v/>
      </c>
      <c r="E46" s="74">
        <f>SUM(E47:E50)</f>
        <v/>
      </c>
      <c r="F46" s="74">
        <f>SUM(F47:F50)</f>
        <v/>
      </c>
      <c r="G46" s="74">
        <f>SUM(G47:G50)</f>
        <v/>
      </c>
      <c r="H46" s="74">
        <f>SUM(H47:H50)</f>
        <v/>
      </c>
      <c r="I46" s="74">
        <f>SUM(I47:I50)</f>
        <v/>
      </c>
      <c r="J46" s="74">
        <f>SUM(J47:J50)</f>
        <v/>
      </c>
      <c r="K46" s="74">
        <f>SUM(K47:K50)</f>
        <v/>
      </c>
      <c r="L46" s="74">
        <f>SUM(L47:L50)</f>
        <v/>
      </c>
      <c r="M46" s="74">
        <f>SUM(M47:M50)</f>
        <v/>
      </c>
      <c r="N46" s="74">
        <f>SUM(N47:N50)</f>
        <v/>
      </c>
      <c r="O46" s="74">
        <f>SUM(O47:O50)</f>
        <v/>
      </c>
      <c r="P46" s="74">
        <f>SUM(P47:P50)</f>
        <v/>
      </c>
    </row>
    <row r="47" ht="21" customHeight="1">
      <c r="A47" s="75" t="inlineStr">
        <is>
          <t>הלוואת רכב</t>
        </is>
      </c>
      <c r="B47" s="60" t="n">
        <v>1100</v>
      </c>
      <c r="C47" s="61" t="n">
        <v>1100</v>
      </c>
      <c r="D47" s="61" t="n">
        <v>1100</v>
      </c>
      <c r="E47" s="61" t="n">
        <v>1100</v>
      </c>
      <c r="F47" s="61" t="n">
        <v>1100</v>
      </c>
      <c r="G47" s="61" t="n">
        <v>1100</v>
      </c>
      <c r="H47" s="61" t="n">
        <v>1100</v>
      </c>
      <c r="I47" s="61" t="n">
        <v>1100</v>
      </c>
      <c r="J47" s="61" t="n">
        <v>1100</v>
      </c>
      <c r="K47" s="61" t="n">
        <v>1100</v>
      </c>
      <c r="L47" s="61" t="n"/>
      <c r="M47" s="61" t="n"/>
      <c r="N47" s="61" t="n"/>
      <c r="O47" s="62">
        <f>SUM(C47:N47)</f>
        <v/>
      </c>
      <c r="P47" s="63">
        <f>IF(COUNT(C47:N47)=0,0,AVERAGE(C47:N47))</f>
        <v/>
      </c>
    </row>
    <row r="48" ht="21" customHeight="1">
      <c r="A48" s="75" t="inlineStr">
        <is>
          <t>הלוואה בנקאית</t>
        </is>
      </c>
      <c r="B48" s="60" t="n">
        <v>800</v>
      </c>
      <c r="C48" s="61" t="n">
        <v>800</v>
      </c>
      <c r="D48" s="61" t="n">
        <v>800</v>
      </c>
      <c r="E48" s="61" t="n">
        <v>800</v>
      </c>
      <c r="F48" s="61" t="n">
        <v>800</v>
      </c>
      <c r="G48" s="61" t="n">
        <v>800</v>
      </c>
      <c r="H48" s="61" t="n">
        <v>800</v>
      </c>
      <c r="I48" s="61" t="n">
        <v>800</v>
      </c>
      <c r="J48" s="61" t="n">
        <v>800</v>
      </c>
      <c r="K48" s="61" t="n">
        <v>800</v>
      </c>
      <c r="L48" s="61" t="n"/>
      <c r="M48" s="61" t="n"/>
      <c r="N48" s="61" t="n"/>
      <c r="O48" s="62">
        <f>SUM(C48:N48)</f>
        <v/>
      </c>
      <c r="P48" s="63">
        <f>IF(COUNT(C48:N48)=0,0,AVERAGE(C48:N48))</f>
        <v/>
      </c>
    </row>
    <row r="49" ht="21" customHeight="1">
      <c r="A49" s="75" t="inlineStr">
        <is>
          <t>כרטיס אשראי – פריסה</t>
        </is>
      </c>
      <c r="B49" s="60" t="n">
        <v>400</v>
      </c>
      <c r="C49" s="61" t="n">
        <v>400</v>
      </c>
      <c r="D49" s="61" t="n">
        <v>400</v>
      </c>
      <c r="E49" s="61" t="n">
        <v>400</v>
      </c>
      <c r="F49" s="61" t="n">
        <v>400</v>
      </c>
      <c r="G49" s="61" t="n">
        <v>400</v>
      </c>
      <c r="H49" s="61" t="n">
        <v>400</v>
      </c>
      <c r="I49" s="61" t="n">
        <v>400</v>
      </c>
      <c r="J49" s="61" t="n">
        <v>400</v>
      </c>
      <c r="K49" s="61" t="n">
        <v>400</v>
      </c>
      <c r="L49" s="61" t="n"/>
      <c r="M49" s="61" t="n"/>
      <c r="N49" s="61" t="n"/>
      <c r="O49" s="62">
        <f>SUM(C49:N49)</f>
        <v/>
      </c>
      <c r="P49" s="63">
        <f>IF(COUNT(C49:N49)=0,0,AVERAGE(C49:N49))</f>
        <v/>
      </c>
    </row>
    <row r="50" ht="21" customHeight="1">
      <c r="A50" s="75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2">
        <f>SUM(C50:N50)</f>
        <v/>
      </c>
      <c r="P50" s="63">
        <f>IF(COUNT(C50:N50)=0,0,AVERAGE(C50:N50))</f>
        <v/>
      </c>
    </row>
    <row r="52" ht="26" customHeight="1">
      <c r="A52" s="76" t="inlineStr">
        <is>
          <t>📊 סיכום</t>
        </is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</row>
    <row r="53" ht="21" customHeight="1">
      <c r="A53" s="51" t="inlineStr">
        <is>
          <t>סה"כ הכנסות</t>
        </is>
      </c>
      <c r="B53" s="77">
        <f>B6</f>
        <v/>
      </c>
      <c r="C53" s="77">
        <f>C6</f>
        <v/>
      </c>
      <c r="D53" s="77">
        <f>D6</f>
        <v/>
      </c>
      <c r="E53" s="77">
        <f>E6</f>
        <v/>
      </c>
      <c r="F53" s="77">
        <f>F6</f>
        <v/>
      </c>
      <c r="G53" s="77">
        <f>G6</f>
        <v/>
      </c>
      <c r="H53" s="77">
        <f>H6</f>
        <v/>
      </c>
      <c r="I53" s="77">
        <f>I6</f>
        <v/>
      </c>
      <c r="J53" s="77">
        <f>J6</f>
        <v/>
      </c>
      <c r="K53" s="77">
        <f>K6</f>
        <v/>
      </c>
      <c r="L53" s="77">
        <f>L6</f>
        <v/>
      </c>
      <c r="M53" s="77">
        <f>M6</f>
        <v/>
      </c>
      <c r="N53" s="77">
        <f>N6</f>
        <v/>
      </c>
      <c r="O53" s="78">
        <f>O6</f>
        <v/>
      </c>
      <c r="P53" s="78">
        <f>IF(MAX($C$58:$N$58)=0,0,O53/MAX($C$58:$N$58))</f>
        <v/>
      </c>
    </row>
    <row r="54" ht="21" customHeight="1">
      <c r="A54" s="51" t="inlineStr">
        <is>
          <t>סה"כ הוצאות (חשבונות + משתנות + חובות)</t>
        </is>
      </c>
      <c r="B54" s="77">
        <f>B21+B33+B46</f>
        <v/>
      </c>
      <c r="C54" s="77">
        <f>C21+C33+C46</f>
        <v/>
      </c>
      <c r="D54" s="77">
        <f>D21+D33+D46</f>
        <v/>
      </c>
      <c r="E54" s="77">
        <f>E21+E33+E46</f>
        <v/>
      </c>
      <c r="F54" s="77">
        <f>F21+F33+F46</f>
        <v/>
      </c>
      <c r="G54" s="77">
        <f>G21+G33+G46</f>
        <v/>
      </c>
      <c r="H54" s="77">
        <f>H21+H33+H46</f>
        <v/>
      </c>
      <c r="I54" s="77">
        <f>I21+I33+I46</f>
        <v/>
      </c>
      <c r="J54" s="77">
        <f>J21+J33+J46</f>
        <v/>
      </c>
      <c r="K54" s="77">
        <f>K21+K33+K46</f>
        <v/>
      </c>
      <c r="L54" s="77">
        <f>L21+L33+L46</f>
        <v/>
      </c>
      <c r="M54" s="77">
        <f>M21+M33+M46</f>
        <v/>
      </c>
      <c r="N54" s="77">
        <f>N21+N33+N46</f>
        <v/>
      </c>
      <c r="O54" s="78">
        <f>O21+O33+O46</f>
        <v/>
      </c>
      <c r="P54" s="78">
        <f>IF(MAX($C$58:$N$58)=0,0,O54/MAX($C$58:$N$58))</f>
        <v/>
      </c>
    </row>
    <row r="55" ht="21" customHeight="1">
      <c r="A55" s="51" t="inlineStr">
        <is>
          <t>סה"כ הופקד לחיסכון</t>
        </is>
      </c>
      <c r="B55" s="77">
        <f>B14</f>
        <v/>
      </c>
      <c r="C55" s="77">
        <f>C14</f>
        <v/>
      </c>
      <c r="D55" s="77">
        <f>D14</f>
        <v/>
      </c>
      <c r="E55" s="77">
        <f>E14</f>
        <v/>
      </c>
      <c r="F55" s="77">
        <f>F14</f>
        <v/>
      </c>
      <c r="G55" s="77">
        <f>G14</f>
        <v/>
      </c>
      <c r="H55" s="77">
        <f>H14</f>
        <v/>
      </c>
      <c r="I55" s="77">
        <f>I14</f>
        <v/>
      </c>
      <c r="J55" s="77">
        <f>J14</f>
        <v/>
      </c>
      <c r="K55" s="77">
        <f>K14</f>
        <v/>
      </c>
      <c r="L55" s="77">
        <f>L14</f>
        <v/>
      </c>
      <c r="M55" s="77">
        <f>M14</f>
        <v/>
      </c>
      <c r="N55" s="77">
        <f>N14</f>
        <v/>
      </c>
      <c r="O55" s="78">
        <f>O14</f>
        <v/>
      </c>
      <c r="P55" s="78">
        <f>IF(MAX($C$58:$N$58)=0,0,O55/MAX($C$58:$N$58))</f>
        <v/>
      </c>
    </row>
    <row r="56" ht="21" customHeight="1">
      <c r="A56" s="79" t="inlineStr">
        <is>
          <t>נשאר בעו"ש</t>
        </is>
      </c>
      <c r="B56" s="80">
        <f>B53-B54-B55</f>
        <v/>
      </c>
      <c r="C56" s="80">
        <f>C53-C54-C55</f>
        <v/>
      </c>
      <c r="D56" s="80">
        <f>D53-D54-D55</f>
        <v/>
      </c>
      <c r="E56" s="80">
        <f>E53-E54-E55</f>
        <v/>
      </c>
      <c r="F56" s="80">
        <f>F53-F54-F55</f>
        <v/>
      </c>
      <c r="G56" s="80">
        <f>G53-G54-G55</f>
        <v/>
      </c>
      <c r="H56" s="80">
        <f>H53-H54-H55</f>
        <v/>
      </c>
      <c r="I56" s="80">
        <f>I53-I54-I55</f>
        <v/>
      </c>
      <c r="J56" s="80">
        <f>J53-J54-J55</f>
        <v/>
      </c>
      <c r="K56" s="80">
        <f>K53-K54-K55</f>
        <v/>
      </c>
      <c r="L56" s="80">
        <f>L53-L54-L55</f>
        <v/>
      </c>
      <c r="M56" s="80">
        <f>M53-M54-M55</f>
        <v/>
      </c>
      <c r="N56" s="80">
        <f>N53-N54-N55</f>
        <v/>
      </c>
      <c r="O56" s="80">
        <f>O53-O54-O55</f>
        <v/>
      </c>
      <c r="P56" s="80">
        <f>IF(MAX($C$58:$N$58)=0,0,O56/MAX($C$58:$N$58))</f>
        <v/>
      </c>
    </row>
    <row r="57" ht="21" customHeight="1">
      <c r="A57" s="51" t="inlineStr">
        <is>
          <t>שיעור חיסכון</t>
        </is>
      </c>
      <c r="B57" s="81">
        <f>IF(N(B53)=0,"",B55/B53)</f>
        <v/>
      </c>
      <c r="C57" s="81">
        <f>IF(N(C53)=0,"",C55/C53)</f>
        <v/>
      </c>
      <c r="D57" s="81">
        <f>IF(N(D53)=0,"",D55/D53)</f>
        <v/>
      </c>
      <c r="E57" s="81">
        <f>IF(N(E53)=0,"",E55/E53)</f>
        <v/>
      </c>
      <c r="F57" s="81">
        <f>IF(N(F53)=0,"",F55/F53)</f>
        <v/>
      </c>
      <c r="G57" s="81">
        <f>IF(N(G53)=0,"",G55/G53)</f>
        <v/>
      </c>
      <c r="H57" s="81">
        <f>IF(N(H53)=0,"",H55/H53)</f>
        <v/>
      </c>
      <c r="I57" s="81">
        <f>IF(N(I53)=0,"",I55/I53)</f>
        <v/>
      </c>
      <c r="J57" s="81">
        <f>IF(N(J53)=0,"",J55/J53)</f>
        <v/>
      </c>
      <c r="K57" s="81">
        <f>IF(N(K53)=0,"",K55/K53)</f>
        <v/>
      </c>
      <c r="L57" s="81">
        <f>IF(N(L53)=0,"",L55/L53)</f>
        <v/>
      </c>
      <c r="M57" s="81">
        <f>IF(N(M53)=0,"",M55/M53)</f>
        <v/>
      </c>
      <c r="N57" s="81">
        <f>IF(N(N53)=0,"",N55/N53)</f>
        <v/>
      </c>
      <c r="O57" s="82">
        <f>IF(N(O53)=0,"",O55/O53)</f>
        <v/>
      </c>
      <c r="P57" s="82">
        <f>O57</f>
        <v/>
      </c>
    </row>
    <row r="58">
      <c r="A58" s="83" t="inlineStr">
        <is>
          <t>מולא?</t>
        </is>
      </c>
      <c r="C58" s="84">
        <f>IF(COUNT(C7:C12)+COUNT(C15:C19)+COUNT(C22:C31)+COUNT(C34:C44)+COUNT(C47:C50)&gt;0,C$4,0)</f>
        <v/>
      </c>
      <c r="D58" s="84">
        <f>IF(COUNT(D7:D12)+COUNT(D15:D19)+COUNT(D22:D31)+COUNT(D34:D44)+COUNT(D47:D50)&gt;0,D$4,0)</f>
        <v/>
      </c>
      <c r="E58" s="84">
        <f>IF(COUNT(E7:E12)+COUNT(E15:E19)+COUNT(E22:E31)+COUNT(E34:E44)+COUNT(E47:E50)&gt;0,E$4,0)</f>
        <v/>
      </c>
      <c r="F58" s="84">
        <f>IF(COUNT(F7:F12)+COUNT(F15:F19)+COUNT(F22:F31)+COUNT(F34:F44)+COUNT(F47:F50)&gt;0,F$4,0)</f>
        <v/>
      </c>
      <c r="G58" s="84">
        <f>IF(COUNT(G7:G12)+COUNT(G15:G19)+COUNT(G22:G31)+COUNT(G34:G44)+COUNT(G47:G50)&gt;0,G$4,0)</f>
        <v/>
      </c>
      <c r="H58" s="84">
        <f>IF(COUNT(H7:H12)+COUNT(H15:H19)+COUNT(H22:H31)+COUNT(H34:H44)+COUNT(H47:H50)&gt;0,H$4,0)</f>
        <v/>
      </c>
      <c r="I58" s="84">
        <f>IF(COUNT(I7:I12)+COUNT(I15:I19)+COUNT(I22:I31)+COUNT(I34:I44)+COUNT(I47:I50)&gt;0,I$4,0)</f>
        <v/>
      </c>
      <c r="J58" s="84">
        <f>IF(COUNT(J7:J12)+COUNT(J15:J19)+COUNT(J22:J31)+COUNT(J34:J44)+COUNT(J47:J50)&gt;0,J$4,0)</f>
        <v/>
      </c>
      <c r="K58" s="84">
        <f>IF(COUNT(K7:K12)+COUNT(K15:K19)+COUNT(K22:K31)+COUNT(K34:K44)+COUNT(K47:K50)&gt;0,K$4,0)</f>
        <v/>
      </c>
      <c r="L58" s="84">
        <f>IF(COUNT(L7:L12)+COUNT(L15:L19)+COUNT(L22:L31)+COUNT(L34:L44)+COUNT(L47:L50)&gt;0,L$4,0)</f>
        <v/>
      </c>
      <c r="M58" s="84">
        <f>IF(COUNT(M7:M12)+COUNT(M15:M19)+COUNT(M22:M31)+COUNT(M34:M44)+COUNT(M47:M50)&gt;0,M$4,0)</f>
        <v/>
      </c>
      <c r="N58" s="84">
        <f>IF(COUNT(N7:N12)+COUNT(N15:N19)+COUNT(N22:N31)+COUNT(N34:N44)+COUNT(N47:N50)&gt;0,N$4,0)</f>
        <v/>
      </c>
    </row>
  </sheetData>
  <mergeCells count="3">
    <mergeCell ref="D3:P3"/>
    <mergeCell ref="A1:P1"/>
    <mergeCell ref="A2:P2"/>
  </mergeCells>
  <conditionalFormatting sqref="C22:N22">
    <cfRule type="expression" priority="1" dxfId="2">
      <formula>AND(ISNUMBER(C22),$B22&gt;0,C22&gt;$B22)</formula>
    </cfRule>
  </conditionalFormatting>
  <conditionalFormatting sqref="C23:N23">
    <cfRule type="expression" priority="2" dxfId="2">
      <formula>AND(ISNUMBER(C23),$B23&gt;0,C23&gt;$B23)</formula>
    </cfRule>
  </conditionalFormatting>
  <conditionalFormatting sqref="C24:N24">
    <cfRule type="expression" priority="3" dxfId="2">
      <formula>AND(ISNUMBER(C24),$B24&gt;0,C24&gt;$B24)</formula>
    </cfRule>
  </conditionalFormatting>
  <conditionalFormatting sqref="C25:N25">
    <cfRule type="expression" priority="4" dxfId="2">
      <formula>AND(ISNUMBER(C25),$B25&gt;0,C25&gt;$B25)</formula>
    </cfRule>
  </conditionalFormatting>
  <conditionalFormatting sqref="C26:N26">
    <cfRule type="expression" priority="5" dxfId="2">
      <formula>AND(ISNUMBER(C26),$B26&gt;0,C26&gt;$B26)</formula>
    </cfRule>
  </conditionalFormatting>
  <conditionalFormatting sqref="C27:N27">
    <cfRule type="expression" priority="6" dxfId="2">
      <formula>AND(ISNUMBER(C27),$B27&gt;0,C27&gt;$B27)</formula>
    </cfRule>
  </conditionalFormatting>
  <conditionalFormatting sqref="C28:N28">
    <cfRule type="expression" priority="7" dxfId="2">
      <formula>AND(ISNUMBER(C28),$B28&gt;0,C28&gt;$B28)</formula>
    </cfRule>
  </conditionalFormatting>
  <conditionalFormatting sqref="C29:N29">
    <cfRule type="expression" priority="8" dxfId="2">
      <formula>AND(ISNUMBER(C29),$B29&gt;0,C29&gt;$B29)</formula>
    </cfRule>
  </conditionalFormatting>
  <conditionalFormatting sqref="C30:N30">
    <cfRule type="expression" priority="9" dxfId="2">
      <formula>AND(ISNUMBER(C30),$B30&gt;0,C30&gt;$B30)</formula>
    </cfRule>
  </conditionalFormatting>
  <conditionalFormatting sqref="C31:N31">
    <cfRule type="expression" priority="10" dxfId="2">
      <formula>AND(ISNUMBER(C31),$B31&gt;0,C31&gt;$B31)</formula>
    </cfRule>
  </conditionalFormatting>
  <conditionalFormatting sqref="C34:N34">
    <cfRule type="expression" priority="11" dxfId="2">
      <formula>AND(ISNUMBER(C34),$B34&gt;0,C34&gt;$B34)</formula>
    </cfRule>
  </conditionalFormatting>
  <conditionalFormatting sqref="C35:N35">
    <cfRule type="expression" priority="12" dxfId="2">
      <formula>AND(ISNUMBER(C35),$B35&gt;0,C35&gt;$B35)</formula>
    </cfRule>
  </conditionalFormatting>
  <conditionalFormatting sqref="C36:N36">
    <cfRule type="expression" priority="13" dxfId="2">
      <formula>AND(ISNUMBER(C36),$B36&gt;0,C36&gt;$B36)</formula>
    </cfRule>
  </conditionalFormatting>
  <conditionalFormatting sqref="C37:N37">
    <cfRule type="expression" priority="14" dxfId="2">
      <formula>AND(ISNUMBER(C37),$B37&gt;0,C37&gt;$B37)</formula>
    </cfRule>
  </conditionalFormatting>
  <conditionalFormatting sqref="C38:N38">
    <cfRule type="expression" priority="15" dxfId="2">
      <formula>AND(ISNUMBER(C38),$B38&gt;0,C38&gt;$B38)</formula>
    </cfRule>
  </conditionalFormatting>
  <conditionalFormatting sqref="C39:N39">
    <cfRule type="expression" priority="16" dxfId="2">
      <formula>AND(ISNUMBER(C39),$B39&gt;0,C39&gt;$B39)</formula>
    </cfRule>
  </conditionalFormatting>
  <conditionalFormatting sqref="C40:N40">
    <cfRule type="expression" priority="17" dxfId="2">
      <formula>AND(ISNUMBER(C40),$B40&gt;0,C40&gt;$B40)</formula>
    </cfRule>
  </conditionalFormatting>
  <conditionalFormatting sqref="C41:N41">
    <cfRule type="expression" priority="18" dxfId="2">
      <formula>AND(ISNUMBER(C41),$B41&gt;0,C41&gt;$B41)</formula>
    </cfRule>
  </conditionalFormatting>
  <conditionalFormatting sqref="C42:N42">
    <cfRule type="expression" priority="19" dxfId="2">
      <formula>AND(ISNUMBER(C42),$B42&gt;0,C42&gt;$B42)</formula>
    </cfRule>
  </conditionalFormatting>
  <conditionalFormatting sqref="C43:N43">
    <cfRule type="expression" priority="20" dxfId="2">
      <formula>AND(ISNUMBER(C43),$B43&gt;0,C43&gt;$B43)</formula>
    </cfRule>
  </conditionalFormatting>
  <conditionalFormatting sqref="C44:N44">
    <cfRule type="expression" priority="21" dxfId="2">
      <formula>AND(ISNUMBER(C44),$B44&gt;0,C44&gt;$B44)</formula>
    </cfRule>
  </conditionalFormatting>
  <conditionalFormatting sqref="C47:N47">
    <cfRule type="expression" priority="22" dxfId="2">
      <formula>AND(ISNUMBER(C47),$B47&gt;0,C47&gt;$B47)</formula>
    </cfRule>
  </conditionalFormatting>
  <conditionalFormatting sqref="C48:N48">
    <cfRule type="expression" priority="23" dxfId="2">
      <formula>AND(ISNUMBER(C48),$B48&gt;0,C48&gt;$B48)</formula>
    </cfRule>
  </conditionalFormatting>
  <conditionalFormatting sqref="C49:N49">
    <cfRule type="expression" priority="24" dxfId="2">
      <formula>AND(ISNUMBER(C49),$B49&gt;0,C49&gt;$B49)</formula>
    </cfRule>
  </conditionalFormatting>
  <conditionalFormatting sqref="C50:N50">
    <cfRule type="expression" priority="25" dxfId="2">
      <formula>AND(ISNUMBER(C50),$B50&gt;0,C50&gt;$B50)</formula>
    </cfRule>
  </conditionalFormatting>
  <dataValidations count="1">
    <dataValidation sqref="B7:N7 B8:N8 B9:N9 B10:N10 B11:N11 B12:N12 B15:N15 B16:N16 B17:N17 B18:N18 B19:N19 B22:N22 B23:N23 B24:N24 B25:N25 B26:N26 B27:N27 B28:N28 B29:N29 B30:N30 B31:N31 B34:N34 B35:N35 B36:N36 B37:N37 B38:N38 B39:N39 B40:N40 B41:N41 B42:N42 B43:N43 B44:N44 B47:N47 B48:N48 B49:N49 B50:N50" showDropDown="0" showInputMessage="0" showErrorMessage="1" allowBlank="1" errorTitle="סכום לא תקין" error="הזן סכום חיובי (בלי סימן ₪)" type="decimal" operator="greaterThanOrEqual">
      <formula1>0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P110"/>
  <sheetViews>
    <sheetView showGridLines="0" rightToLeft="1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" customWidth="1" min="16" max="16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44" customHeight="1">
      <c r="A2" s="1" t="n"/>
      <c r="B2" s="2" t="inlineStr">
        <is>
          <t>📈 מגמות לאורך השנה</t>
        </is>
      </c>
      <c r="P2" s="1" t="n"/>
    </row>
    <row r="3" ht="22" customHeight="1">
      <c r="A3" s="1" t="n"/>
      <c r="B3" s="3" t="inlineStr">
        <is>
          <t>איך הכסף זז מחודש לחודש – הכנסות, הוצאות, חיסכון ומפת חום של כל קטגוריה</t>
        </is>
      </c>
      <c r="P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26" customHeight="1">
      <c r="A5" s="1" t="n"/>
      <c r="B5" s="27" t="inlineStr">
        <is>
          <t>📅 סיכום לפי חודש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30" customHeight="1">
      <c r="A6" s="1" t="n"/>
      <c r="B6" s="28" t="inlineStr">
        <is>
          <t>חודש</t>
        </is>
      </c>
      <c r="C6" s="28" t="inlineStr">
        <is>
          <t>הכנסות</t>
        </is>
      </c>
      <c r="D6" s="28" t="inlineStr">
        <is>
          <t>חשבונות ומנויים</t>
        </is>
      </c>
      <c r="E6" s="28" t="inlineStr">
        <is>
          <t>הוצאות משתנות</t>
        </is>
      </c>
      <c r="F6" s="28" t="inlineStr">
        <is>
          <t>חובות</t>
        </is>
      </c>
      <c r="G6" s="28" t="inlineStr">
        <is>
          <t>סה"כ הוצאות</t>
        </is>
      </c>
      <c r="H6" s="28" t="inlineStr">
        <is>
          <t>חיסכון</t>
        </is>
      </c>
      <c r="I6" s="28" t="inlineStr">
        <is>
          <t>נשאר בעו"ש</t>
        </is>
      </c>
      <c r="J6" s="28" t="inlineStr">
        <is>
          <t>שיעור חיסכון</t>
        </is>
      </c>
      <c r="K6" s="28" t="inlineStr">
        <is>
          <t>חיסכון מצטבר</t>
        </is>
      </c>
      <c r="L6" s="1" t="n"/>
      <c r="M6" s="1" t="n"/>
      <c r="N6" s="1" t="n"/>
      <c r="O6" s="1" t="n"/>
      <c r="P6" s="1" t="n"/>
    </row>
    <row r="7" ht="21" customHeight="1">
      <c r="A7" s="1" t="n"/>
      <c r="B7" s="51" t="inlineStr">
        <is>
          <t>ינואר</t>
        </is>
      </c>
      <c r="C7" s="77">
        <f>IF('📥 הזנה חודשית'!C$58=0,"",'📥 הזנה חודשית'!C53)</f>
        <v/>
      </c>
      <c r="D7" s="77">
        <f>IF('📥 הזנה חודשית'!C$58=0,"",'📥 הזנה חודשית'!C21)</f>
        <v/>
      </c>
      <c r="E7" s="77">
        <f>IF('📥 הזנה חודשית'!C$58=0,"",'📥 הזנה חודשית'!C33)</f>
        <v/>
      </c>
      <c r="F7" s="77">
        <f>IF('📥 הזנה חודשית'!C$58=0,"",'📥 הזנה חודשית'!C46)</f>
        <v/>
      </c>
      <c r="G7" s="33">
        <f>IF('📥 הזנה חודשית'!C$58=0,"",'📥 הזנה חודשית'!C54)</f>
        <v/>
      </c>
      <c r="H7" s="77">
        <f>IF('📥 הזנה חודשית'!C$58=0,"",'📥 הזנה חודשית'!C55)</f>
        <v/>
      </c>
      <c r="I7" s="85">
        <f>IF('📥 הזנה חודשית'!C$58=0,"",'📥 הזנה חודשית'!C56)</f>
        <v/>
      </c>
      <c r="J7" s="52">
        <f>IF(OR(C7="",N(C7)=0),"",H7/C7)</f>
        <v/>
      </c>
      <c r="K7" s="86">
        <f>IF(H7="","",SUM(H$7:H7))</f>
        <v/>
      </c>
      <c r="L7" s="1" t="n"/>
      <c r="M7" s="1" t="n"/>
      <c r="N7" s="1" t="n"/>
      <c r="O7" s="1" t="n"/>
      <c r="P7" s="1" t="n"/>
    </row>
    <row r="8" ht="21" customHeight="1">
      <c r="A8" s="1" t="n"/>
      <c r="B8" s="87" t="inlineStr">
        <is>
          <t>פברואר</t>
        </is>
      </c>
      <c r="C8" s="78">
        <f>IF('📥 הזנה חודשית'!D$58=0,"",'📥 הזנה חודשית'!D53)</f>
        <v/>
      </c>
      <c r="D8" s="78">
        <f>IF('📥 הזנה חודשית'!D$58=0,"",'📥 הזנה חודשית'!D21)</f>
        <v/>
      </c>
      <c r="E8" s="78">
        <f>IF('📥 הזנה חודשית'!D$58=0,"",'📥 הזנה חודשית'!D33)</f>
        <v/>
      </c>
      <c r="F8" s="78">
        <f>IF('📥 הזנה חודשית'!D$58=0,"",'📥 הזנה חודשית'!D46)</f>
        <v/>
      </c>
      <c r="G8" s="62">
        <f>IF('📥 הזנה חודשית'!D$58=0,"",'📥 הזנה חודשית'!D54)</f>
        <v/>
      </c>
      <c r="H8" s="78">
        <f>IF('📥 הזנה חודשית'!D$58=0,"",'📥 הזנה חודשית'!D55)</f>
        <v/>
      </c>
      <c r="I8" s="80">
        <f>IF('📥 הזנה חודשית'!D$58=0,"",'📥 הזנה חודשית'!D56)</f>
        <v/>
      </c>
      <c r="J8" s="88">
        <f>IF(OR(C8="",N(C8)=0),"",H8/C8)</f>
        <v/>
      </c>
      <c r="K8" s="89">
        <f>IF(H8="","",SUM(H$7:H8))</f>
        <v/>
      </c>
      <c r="L8" s="1" t="n"/>
      <c r="M8" s="1" t="n"/>
      <c r="N8" s="1" t="n"/>
      <c r="O8" s="1" t="n"/>
      <c r="P8" s="1" t="n"/>
    </row>
    <row r="9" ht="21" customHeight="1">
      <c r="A9" s="1" t="n"/>
      <c r="B9" s="51" t="inlineStr">
        <is>
          <t>מרץ</t>
        </is>
      </c>
      <c r="C9" s="77">
        <f>IF('📥 הזנה חודשית'!E$58=0,"",'📥 הזנה חודשית'!E53)</f>
        <v/>
      </c>
      <c r="D9" s="77">
        <f>IF('📥 הזנה חודשית'!E$58=0,"",'📥 הזנה חודשית'!E21)</f>
        <v/>
      </c>
      <c r="E9" s="77">
        <f>IF('📥 הזנה חודשית'!E$58=0,"",'📥 הזנה חודשית'!E33)</f>
        <v/>
      </c>
      <c r="F9" s="77">
        <f>IF('📥 הזנה חודשית'!E$58=0,"",'📥 הזנה חודשית'!E46)</f>
        <v/>
      </c>
      <c r="G9" s="33">
        <f>IF('📥 הזנה חודשית'!E$58=0,"",'📥 הזנה חודשית'!E54)</f>
        <v/>
      </c>
      <c r="H9" s="77">
        <f>IF('📥 הזנה חודשית'!E$58=0,"",'📥 הזנה חודשית'!E55)</f>
        <v/>
      </c>
      <c r="I9" s="85">
        <f>IF('📥 הזנה חודשית'!E$58=0,"",'📥 הזנה חודשית'!E56)</f>
        <v/>
      </c>
      <c r="J9" s="52">
        <f>IF(OR(C9="",N(C9)=0),"",H9/C9)</f>
        <v/>
      </c>
      <c r="K9" s="86">
        <f>IF(H9="","",SUM(H$7:H9))</f>
        <v/>
      </c>
      <c r="L9" s="1" t="n"/>
      <c r="M9" s="1" t="n"/>
      <c r="N9" s="1" t="n"/>
      <c r="O9" s="1" t="n"/>
      <c r="P9" s="1" t="n"/>
    </row>
    <row r="10" ht="21" customHeight="1">
      <c r="A10" s="1" t="n"/>
      <c r="B10" s="87" t="inlineStr">
        <is>
          <t>אפריל</t>
        </is>
      </c>
      <c r="C10" s="78">
        <f>IF('📥 הזנה חודשית'!F$58=0,"",'📥 הזנה חודשית'!F53)</f>
        <v/>
      </c>
      <c r="D10" s="78">
        <f>IF('📥 הזנה חודשית'!F$58=0,"",'📥 הזנה חודשית'!F21)</f>
        <v/>
      </c>
      <c r="E10" s="78">
        <f>IF('📥 הזנה חודשית'!F$58=0,"",'📥 הזנה חודשית'!F33)</f>
        <v/>
      </c>
      <c r="F10" s="78">
        <f>IF('📥 הזנה חודשית'!F$58=0,"",'📥 הזנה חודשית'!F46)</f>
        <v/>
      </c>
      <c r="G10" s="62">
        <f>IF('📥 הזנה חודשית'!F$58=0,"",'📥 הזנה חודשית'!F54)</f>
        <v/>
      </c>
      <c r="H10" s="78">
        <f>IF('📥 הזנה חודשית'!F$58=0,"",'📥 הזנה חודשית'!F55)</f>
        <v/>
      </c>
      <c r="I10" s="80">
        <f>IF('📥 הזנה חודשית'!F$58=0,"",'📥 הזנה חודשית'!F56)</f>
        <v/>
      </c>
      <c r="J10" s="88">
        <f>IF(OR(C10="",N(C10)=0),"",H10/C10)</f>
        <v/>
      </c>
      <c r="K10" s="89">
        <f>IF(H10="","",SUM(H$7:H10))</f>
        <v/>
      </c>
      <c r="L10" s="1" t="n"/>
      <c r="M10" s="1" t="n"/>
      <c r="N10" s="1" t="n"/>
      <c r="O10" s="1" t="n"/>
      <c r="P10" s="1" t="n"/>
    </row>
    <row r="11" ht="21" customHeight="1">
      <c r="A11" s="1" t="n"/>
      <c r="B11" s="51" t="inlineStr">
        <is>
          <t>מאי</t>
        </is>
      </c>
      <c r="C11" s="77">
        <f>IF('📥 הזנה חודשית'!G$58=0,"",'📥 הזנה חודשית'!G53)</f>
        <v/>
      </c>
      <c r="D11" s="77">
        <f>IF('📥 הזנה חודשית'!G$58=0,"",'📥 הזנה חודשית'!G21)</f>
        <v/>
      </c>
      <c r="E11" s="77">
        <f>IF('📥 הזנה חודשית'!G$58=0,"",'📥 הזנה חודשית'!G33)</f>
        <v/>
      </c>
      <c r="F11" s="77">
        <f>IF('📥 הזנה חודשית'!G$58=0,"",'📥 הזנה חודשית'!G46)</f>
        <v/>
      </c>
      <c r="G11" s="33">
        <f>IF('📥 הזנה חודשית'!G$58=0,"",'📥 הזנה חודשית'!G54)</f>
        <v/>
      </c>
      <c r="H11" s="77">
        <f>IF('📥 הזנה חודשית'!G$58=0,"",'📥 הזנה חודשית'!G55)</f>
        <v/>
      </c>
      <c r="I11" s="85">
        <f>IF('📥 הזנה חודשית'!G$58=0,"",'📥 הזנה חודשית'!G56)</f>
        <v/>
      </c>
      <c r="J11" s="52">
        <f>IF(OR(C11="",N(C11)=0),"",H11/C11)</f>
        <v/>
      </c>
      <c r="K11" s="86">
        <f>IF(H11="","",SUM(H$7:H11))</f>
        <v/>
      </c>
      <c r="L11" s="1" t="n"/>
      <c r="M11" s="1" t="n"/>
      <c r="N11" s="1" t="n"/>
      <c r="O11" s="1" t="n"/>
      <c r="P11" s="1" t="n"/>
    </row>
    <row r="12" ht="21" customHeight="1">
      <c r="A12" s="1" t="n"/>
      <c r="B12" s="87" t="inlineStr">
        <is>
          <t>יוני</t>
        </is>
      </c>
      <c r="C12" s="78">
        <f>IF('📥 הזנה חודשית'!H$58=0,"",'📥 הזנה חודשית'!H53)</f>
        <v/>
      </c>
      <c r="D12" s="78">
        <f>IF('📥 הזנה חודשית'!H$58=0,"",'📥 הזנה חודשית'!H21)</f>
        <v/>
      </c>
      <c r="E12" s="78">
        <f>IF('📥 הזנה חודשית'!H$58=0,"",'📥 הזנה חודשית'!H33)</f>
        <v/>
      </c>
      <c r="F12" s="78">
        <f>IF('📥 הזנה חודשית'!H$58=0,"",'📥 הזנה חודשית'!H46)</f>
        <v/>
      </c>
      <c r="G12" s="62">
        <f>IF('📥 הזנה חודשית'!H$58=0,"",'📥 הזנה חודשית'!H54)</f>
        <v/>
      </c>
      <c r="H12" s="78">
        <f>IF('📥 הזנה חודשית'!H$58=0,"",'📥 הזנה חודשית'!H55)</f>
        <v/>
      </c>
      <c r="I12" s="80">
        <f>IF('📥 הזנה חודשית'!H$58=0,"",'📥 הזנה חודשית'!H56)</f>
        <v/>
      </c>
      <c r="J12" s="88">
        <f>IF(OR(C12="",N(C12)=0),"",H12/C12)</f>
        <v/>
      </c>
      <c r="K12" s="89">
        <f>IF(H12="","",SUM(H$7:H12))</f>
        <v/>
      </c>
      <c r="L12" s="1" t="n"/>
      <c r="M12" s="1" t="n"/>
      <c r="N12" s="1" t="n"/>
      <c r="O12" s="1" t="n"/>
      <c r="P12" s="1" t="n"/>
    </row>
    <row r="13" ht="21" customHeight="1">
      <c r="A13" s="1" t="n"/>
      <c r="B13" s="51" t="inlineStr">
        <is>
          <t>יולי</t>
        </is>
      </c>
      <c r="C13" s="77">
        <f>IF('📥 הזנה חודשית'!I$58=0,"",'📥 הזנה חודשית'!I53)</f>
        <v/>
      </c>
      <c r="D13" s="77">
        <f>IF('📥 הזנה חודשית'!I$58=0,"",'📥 הזנה חודשית'!I21)</f>
        <v/>
      </c>
      <c r="E13" s="77">
        <f>IF('📥 הזנה חודשית'!I$58=0,"",'📥 הזנה חודשית'!I33)</f>
        <v/>
      </c>
      <c r="F13" s="77">
        <f>IF('📥 הזנה חודשית'!I$58=0,"",'📥 הזנה חודשית'!I46)</f>
        <v/>
      </c>
      <c r="G13" s="33">
        <f>IF('📥 הזנה חודשית'!I$58=0,"",'📥 הזנה חודשית'!I54)</f>
        <v/>
      </c>
      <c r="H13" s="77">
        <f>IF('📥 הזנה חודשית'!I$58=0,"",'📥 הזנה חודשית'!I55)</f>
        <v/>
      </c>
      <c r="I13" s="85">
        <f>IF('📥 הזנה חודשית'!I$58=0,"",'📥 הזנה חודשית'!I56)</f>
        <v/>
      </c>
      <c r="J13" s="52">
        <f>IF(OR(C13="",N(C13)=0),"",H13/C13)</f>
        <v/>
      </c>
      <c r="K13" s="86">
        <f>IF(H13="","",SUM(H$7:H13))</f>
        <v/>
      </c>
      <c r="L13" s="1" t="n"/>
      <c r="M13" s="1" t="n"/>
      <c r="N13" s="1" t="n"/>
      <c r="O13" s="1" t="n"/>
      <c r="P13" s="1" t="n"/>
    </row>
    <row r="14" ht="21" customHeight="1">
      <c r="A14" s="1" t="n"/>
      <c r="B14" s="87" t="inlineStr">
        <is>
          <t>אוגוסט</t>
        </is>
      </c>
      <c r="C14" s="78">
        <f>IF('📥 הזנה חודשית'!J$58=0,"",'📥 הזנה חודשית'!J53)</f>
        <v/>
      </c>
      <c r="D14" s="78">
        <f>IF('📥 הזנה חודשית'!J$58=0,"",'📥 הזנה חודשית'!J21)</f>
        <v/>
      </c>
      <c r="E14" s="78">
        <f>IF('📥 הזנה חודשית'!J$58=0,"",'📥 הזנה חודשית'!J33)</f>
        <v/>
      </c>
      <c r="F14" s="78">
        <f>IF('📥 הזנה חודשית'!J$58=0,"",'📥 הזנה חודשית'!J46)</f>
        <v/>
      </c>
      <c r="G14" s="62">
        <f>IF('📥 הזנה חודשית'!J$58=0,"",'📥 הזנה חודשית'!J54)</f>
        <v/>
      </c>
      <c r="H14" s="78">
        <f>IF('📥 הזנה חודשית'!J$58=0,"",'📥 הזנה חודשית'!J55)</f>
        <v/>
      </c>
      <c r="I14" s="80">
        <f>IF('📥 הזנה חודשית'!J$58=0,"",'📥 הזנה חודשית'!J56)</f>
        <v/>
      </c>
      <c r="J14" s="88">
        <f>IF(OR(C14="",N(C14)=0),"",H14/C14)</f>
        <v/>
      </c>
      <c r="K14" s="89">
        <f>IF(H14="","",SUM(H$7:H14))</f>
        <v/>
      </c>
      <c r="L14" s="1" t="n"/>
      <c r="M14" s="1" t="n"/>
      <c r="N14" s="1" t="n"/>
      <c r="O14" s="1" t="n"/>
      <c r="P14" s="1" t="n"/>
    </row>
    <row r="15" ht="21" customHeight="1">
      <c r="A15" s="1" t="n"/>
      <c r="B15" s="51" t="inlineStr">
        <is>
          <t>ספטמבר</t>
        </is>
      </c>
      <c r="C15" s="77">
        <f>IF('📥 הזנה חודשית'!K$58=0,"",'📥 הזנה חודשית'!K53)</f>
        <v/>
      </c>
      <c r="D15" s="77">
        <f>IF('📥 הזנה חודשית'!K$58=0,"",'📥 הזנה חודשית'!K21)</f>
        <v/>
      </c>
      <c r="E15" s="77">
        <f>IF('📥 הזנה חודשית'!K$58=0,"",'📥 הזנה חודשית'!K33)</f>
        <v/>
      </c>
      <c r="F15" s="77">
        <f>IF('📥 הזנה חודשית'!K$58=0,"",'📥 הזנה חודשית'!K46)</f>
        <v/>
      </c>
      <c r="G15" s="33">
        <f>IF('📥 הזנה חודשית'!K$58=0,"",'📥 הזנה חודשית'!K54)</f>
        <v/>
      </c>
      <c r="H15" s="77">
        <f>IF('📥 הזנה חודשית'!K$58=0,"",'📥 הזנה חודשית'!K55)</f>
        <v/>
      </c>
      <c r="I15" s="85">
        <f>IF('📥 הזנה חודשית'!K$58=0,"",'📥 הזנה חודשית'!K56)</f>
        <v/>
      </c>
      <c r="J15" s="52">
        <f>IF(OR(C15="",N(C15)=0),"",H15/C15)</f>
        <v/>
      </c>
      <c r="K15" s="86">
        <f>IF(H15="","",SUM(H$7:H15))</f>
        <v/>
      </c>
      <c r="L15" s="1" t="n"/>
      <c r="M15" s="1" t="n"/>
      <c r="N15" s="1" t="n"/>
      <c r="O15" s="1" t="n"/>
      <c r="P15" s="1" t="n"/>
    </row>
    <row r="16" ht="21" customHeight="1">
      <c r="A16" s="1" t="n"/>
      <c r="B16" s="87" t="inlineStr">
        <is>
          <t>אוקטובר</t>
        </is>
      </c>
      <c r="C16" s="78">
        <f>IF('📥 הזנה חודשית'!L$58=0,"",'📥 הזנה חודשית'!L53)</f>
        <v/>
      </c>
      <c r="D16" s="78">
        <f>IF('📥 הזנה חודשית'!L$58=0,"",'📥 הזנה חודשית'!L21)</f>
        <v/>
      </c>
      <c r="E16" s="78">
        <f>IF('📥 הזנה חודשית'!L$58=0,"",'📥 הזנה חודשית'!L33)</f>
        <v/>
      </c>
      <c r="F16" s="78">
        <f>IF('📥 הזנה חודשית'!L$58=0,"",'📥 הזנה חודשית'!L46)</f>
        <v/>
      </c>
      <c r="G16" s="62">
        <f>IF('📥 הזנה חודשית'!L$58=0,"",'📥 הזנה חודשית'!L54)</f>
        <v/>
      </c>
      <c r="H16" s="78">
        <f>IF('📥 הזנה חודשית'!L$58=0,"",'📥 הזנה חודשית'!L55)</f>
        <v/>
      </c>
      <c r="I16" s="80">
        <f>IF('📥 הזנה חודשית'!L$58=0,"",'📥 הזנה חודשית'!L56)</f>
        <v/>
      </c>
      <c r="J16" s="88">
        <f>IF(OR(C16="",N(C16)=0),"",H16/C16)</f>
        <v/>
      </c>
      <c r="K16" s="89">
        <f>IF(H16="","",SUM(H$7:H16))</f>
        <v/>
      </c>
      <c r="L16" s="1" t="n"/>
      <c r="M16" s="1" t="n"/>
      <c r="N16" s="1" t="n"/>
      <c r="O16" s="1" t="n"/>
      <c r="P16" s="1" t="n"/>
    </row>
    <row r="17" ht="21" customHeight="1">
      <c r="A17" s="1" t="n"/>
      <c r="B17" s="51" t="inlineStr">
        <is>
          <t>נובמבר</t>
        </is>
      </c>
      <c r="C17" s="77">
        <f>IF('📥 הזנה חודשית'!M$58=0,"",'📥 הזנה חודשית'!M53)</f>
        <v/>
      </c>
      <c r="D17" s="77">
        <f>IF('📥 הזנה חודשית'!M$58=0,"",'📥 הזנה חודשית'!M21)</f>
        <v/>
      </c>
      <c r="E17" s="77">
        <f>IF('📥 הזנה חודשית'!M$58=0,"",'📥 הזנה חודשית'!M33)</f>
        <v/>
      </c>
      <c r="F17" s="77">
        <f>IF('📥 הזנה חודשית'!M$58=0,"",'📥 הזנה חודשית'!M46)</f>
        <v/>
      </c>
      <c r="G17" s="33">
        <f>IF('📥 הזנה חודשית'!M$58=0,"",'📥 הזנה חודשית'!M54)</f>
        <v/>
      </c>
      <c r="H17" s="77">
        <f>IF('📥 הזנה חודשית'!M$58=0,"",'📥 הזנה חודשית'!M55)</f>
        <v/>
      </c>
      <c r="I17" s="85">
        <f>IF('📥 הזנה חודשית'!M$58=0,"",'📥 הזנה חודשית'!M56)</f>
        <v/>
      </c>
      <c r="J17" s="52">
        <f>IF(OR(C17="",N(C17)=0),"",H17/C17)</f>
        <v/>
      </c>
      <c r="K17" s="86">
        <f>IF(H17="","",SUM(H$7:H17))</f>
        <v/>
      </c>
      <c r="L17" s="1" t="n"/>
      <c r="M17" s="1" t="n"/>
      <c r="N17" s="1" t="n"/>
      <c r="O17" s="1" t="n"/>
      <c r="P17" s="1" t="n"/>
    </row>
    <row r="18" ht="21" customHeight="1">
      <c r="A18" s="1" t="n"/>
      <c r="B18" s="87" t="inlineStr">
        <is>
          <t>דצמבר</t>
        </is>
      </c>
      <c r="C18" s="78">
        <f>IF('📥 הזנה חודשית'!N$58=0,"",'📥 הזנה חודשית'!N53)</f>
        <v/>
      </c>
      <c r="D18" s="78">
        <f>IF('📥 הזנה חודשית'!N$58=0,"",'📥 הזנה חודשית'!N21)</f>
        <v/>
      </c>
      <c r="E18" s="78">
        <f>IF('📥 הזנה חודשית'!N$58=0,"",'📥 הזנה חודשית'!N33)</f>
        <v/>
      </c>
      <c r="F18" s="78">
        <f>IF('📥 הזנה חודשית'!N$58=0,"",'📥 הזנה חודשית'!N46)</f>
        <v/>
      </c>
      <c r="G18" s="62">
        <f>IF('📥 הזנה חודשית'!N$58=0,"",'📥 הזנה חודשית'!N54)</f>
        <v/>
      </c>
      <c r="H18" s="78">
        <f>IF('📥 הזנה חודשית'!N$58=0,"",'📥 הזנה חודשית'!N55)</f>
        <v/>
      </c>
      <c r="I18" s="80">
        <f>IF('📥 הזנה חודשית'!N$58=0,"",'📥 הזנה חודשית'!N56)</f>
        <v/>
      </c>
      <c r="J18" s="88">
        <f>IF(OR(C18="",N(C18)=0),"",H18/C18)</f>
        <v/>
      </c>
      <c r="K18" s="89">
        <f>IF(H18="","",SUM(H$7:H18))</f>
        <v/>
      </c>
      <c r="L18" s="1" t="n"/>
      <c r="M18" s="1" t="n"/>
      <c r="N18" s="1" t="n"/>
      <c r="O18" s="1" t="n"/>
      <c r="P18" s="1" t="n"/>
    </row>
    <row r="19" ht="24" customHeight="1">
      <c r="A19" s="1" t="n"/>
      <c r="B19" s="29" t="inlineStr">
        <is>
          <t>סה"כ</t>
        </is>
      </c>
      <c r="C19" s="47">
        <f>SUM(C7:C18)</f>
        <v/>
      </c>
      <c r="D19" s="47">
        <f>SUM(D7:D18)</f>
        <v/>
      </c>
      <c r="E19" s="47">
        <f>SUM(E7:E18)</f>
        <v/>
      </c>
      <c r="F19" s="47">
        <f>SUM(F7:F18)</f>
        <v/>
      </c>
      <c r="G19" s="47">
        <f>SUM(G7:G18)</f>
        <v/>
      </c>
      <c r="H19" s="47">
        <f>SUM(H7:H18)</f>
        <v/>
      </c>
      <c r="I19" s="47">
        <f>SUM(I7:I18)</f>
        <v/>
      </c>
      <c r="J19" s="90">
        <f>IF(N(C19)=0,"",H19/C19)</f>
        <v/>
      </c>
      <c r="K19" s="48">
        <f>MAX(K7:K18)</f>
        <v/>
      </c>
      <c r="L19" s="1" t="n"/>
      <c r="M19" s="1" t="n"/>
      <c r="N19" s="1" t="n"/>
      <c r="O19" s="1" t="n"/>
      <c r="P19" s="1" t="n"/>
    </row>
    <row r="20" ht="24" customHeight="1">
      <c r="A20" s="1" t="n"/>
      <c r="B20" s="91" t="inlineStr">
        <is>
          <t>ממוצע לחודש</t>
        </is>
      </c>
      <c r="C20" s="92">
        <f>IF(COUNT(C7:C18)=0,"",AVERAGE(C7:C18))</f>
        <v/>
      </c>
      <c r="D20" s="92">
        <f>IF(COUNT(D7:D18)=0,"",AVERAGE(D7:D18))</f>
        <v/>
      </c>
      <c r="E20" s="92">
        <f>IF(COUNT(E7:E18)=0,"",AVERAGE(E7:E18))</f>
        <v/>
      </c>
      <c r="F20" s="92">
        <f>IF(COUNT(F7:F18)=0,"",AVERAGE(F7:F18))</f>
        <v/>
      </c>
      <c r="G20" s="92">
        <f>IF(COUNT(G7:G18)=0,"",AVERAGE(G7:G18))</f>
        <v/>
      </c>
      <c r="H20" s="92">
        <f>IF(COUNT(H7:H18)=0,"",AVERAGE(H7:H18))</f>
        <v/>
      </c>
      <c r="I20" s="92">
        <f>IF(COUNT(I7:I18)=0,"",AVERAGE(I7:I18))</f>
        <v/>
      </c>
      <c r="J20" s="93">
        <f>IF(N(C20)=0,"",H20/C20)</f>
        <v/>
      </c>
      <c r="K20" s="94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 ht="26" customHeight="1">
      <c r="A58" s="1" t="n"/>
      <c r="B58" s="27" t="inlineStr">
        <is>
          <t>🌡️ מפת חום – כמה הוצאתם בכל קטגוריה בכל חודש (כהה = יותר)</t>
        </is>
      </c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30" customHeight="1">
      <c r="A59" s="1" t="n"/>
      <c r="B59" s="28" t="inlineStr">
        <is>
          <t>קטגוריה</t>
        </is>
      </c>
      <c r="C59" s="28" t="inlineStr">
        <is>
          <t>ינואר</t>
        </is>
      </c>
      <c r="D59" s="28" t="inlineStr">
        <is>
          <t>פברואר</t>
        </is>
      </c>
      <c r="E59" s="28" t="inlineStr">
        <is>
          <t>מרץ</t>
        </is>
      </c>
      <c r="F59" s="28" t="inlineStr">
        <is>
          <t>אפריל</t>
        </is>
      </c>
      <c r="G59" s="28" t="inlineStr">
        <is>
          <t>מאי</t>
        </is>
      </c>
      <c r="H59" s="28" t="inlineStr">
        <is>
          <t>יוני</t>
        </is>
      </c>
      <c r="I59" s="28" t="inlineStr">
        <is>
          <t>יולי</t>
        </is>
      </c>
      <c r="J59" s="28" t="inlineStr">
        <is>
          <t>אוגוסט</t>
        </is>
      </c>
      <c r="K59" s="28" t="inlineStr">
        <is>
          <t>ספטמבר</t>
        </is>
      </c>
      <c r="L59" s="28" t="inlineStr">
        <is>
          <t>אוקטובר</t>
        </is>
      </c>
      <c r="M59" s="28" t="inlineStr">
        <is>
          <t>נובמבר</t>
        </is>
      </c>
      <c r="N59" s="28" t="inlineStr">
        <is>
          <t>דצמבר</t>
        </is>
      </c>
      <c r="O59" s="28" t="inlineStr">
        <is>
          <t>סה"כ</t>
        </is>
      </c>
      <c r="P59" s="1" t="n"/>
    </row>
    <row r="60">
      <c r="A60" s="1" t="n"/>
      <c r="B60" s="95" t="inlineStr">
        <is>
          <t>🧾 חשבונות ומנויים</t>
        </is>
      </c>
      <c r="C60" s="96" t="n"/>
      <c r="D60" s="96" t="n"/>
      <c r="E60" s="96" t="n"/>
      <c r="F60" s="96" t="n"/>
      <c r="G60" s="96" t="n"/>
      <c r="H60" s="96" t="n"/>
      <c r="I60" s="96" t="n"/>
      <c r="J60" s="96" t="n"/>
      <c r="K60" s="96" t="n"/>
      <c r="L60" s="96" t="n"/>
      <c r="M60" s="96" t="n"/>
      <c r="N60" s="96" t="n"/>
      <c r="O60" s="96" t="n"/>
      <c r="P60" s="1" t="n"/>
    </row>
    <row r="61" ht="20" customHeight="1">
      <c r="A61" s="1" t="n"/>
      <c r="B61" s="97">
        <f>IF('📥 הזנה חודשית'!$A$22="","",'📥 הזנה חודשית'!$A$22)</f>
        <v/>
      </c>
      <c r="C61" s="98">
        <f>IF(OR('📥 הזנה חודשית'!$A$22="",'📥 הזנה חודשית'!$C$22=""),"",'📥 הזנה חודשית'!$C$22)</f>
        <v/>
      </c>
      <c r="D61" s="98">
        <f>IF(OR('📥 הזנה חודשית'!$A$22="",'📥 הזנה חודשית'!$D$22=""),"",'📥 הזנה חודשית'!$D$22)</f>
        <v/>
      </c>
      <c r="E61" s="98">
        <f>IF(OR('📥 הזנה חודשית'!$A$22="",'📥 הזנה חודשית'!$E$22=""),"",'📥 הזנה חודשית'!$E$22)</f>
        <v/>
      </c>
      <c r="F61" s="98">
        <f>IF(OR('📥 הזנה חודשית'!$A$22="",'📥 הזנה חודשית'!$F$22=""),"",'📥 הזנה חודשית'!$F$22)</f>
        <v/>
      </c>
      <c r="G61" s="98">
        <f>IF(OR('📥 הזנה חודשית'!$A$22="",'📥 הזנה חודשית'!$G$22=""),"",'📥 הזנה חודשית'!$G$22)</f>
        <v/>
      </c>
      <c r="H61" s="98">
        <f>IF(OR('📥 הזנה חודשית'!$A$22="",'📥 הזנה חודשית'!$H$22=""),"",'📥 הזנה חודשית'!$H$22)</f>
        <v/>
      </c>
      <c r="I61" s="98">
        <f>IF(OR('📥 הזנה חודשית'!$A$22="",'📥 הזנה חודשית'!$I$22=""),"",'📥 הזנה חודשית'!$I$22)</f>
        <v/>
      </c>
      <c r="J61" s="98">
        <f>IF(OR('📥 הזנה חודשית'!$A$22="",'📥 הזנה חודשית'!$J$22=""),"",'📥 הזנה חודשית'!$J$22)</f>
        <v/>
      </c>
      <c r="K61" s="98">
        <f>IF(OR('📥 הזנה חודשית'!$A$22="",'📥 הזנה חודשית'!$K$22=""),"",'📥 הזנה חודשית'!$K$22)</f>
        <v/>
      </c>
      <c r="L61" s="98">
        <f>IF(OR('📥 הזנה חודשית'!$A$22="",'📥 הזנה חודשית'!$L$22=""),"",'📥 הזנה חודשית'!$L$22)</f>
        <v/>
      </c>
      <c r="M61" s="98">
        <f>IF(OR('📥 הזנה חודשית'!$A$22="",'📥 הזנה חודשית'!$M$22=""),"",'📥 הזנה חודשית'!$M$22)</f>
        <v/>
      </c>
      <c r="N61" s="98">
        <f>IF(OR('📥 הזנה חודשית'!$A$22="",'📥 הזנה חודשית'!$N$22=""),"",'📥 הזנה חודשית'!$N$22)</f>
        <v/>
      </c>
      <c r="O61" s="62">
        <f>IF(B61="","",'📥 הזנה חודשית'!$O$22)</f>
        <v/>
      </c>
      <c r="P61" s="1" t="n"/>
    </row>
    <row r="62" ht="20" customHeight="1">
      <c r="A62" s="1" t="n"/>
      <c r="B62" s="97">
        <f>IF('📥 הזנה חודשית'!$A$23="","",'📥 הזנה חודשית'!$A$23)</f>
        <v/>
      </c>
      <c r="C62" s="98">
        <f>IF(OR('📥 הזנה חודשית'!$A$23="",'📥 הזנה חודשית'!$C$23=""),"",'📥 הזנה חודשית'!$C$23)</f>
        <v/>
      </c>
      <c r="D62" s="98">
        <f>IF(OR('📥 הזנה חודשית'!$A$23="",'📥 הזנה חודשית'!$D$23=""),"",'📥 הזנה חודשית'!$D$23)</f>
        <v/>
      </c>
      <c r="E62" s="98">
        <f>IF(OR('📥 הזנה חודשית'!$A$23="",'📥 הזנה חודשית'!$E$23=""),"",'📥 הזנה חודשית'!$E$23)</f>
        <v/>
      </c>
      <c r="F62" s="98">
        <f>IF(OR('📥 הזנה חודשית'!$A$23="",'📥 הזנה חודשית'!$F$23=""),"",'📥 הזנה חודשית'!$F$23)</f>
        <v/>
      </c>
      <c r="G62" s="98">
        <f>IF(OR('📥 הזנה חודשית'!$A$23="",'📥 הזנה חודשית'!$G$23=""),"",'📥 הזנה חודשית'!$G$23)</f>
        <v/>
      </c>
      <c r="H62" s="98">
        <f>IF(OR('📥 הזנה חודשית'!$A$23="",'📥 הזנה חודשית'!$H$23=""),"",'📥 הזנה חודשית'!$H$23)</f>
        <v/>
      </c>
      <c r="I62" s="98">
        <f>IF(OR('📥 הזנה חודשית'!$A$23="",'📥 הזנה חודשית'!$I$23=""),"",'📥 הזנה חודשית'!$I$23)</f>
        <v/>
      </c>
      <c r="J62" s="98">
        <f>IF(OR('📥 הזנה חודשית'!$A$23="",'📥 הזנה חודשית'!$J$23=""),"",'📥 הזנה חודשית'!$J$23)</f>
        <v/>
      </c>
      <c r="K62" s="98">
        <f>IF(OR('📥 הזנה חודשית'!$A$23="",'📥 הזנה חודשית'!$K$23=""),"",'📥 הזנה חודשית'!$K$23)</f>
        <v/>
      </c>
      <c r="L62" s="98">
        <f>IF(OR('📥 הזנה חודשית'!$A$23="",'📥 הזנה חודשית'!$L$23=""),"",'📥 הזנה חודשית'!$L$23)</f>
        <v/>
      </c>
      <c r="M62" s="98">
        <f>IF(OR('📥 הזנה חודשית'!$A$23="",'📥 הזנה חודשית'!$M$23=""),"",'📥 הזנה חודשית'!$M$23)</f>
        <v/>
      </c>
      <c r="N62" s="98">
        <f>IF(OR('📥 הזנה חודשית'!$A$23="",'📥 הזנה חודשית'!$N$23=""),"",'📥 הזנה חודשית'!$N$23)</f>
        <v/>
      </c>
      <c r="O62" s="62">
        <f>IF(B62="","",'📥 הזנה חודשית'!$O$23)</f>
        <v/>
      </c>
      <c r="P62" s="1" t="n"/>
    </row>
    <row r="63" ht="20" customHeight="1">
      <c r="A63" s="1" t="n"/>
      <c r="B63" s="97">
        <f>IF('📥 הזנה חודשית'!$A$24="","",'📥 הזנה חודשית'!$A$24)</f>
        <v/>
      </c>
      <c r="C63" s="98">
        <f>IF(OR('📥 הזנה חודשית'!$A$24="",'📥 הזנה חודשית'!$C$24=""),"",'📥 הזנה חודשית'!$C$24)</f>
        <v/>
      </c>
      <c r="D63" s="98">
        <f>IF(OR('📥 הזנה חודשית'!$A$24="",'📥 הזנה חודשית'!$D$24=""),"",'📥 הזנה חודשית'!$D$24)</f>
        <v/>
      </c>
      <c r="E63" s="98">
        <f>IF(OR('📥 הזנה חודשית'!$A$24="",'📥 הזנה חודשית'!$E$24=""),"",'📥 הזנה חודשית'!$E$24)</f>
        <v/>
      </c>
      <c r="F63" s="98">
        <f>IF(OR('📥 הזנה חודשית'!$A$24="",'📥 הזנה חודשית'!$F$24=""),"",'📥 הזנה חודשית'!$F$24)</f>
        <v/>
      </c>
      <c r="G63" s="98">
        <f>IF(OR('📥 הזנה חודשית'!$A$24="",'📥 הזנה חודשית'!$G$24=""),"",'📥 הזנה חודשית'!$G$24)</f>
        <v/>
      </c>
      <c r="H63" s="98">
        <f>IF(OR('📥 הזנה חודשית'!$A$24="",'📥 הזנה חודשית'!$H$24=""),"",'📥 הזנה חודשית'!$H$24)</f>
        <v/>
      </c>
      <c r="I63" s="98">
        <f>IF(OR('📥 הזנה חודשית'!$A$24="",'📥 הזנה חודשית'!$I$24=""),"",'📥 הזנה חודשית'!$I$24)</f>
        <v/>
      </c>
      <c r="J63" s="98">
        <f>IF(OR('📥 הזנה חודשית'!$A$24="",'📥 הזנה חודשית'!$J$24=""),"",'📥 הזנה חודשית'!$J$24)</f>
        <v/>
      </c>
      <c r="K63" s="98">
        <f>IF(OR('📥 הזנה חודשית'!$A$24="",'📥 הזנה חודשית'!$K$24=""),"",'📥 הזנה חודשית'!$K$24)</f>
        <v/>
      </c>
      <c r="L63" s="98">
        <f>IF(OR('📥 הזנה חודשית'!$A$24="",'📥 הזנה חודשית'!$L$24=""),"",'📥 הזנה חודשית'!$L$24)</f>
        <v/>
      </c>
      <c r="M63" s="98">
        <f>IF(OR('📥 הזנה חודשית'!$A$24="",'📥 הזנה חודשית'!$M$24=""),"",'📥 הזנה חודשית'!$M$24)</f>
        <v/>
      </c>
      <c r="N63" s="98">
        <f>IF(OR('📥 הזנה חודשית'!$A$24="",'📥 הזנה חודשית'!$N$24=""),"",'📥 הזנה חודשית'!$N$24)</f>
        <v/>
      </c>
      <c r="O63" s="62">
        <f>IF(B63="","",'📥 הזנה חודשית'!$O$24)</f>
        <v/>
      </c>
      <c r="P63" s="1" t="n"/>
    </row>
    <row r="64" ht="20" customHeight="1">
      <c r="A64" s="1" t="n"/>
      <c r="B64" s="97">
        <f>IF('📥 הזנה חודשית'!$A$25="","",'📥 הזנה חודשית'!$A$25)</f>
        <v/>
      </c>
      <c r="C64" s="98">
        <f>IF(OR('📥 הזנה חודשית'!$A$25="",'📥 הזנה חודשית'!$C$25=""),"",'📥 הזנה חודשית'!$C$25)</f>
        <v/>
      </c>
      <c r="D64" s="98">
        <f>IF(OR('📥 הזנה חודשית'!$A$25="",'📥 הזנה חודשית'!$D$25=""),"",'📥 הזנה חודשית'!$D$25)</f>
        <v/>
      </c>
      <c r="E64" s="98">
        <f>IF(OR('📥 הזנה חודשית'!$A$25="",'📥 הזנה חודשית'!$E$25=""),"",'📥 הזנה חודשית'!$E$25)</f>
        <v/>
      </c>
      <c r="F64" s="98">
        <f>IF(OR('📥 הזנה חודשית'!$A$25="",'📥 הזנה חודשית'!$F$25=""),"",'📥 הזנה חודשית'!$F$25)</f>
        <v/>
      </c>
      <c r="G64" s="98">
        <f>IF(OR('📥 הזנה חודשית'!$A$25="",'📥 הזנה חודשית'!$G$25=""),"",'📥 הזנה חודשית'!$G$25)</f>
        <v/>
      </c>
      <c r="H64" s="98">
        <f>IF(OR('📥 הזנה חודשית'!$A$25="",'📥 הזנה חודשית'!$H$25=""),"",'📥 הזנה חודשית'!$H$25)</f>
        <v/>
      </c>
      <c r="I64" s="98">
        <f>IF(OR('📥 הזנה חודשית'!$A$25="",'📥 הזנה חודשית'!$I$25=""),"",'📥 הזנה חודשית'!$I$25)</f>
        <v/>
      </c>
      <c r="J64" s="98">
        <f>IF(OR('📥 הזנה חודשית'!$A$25="",'📥 הזנה חודשית'!$J$25=""),"",'📥 הזנה חודשית'!$J$25)</f>
        <v/>
      </c>
      <c r="K64" s="98">
        <f>IF(OR('📥 הזנה חודשית'!$A$25="",'📥 הזנה חודשית'!$K$25=""),"",'📥 הזנה חודשית'!$K$25)</f>
        <v/>
      </c>
      <c r="L64" s="98">
        <f>IF(OR('📥 הזנה חודשית'!$A$25="",'📥 הזנה חודשית'!$L$25=""),"",'📥 הזנה חודשית'!$L$25)</f>
        <v/>
      </c>
      <c r="M64" s="98">
        <f>IF(OR('📥 הזנה חודשית'!$A$25="",'📥 הזנה חודשית'!$M$25=""),"",'📥 הזנה חודשית'!$M$25)</f>
        <v/>
      </c>
      <c r="N64" s="98">
        <f>IF(OR('📥 הזנה חודשית'!$A$25="",'📥 הזנה חודשית'!$N$25=""),"",'📥 הזנה חודשית'!$N$25)</f>
        <v/>
      </c>
      <c r="O64" s="62">
        <f>IF(B64="","",'📥 הזנה חודשית'!$O$25)</f>
        <v/>
      </c>
      <c r="P64" s="1" t="n"/>
    </row>
    <row r="65" ht="20" customHeight="1">
      <c r="A65" s="1" t="n"/>
      <c r="B65" s="97">
        <f>IF('📥 הזנה חודשית'!$A$26="","",'📥 הזנה חודשית'!$A$26)</f>
        <v/>
      </c>
      <c r="C65" s="98">
        <f>IF(OR('📥 הזנה חודשית'!$A$26="",'📥 הזנה חודשית'!$C$26=""),"",'📥 הזנה חודשית'!$C$26)</f>
        <v/>
      </c>
      <c r="D65" s="98">
        <f>IF(OR('📥 הזנה חודשית'!$A$26="",'📥 הזנה חודשית'!$D$26=""),"",'📥 הזנה חודשית'!$D$26)</f>
        <v/>
      </c>
      <c r="E65" s="98">
        <f>IF(OR('📥 הזנה חודשית'!$A$26="",'📥 הזנה חודשית'!$E$26=""),"",'📥 הזנה חודשית'!$E$26)</f>
        <v/>
      </c>
      <c r="F65" s="98">
        <f>IF(OR('📥 הזנה חודשית'!$A$26="",'📥 הזנה חודשית'!$F$26=""),"",'📥 הזנה חודשית'!$F$26)</f>
        <v/>
      </c>
      <c r="G65" s="98">
        <f>IF(OR('📥 הזנה חודשית'!$A$26="",'📥 הזנה חודשית'!$G$26=""),"",'📥 הזנה חודשית'!$G$26)</f>
        <v/>
      </c>
      <c r="H65" s="98">
        <f>IF(OR('📥 הזנה חודשית'!$A$26="",'📥 הזנה חודשית'!$H$26=""),"",'📥 הזנה חודשית'!$H$26)</f>
        <v/>
      </c>
      <c r="I65" s="98">
        <f>IF(OR('📥 הזנה חודשית'!$A$26="",'📥 הזנה חודשית'!$I$26=""),"",'📥 הזנה חודשית'!$I$26)</f>
        <v/>
      </c>
      <c r="J65" s="98">
        <f>IF(OR('📥 הזנה חודשית'!$A$26="",'📥 הזנה חודשית'!$J$26=""),"",'📥 הזנה חודשית'!$J$26)</f>
        <v/>
      </c>
      <c r="K65" s="98">
        <f>IF(OR('📥 הזנה חודשית'!$A$26="",'📥 הזנה חודשית'!$K$26=""),"",'📥 הזנה חודשית'!$K$26)</f>
        <v/>
      </c>
      <c r="L65" s="98">
        <f>IF(OR('📥 הזנה חודשית'!$A$26="",'📥 הזנה חודשית'!$L$26=""),"",'📥 הזנה חודשית'!$L$26)</f>
        <v/>
      </c>
      <c r="M65" s="98">
        <f>IF(OR('📥 הזנה חודשית'!$A$26="",'📥 הזנה חודשית'!$M$26=""),"",'📥 הזנה חודשית'!$M$26)</f>
        <v/>
      </c>
      <c r="N65" s="98">
        <f>IF(OR('📥 הזנה חודשית'!$A$26="",'📥 הזנה חודשית'!$N$26=""),"",'📥 הזנה חודשית'!$N$26)</f>
        <v/>
      </c>
      <c r="O65" s="62">
        <f>IF(B65="","",'📥 הזנה חודשית'!$O$26)</f>
        <v/>
      </c>
      <c r="P65" s="1" t="n"/>
    </row>
    <row r="66" ht="20" customHeight="1">
      <c r="A66" s="1" t="n"/>
      <c r="B66" s="97">
        <f>IF('📥 הזנה חודשית'!$A$27="","",'📥 הזנה חודשית'!$A$27)</f>
        <v/>
      </c>
      <c r="C66" s="98">
        <f>IF(OR('📥 הזנה חודשית'!$A$27="",'📥 הזנה חודשית'!$C$27=""),"",'📥 הזנה חודשית'!$C$27)</f>
        <v/>
      </c>
      <c r="D66" s="98">
        <f>IF(OR('📥 הזנה חודשית'!$A$27="",'📥 הזנה חודשית'!$D$27=""),"",'📥 הזנה חודשית'!$D$27)</f>
        <v/>
      </c>
      <c r="E66" s="98">
        <f>IF(OR('📥 הזנה חודשית'!$A$27="",'📥 הזנה חודשית'!$E$27=""),"",'📥 הזנה חודשית'!$E$27)</f>
        <v/>
      </c>
      <c r="F66" s="98">
        <f>IF(OR('📥 הזנה חודשית'!$A$27="",'📥 הזנה חודשית'!$F$27=""),"",'📥 הזנה חודשית'!$F$27)</f>
        <v/>
      </c>
      <c r="G66" s="98">
        <f>IF(OR('📥 הזנה חודשית'!$A$27="",'📥 הזנה חודשית'!$G$27=""),"",'📥 הזנה חודשית'!$G$27)</f>
        <v/>
      </c>
      <c r="H66" s="98">
        <f>IF(OR('📥 הזנה חודשית'!$A$27="",'📥 הזנה חודשית'!$H$27=""),"",'📥 הזנה חודשית'!$H$27)</f>
        <v/>
      </c>
      <c r="I66" s="98">
        <f>IF(OR('📥 הזנה חודשית'!$A$27="",'📥 הזנה חודשית'!$I$27=""),"",'📥 הזנה חודשית'!$I$27)</f>
        <v/>
      </c>
      <c r="J66" s="98">
        <f>IF(OR('📥 הזנה חודשית'!$A$27="",'📥 הזנה חודשית'!$J$27=""),"",'📥 הזנה חודשית'!$J$27)</f>
        <v/>
      </c>
      <c r="K66" s="98">
        <f>IF(OR('📥 הזנה חודשית'!$A$27="",'📥 הזנה חודשית'!$K$27=""),"",'📥 הזנה חודשית'!$K$27)</f>
        <v/>
      </c>
      <c r="L66" s="98">
        <f>IF(OR('📥 הזנה חודשית'!$A$27="",'📥 הזנה חודשית'!$L$27=""),"",'📥 הזנה חודשית'!$L$27)</f>
        <v/>
      </c>
      <c r="M66" s="98">
        <f>IF(OR('📥 הזנה חודשית'!$A$27="",'📥 הזנה חודשית'!$M$27=""),"",'📥 הזנה חודשית'!$M$27)</f>
        <v/>
      </c>
      <c r="N66" s="98">
        <f>IF(OR('📥 הזנה חודשית'!$A$27="",'📥 הזנה חודשית'!$N$27=""),"",'📥 הזנה חודשית'!$N$27)</f>
        <v/>
      </c>
      <c r="O66" s="62">
        <f>IF(B66="","",'📥 הזנה חודשית'!$O$27)</f>
        <v/>
      </c>
      <c r="P66" s="1" t="n"/>
    </row>
    <row r="67" ht="20" customHeight="1">
      <c r="A67" s="1" t="n"/>
      <c r="B67" s="97">
        <f>IF('📥 הזנה חודשית'!$A$28="","",'📥 הזנה חודשית'!$A$28)</f>
        <v/>
      </c>
      <c r="C67" s="98">
        <f>IF(OR('📥 הזנה חודשית'!$A$28="",'📥 הזנה חודשית'!$C$28=""),"",'📥 הזנה חודשית'!$C$28)</f>
        <v/>
      </c>
      <c r="D67" s="98">
        <f>IF(OR('📥 הזנה חודשית'!$A$28="",'📥 הזנה חודשית'!$D$28=""),"",'📥 הזנה חודשית'!$D$28)</f>
        <v/>
      </c>
      <c r="E67" s="98">
        <f>IF(OR('📥 הזנה חודשית'!$A$28="",'📥 הזנה חודשית'!$E$28=""),"",'📥 הזנה חודשית'!$E$28)</f>
        <v/>
      </c>
      <c r="F67" s="98">
        <f>IF(OR('📥 הזנה חודשית'!$A$28="",'📥 הזנה חודשית'!$F$28=""),"",'📥 הזנה חודשית'!$F$28)</f>
        <v/>
      </c>
      <c r="G67" s="98">
        <f>IF(OR('📥 הזנה חודשית'!$A$28="",'📥 הזנה חודשית'!$G$28=""),"",'📥 הזנה חודשית'!$G$28)</f>
        <v/>
      </c>
      <c r="H67" s="98">
        <f>IF(OR('📥 הזנה חודשית'!$A$28="",'📥 הזנה חודשית'!$H$28=""),"",'📥 הזנה חודשית'!$H$28)</f>
        <v/>
      </c>
      <c r="I67" s="98">
        <f>IF(OR('📥 הזנה חודשית'!$A$28="",'📥 הזנה חודשית'!$I$28=""),"",'📥 הזנה חודשית'!$I$28)</f>
        <v/>
      </c>
      <c r="J67" s="98">
        <f>IF(OR('📥 הזנה חודשית'!$A$28="",'📥 הזנה חודשית'!$J$28=""),"",'📥 הזנה חודשית'!$J$28)</f>
        <v/>
      </c>
      <c r="K67" s="98">
        <f>IF(OR('📥 הזנה חודשית'!$A$28="",'📥 הזנה חודשית'!$K$28=""),"",'📥 הזנה חודשית'!$K$28)</f>
        <v/>
      </c>
      <c r="L67" s="98">
        <f>IF(OR('📥 הזנה חודשית'!$A$28="",'📥 הזנה חודשית'!$L$28=""),"",'📥 הזנה חודשית'!$L$28)</f>
        <v/>
      </c>
      <c r="M67" s="98">
        <f>IF(OR('📥 הזנה חודשית'!$A$28="",'📥 הזנה חודשית'!$M$28=""),"",'📥 הזנה חודשית'!$M$28)</f>
        <v/>
      </c>
      <c r="N67" s="98">
        <f>IF(OR('📥 הזנה חודשית'!$A$28="",'📥 הזנה חודשית'!$N$28=""),"",'📥 הזנה חודשית'!$N$28)</f>
        <v/>
      </c>
      <c r="O67" s="62">
        <f>IF(B67="","",'📥 הזנה חודשית'!$O$28)</f>
        <v/>
      </c>
      <c r="P67" s="1" t="n"/>
    </row>
    <row r="68" ht="20" customHeight="1">
      <c r="A68" s="1" t="n"/>
      <c r="B68" s="97">
        <f>IF('📥 הזנה חודשית'!$A$29="","",'📥 הזנה חודשית'!$A$29)</f>
        <v/>
      </c>
      <c r="C68" s="98">
        <f>IF(OR('📥 הזנה חודשית'!$A$29="",'📥 הזנה חודשית'!$C$29=""),"",'📥 הזנה חודשית'!$C$29)</f>
        <v/>
      </c>
      <c r="D68" s="98">
        <f>IF(OR('📥 הזנה חודשית'!$A$29="",'📥 הזנה חודשית'!$D$29=""),"",'📥 הזנה חודשית'!$D$29)</f>
        <v/>
      </c>
      <c r="E68" s="98">
        <f>IF(OR('📥 הזנה חודשית'!$A$29="",'📥 הזנה חודשית'!$E$29=""),"",'📥 הזנה חודשית'!$E$29)</f>
        <v/>
      </c>
      <c r="F68" s="98">
        <f>IF(OR('📥 הזנה חודשית'!$A$29="",'📥 הזנה חודשית'!$F$29=""),"",'📥 הזנה חודשית'!$F$29)</f>
        <v/>
      </c>
      <c r="G68" s="98">
        <f>IF(OR('📥 הזנה חודשית'!$A$29="",'📥 הזנה חודשית'!$G$29=""),"",'📥 הזנה חודשית'!$G$29)</f>
        <v/>
      </c>
      <c r="H68" s="98">
        <f>IF(OR('📥 הזנה חודשית'!$A$29="",'📥 הזנה חודשית'!$H$29=""),"",'📥 הזנה חודשית'!$H$29)</f>
        <v/>
      </c>
      <c r="I68" s="98">
        <f>IF(OR('📥 הזנה חודשית'!$A$29="",'📥 הזנה חודשית'!$I$29=""),"",'📥 הזנה חודשית'!$I$29)</f>
        <v/>
      </c>
      <c r="J68" s="98">
        <f>IF(OR('📥 הזנה חודשית'!$A$29="",'📥 הזנה חודשית'!$J$29=""),"",'📥 הזנה חודשית'!$J$29)</f>
        <v/>
      </c>
      <c r="K68" s="98">
        <f>IF(OR('📥 הזנה חודשית'!$A$29="",'📥 הזנה חודשית'!$K$29=""),"",'📥 הזנה חודשית'!$K$29)</f>
        <v/>
      </c>
      <c r="L68" s="98">
        <f>IF(OR('📥 הזנה חודשית'!$A$29="",'📥 הזנה חודשית'!$L$29=""),"",'📥 הזנה חודשית'!$L$29)</f>
        <v/>
      </c>
      <c r="M68" s="98">
        <f>IF(OR('📥 הזנה חודשית'!$A$29="",'📥 הזנה חודשית'!$M$29=""),"",'📥 הזנה חודשית'!$M$29)</f>
        <v/>
      </c>
      <c r="N68" s="98">
        <f>IF(OR('📥 הזנה חודשית'!$A$29="",'📥 הזנה חודשית'!$N$29=""),"",'📥 הזנה חודשית'!$N$29)</f>
        <v/>
      </c>
      <c r="O68" s="62">
        <f>IF(B68="","",'📥 הזנה חודשית'!$O$29)</f>
        <v/>
      </c>
      <c r="P68" s="1" t="n"/>
    </row>
    <row r="69" ht="20" customHeight="1">
      <c r="A69" s="1" t="n"/>
      <c r="B69" s="97">
        <f>IF('📥 הזנה חודשית'!$A$30="","",'📥 הזנה חודשית'!$A$30)</f>
        <v/>
      </c>
      <c r="C69" s="98">
        <f>IF(OR('📥 הזנה חודשית'!$A$30="",'📥 הזנה חודשית'!$C$30=""),"",'📥 הזנה חודשית'!$C$30)</f>
        <v/>
      </c>
      <c r="D69" s="98">
        <f>IF(OR('📥 הזנה חודשית'!$A$30="",'📥 הזנה חודשית'!$D$30=""),"",'📥 הזנה חודשית'!$D$30)</f>
        <v/>
      </c>
      <c r="E69" s="98">
        <f>IF(OR('📥 הזנה חודשית'!$A$30="",'📥 הזנה חודשית'!$E$30=""),"",'📥 הזנה חודשית'!$E$30)</f>
        <v/>
      </c>
      <c r="F69" s="98">
        <f>IF(OR('📥 הזנה חודשית'!$A$30="",'📥 הזנה חודשית'!$F$30=""),"",'📥 הזנה חודשית'!$F$30)</f>
        <v/>
      </c>
      <c r="G69" s="98">
        <f>IF(OR('📥 הזנה חודשית'!$A$30="",'📥 הזנה חודשית'!$G$30=""),"",'📥 הזנה חודשית'!$G$30)</f>
        <v/>
      </c>
      <c r="H69" s="98">
        <f>IF(OR('📥 הזנה חודשית'!$A$30="",'📥 הזנה חודשית'!$H$30=""),"",'📥 הזנה חודשית'!$H$30)</f>
        <v/>
      </c>
      <c r="I69" s="98">
        <f>IF(OR('📥 הזנה חודשית'!$A$30="",'📥 הזנה חודשית'!$I$30=""),"",'📥 הזנה חודשית'!$I$30)</f>
        <v/>
      </c>
      <c r="J69" s="98">
        <f>IF(OR('📥 הזנה חודשית'!$A$30="",'📥 הזנה חודשית'!$J$30=""),"",'📥 הזנה חודשית'!$J$30)</f>
        <v/>
      </c>
      <c r="K69" s="98">
        <f>IF(OR('📥 הזנה חודשית'!$A$30="",'📥 הזנה חודשית'!$K$30=""),"",'📥 הזנה חודשית'!$K$30)</f>
        <v/>
      </c>
      <c r="L69" s="98">
        <f>IF(OR('📥 הזנה חודשית'!$A$30="",'📥 הזנה חודשית'!$L$30=""),"",'📥 הזנה חודשית'!$L$30)</f>
        <v/>
      </c>
      <c r="M69" s="98">
        <f>IF(OR('📥 הזנה חודשית'!$A$30="",'📥 הזנה חודשית'!$M$30=""),"",'📥 הזנה חודשית'!$M$30)</f>
        <v/>
      </c>
      <c r="N69" s="98">
        <f>IF(OR('📥 הזנה חודשית'!$A$30="",'📥 הזנה חודשית'!$N$30=""),"",'📥 הזנה חודשית'!$N$30)</f>
        <v/>
      </c>
      <c r="O69" s="62">
        <f>IF(B69="","",'📥 הזנה חודשית'!$O$30)</f>
        <v/>
      </c>
      <c r="P69" s="1" t="n"/>
    </row>
    <row r="70" ht="20" customHeight="1">
      <c r="A70" s="1" t="n"/>
      <c r="B70" s="97">
        <f>IF('📥 הזנה חודשית'!$A$31="","",'📥 הזנה חודשית'!$A$31)</f>
        <v/>
      </c>
      <c r="C70" s="98">
        <f>IF(OR('📥 הזנה חודשית'!$A$31="",'📥 הזנה חודשית'!$C$31=""),"",'📥 הזנה חודשית'!$C$31)</f>
        <v/>
      </c>
      <c r="D70" s="98">
        <f>IF(OR('📥 הזנה חודשית'!$A$31="",'📥 הזנה חודשית'!$D$31=""),"",'📥 הזנה חודשית'!$D$31)</f>
        <v/>
      </c>
      <c r="E70" s="98">
        <f>IF(OR('📥 הזנה חודשית'!$A$31="",'📥 הזנה חודשית'!$E$31=""),"",'📥 הזנה חודשית'!$E$31)</f>
        <v/>
      </c>
      <c r="F70" s="98">
        <f>IF(OR('📥 הזנה חודשית'!$A$31="",'📥 הזנה חודשית'!$F$31=""),"",'📥 הזנה חודשית'!$F$31)</f>
        <v/>
      </c>
      <c r="G70" s="98">
        <f>IF(OR('📥 הזנה חודשית'!$A$31="",'📥 הזנה חודשית'!$G$31=""),"",'📥 הזנה חודשית'!$G$31)</f>
        <v/>
      </c>
      <c r="H70" s="98">
        <f>IF(OR('📥 הזנה חודשית'!$A$31="",'📥 הזנה חודשית'!$H$31=""),"",'📥 הזנה חודשית'!$H$31)</f>
        <v/>
      </c>
      <c r="I70" s="98">
        <f>IF(OR('📥 הזנה חודשית'!$A$31="",'📥 הזנה חודשית'!$I$31=""),"",'📥 הזנה חודשית'!$I$31)</f>
        <v/>
      </c>
      <c r="J70" s="98">
        <f>IF(OR('📥 הזנה חודשית'!$A$31="",'📥 הזנה חודשית'!$J$31=""),"",'📥 הזנה חודשית'!$J$31)</f>
        <v/>
      </c>
      <c r="K70" s="98">
        <f>IF(OR('📥 הזנה חודשית'!$A$31="",'📥 הזנה חודשית'!$K$31=""),"",'📥 הזנה חודשית'!$K$31)</f>
        <v/>
      </c>
      <c r="L70" s="98">
        <f>IF(OR('📥 הזנה חודשית'!$A$31="",'📥 הזנה חודשית'!$L$31=""),"",'📥 הזנה חודשית'!$L$31)</f>
        <v/>
      </c>
      <c r="M70" s="98">
        <f>IF(OR('📥 הזנה חודשית'!$A$31="",'📥 הזנה חודשית'!$M$31=""),"",'📥 הזנה חודשית'!$M$31)</f>
        <v/>
      </c>
      <c r="N70" s="98">
        <f>IF(OR('📥 הזנה חודשית'!$A$31="",'📥 הזנה חודשית'!$N$31=""),"",'📥 הזנה חודשית'!$N$31)</f>
        <v/>
      </c>
      <c r="O70" s="62">
        <f>IF(B70="","",'📥 הזנה חודשית'!$O$31)</f>
        <v/>
      </c>
      <c r="P70" s="1" t="n"/>
    </row>
    <row r="71">
      <c r="A71" s="1" t="n"/>
      <c r="B71" s="99" t="inlineStr">
        <is>
          <t>🛒 הוצאות משתנות</t>
        </is>
      </c>
      <c r="C71" s="100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" t="n"/>
    </row>
    <row r="72" ht="20" customHeight="1">
      <c r="A72" s="1" t="n"/>
      <c r="B72" s="101">
        <f>IF('📥 הזנה חודשית'!$A$34="","",'📥 הזנה חודשית'!$A$34)</f>
        <v/>
      </c>
      <c r="C72" s="98">
        <f>IF(OR('📥 הזנה חודשית'!$A$34="",'📥 הזנה חודשית'!$C$34=""),"",'📥 הזנה חודשית'!$C$34)</f>
        <v/>
      </c>
      <c r="D72" s="98">
        <f>IF(OR('📥 הזנה חודשית'!$A$34="",'📥 הזנה חודשית'!$D$34=""),"",'📥 הזנה חודשית'!$D$34)</f>
        <v/>
      </c>
      <c r="E72" s="98">
        <f>IF(OR('📥 הזנה חודשית'!$A$34="",'📥 הזנה חודשית'!$E$34=""),"",'📥 הזנה חודשית'!$E$34)</f>
        <v/>
      </c>
      <c r="F72" s="98">
        <f>IF(OR('📥 הזנה חודשית'!$A$34="",'📥 הזנה חודשית'!$F$34=""),"",'📥 הזנה חודשית'!$F$34)</f>
        <v/>
      </c>
      <c r="G72" s="98">
        <f>IF(OR('📥 הזנה חודשית'!$A$34="",'📥 הזנה חודשית'!$G$34=""),"",'📥 הזנה חודשית'!$G$34)</f>
        <v/>
      </c>
      <c r="H72" s="98">
        <f>IF(OR('📥 הזנה חודשית'!$A$34="",'📥 הזנה חודשית'!$H$34=""),"",'📥 הזנה חודשית'!$H$34)</f>
        <v/>
      </c>
      <c r="I72" s="98">
        <f>IF(OR('📥 הזנה חודשית'!$A$34="",'📥 הזנה חודשית'!$I$34=""),"",'📥 הזנה חודשית'!$I$34)</f>
        <v/>
      </c>
      <c r="J72" s="98">
        <f>IF(OR('📥 הזנה חודשית'!$A$34="",'📥 הזנה חודשית'!$J$34=""),"",'📥 הזנה חודשית'!$J$34)</f>
        <v/>
      </c>
      <c r="K72" s="98">
        <f>IF(OR('📥 הזנה חודשית'!$A$34="",'📥 הזנה חודשית'!$K$34=""),"",'📥 הזנה חודשית'!$K$34)</f>
        <v/>
      </c>
      <c r="L72" s="98">
        <f>IF(OR('📥 הזנה חודשית'!$A$34="",'📥 הזנה חודשית'!$L$34=""),"",'📥 הזנה חודשית'!$L$34)</f>
        <v/>
      </c>
      <c r="M72" s="98">
        <f>IF(OR('📥 הזנה חודשית'!$A$34="",'📥 הזנה חודשית'!$M$34=""),"",'📥 הזנה חודשית'!$M$34)</f>
        <v/>
      </c>
      <c r="N72" s="98">
        <f>IF(OR('📥 הזנה חודשית'!$A$34="",'📥 הזנה חודשית'!$N$34=""),"",'📥 הזנה חודשית'!$N$34)</f>
        <v/>
      </c>
      <c r="O72" s="62">
        <f>IF(B72="","",'📥 הזנה חודשית'!$O$34)</f>
        <v/>
      </c>
      <c r="P72" s="1" t="n"/>
    </row>
    <row r="73" ht="20" customHeight="1">
      <c r="A73" s="1" t="n"/>
      <c r="B73" s="101">
        <f>IF('📥 הזנה חודשית'!$A$35="","",'📥 הזנה חודשית'!$A$35)</f>
        <v/>
      </c>
      <c r="C73" s="98">
        <f>IF(OR('📥 הזנה חודשית'!$A$35="",'📥 הזנה חודשית'!$C$35=""),"",'📥 הזנה חודשית'!$C$35)</f>
        <v/>
      </c>
      <c r="D73" s="98">
        <f>IF(OR('📥 הזנה חודשית'!$A$35="",'📥 הזנה חודשית'!$D$35=""),"",'📥 הזנה חודשית'!$D$35)</f>
        <v/>
      </c>
      <c r="E73" s="98">
        <f>IF(OR('📥 הזנה חודשית'!$A$35="",'📥 הזנה חודשית'!$E$35=""),"",'📥 הזנה חודשית'!$E$35)</f>
        <v/>
      </c>
      <c r="F73" s="98">
        <f>IF(OR('📥 הזנה חודשית'!$A$35="",'📥 הזנה חודשית'!$F$35=""),"",'📥 הזנה חודשית'!$F$35)</f>
        <v/>
      </c>
      <c r="G73" s="98">
        <f>IF(OR('📥 הזנה חודשית'!$A$35="",'📥 הזנה חודשית'!$G$35=""),"",'📥 הזנה חודשית'!$G$35)</f>
        <v/>
      </c>
      <c r="H73" s="98">
        <f>IF(OR('📥 הזנה חודשית'!$A$35="",'📥 הזנה חודשית'!$H$35=""),"",'📥 הזנה חודשית'!$H$35)</f>
        <v/>
      </c>
      <c r="I73" s="98">
        <f>IF(OR('📥 הזנה חודשית'!$A$35="",'📥 הזנה חודשית'!$I$35=""),"",'📥 הזנה חודשית'!$I$35)</f>
        <v/>
      </c>
      <c r="J73" s="98">
        <f>IF(OR('📥 הזנה חודשית'!$A$35="",'📥 הזנה חודשית'!$J$35=""),"",'📥 הזנה חודשית'!$J$35)</f>
        <v/>
      </c>
      <c r="K73" s="98">
        <f>IF(OR('📥 הזנה חודשית'!$A$35="",'📥 הזנה חודשית'!$K$35=""),"",'📥 הזנה חודשית'!$K$35)</f>
        <v/>
      </c>
      <c r="L73" s="98">
        <f>IF(OR('📥 הזנה חודשית'!$A$35="",'📥 הזנה חודשית'!$L$35=""),"",'📥 הזנה חודשית'!$L$35)</f>
        <v/>
      </c>
      <c r="M73" s="98">
        <f>IF(OR('📥 הזנה חודשית'!$A$35="",'📥 הזנה חודשית'!$M$35=""),"",'📥 הזנה חודשית'!$M$35)</f>
        <v/>
      </c>
      <c r="N73" s="98">
        <f>IF(OR('📥 הזנה חודשית'!$A$35="",'📥 הזנה חודשית'!$N$35=""),"",'📥 הזנה חודשית'!$N$35)</f>
        <v/>
      </c>
      <c r="O73" s="62">
        <f>IF(B73="","",'📥 הזנה חודשית'!$O$35)</f>
        <v/>
      </c>
      <c r="P73" s="1" t="n"/>
    </row>
    <row r="74" ht="20" customHeight="1">
      <c r="A74" s="1" t="n"/>
      <c r="B74" s="101">
        <f>IF('📥 הזנה חודשית'!$A$36="","",'📥 הזנה חודשית'!$A$36)</f>
        <v/>
      </c>
      <c r="C74" s="98">
        <f>IF(OR('📥 הזנה חודשית'!$A$36="",'📥 הזנה חודשית'!$C$36=""),"",'📥 הזנה חודשית'!$C$36)</f>
        <v/>
      </c>
      <c r="D74" s="98">
        <f>IF(OR('📥 הזנה חודשית'!$A$36="",'📥 הזנה חודשית'!$D$36=""),"",'📥 הזנה חודשית'!$D$36)</f>
        <v/>
      </c>
      <c r="E74" s="98">
        <f>IF(OR('📥 הזנה חודשית'!$A$36="",'📥 הזנה חודשית'!$E$36=""),"",'📥 הזנה חודשית'!$E$36)</f>
        <v/>
      </c>
      <c r="F74" s="98">
        <f>IF(OR('📥 הזנה חודשית'!$A$36="",'📥 הזנה חודשית'!$F$36=""),"",'📥 הזנה חודשית'!$F$36)</f>
        <v/>
      </c>
      <c r="G74" s="98">
        <f>IF(OR('📥 הזנה חודשית'!$A$36="",'📥 הזנה חודשית'!$G$36=""),"",'📥 הזנה חודשית'!$G$36)</f>
        <v/>
      </c>
      <c r="H74" s="98">
        <f>IF(OR('📥 הזנה חודשית'!$A$36="",'📥 הזנה חודשית'!$H$36=""),"",'📥 הזנה חודשית'!$H$36)</f>
        <v/>
      </c>
      <c r="I74" s="98">
        <f>IF(OR('📥 הזנה חודשית'!$A$36="",'📥 הזנה חודשית'!$I$36=""),"",'📥 הזנה חודשית'!$I$36)</f>
        <v/>
      </c>
      <c r="J74" s="98">
        <f>IF(OR('📥 הזנה חודשית'!$A$36="",'📥 הזנה חודשית'!$J$36=""),"",'📥 הזנה חודשית'!$J$36)</f>
        <v/>
      </c>
      <c r="K74" s="98">
        <f>IF(OR('📥 הזנה חודשית'!$A$36="",'📥 הזנה חודשית'!$K$36=""),"",'📥 הזנה חודשית'!$K$36)</f>
        <v/>
      </c>
      <c r="L74" s="98">
        <f>IF(OR('📥 הזנה חודשית'!$A$36="",'📥 הזנה חודשית'!$L$36=""),"",'📥 הזנה חודשית'!$L$36)</f>
        <v/>
      </c>
      <c r="M74" s="98">
        <f>IF(OR('📥 הזנה חודשית'!$A$36="",'📥 הזנה חודשית'!$M$36=""),"",'📥 הזנה חודשית'!$M$36)</f>
        <v/>
      </c>
      <c r="N74" s="98">
        <f>IF(OR('📥 הזנה חודשית'!$A$36="",'📥 הזנה חודשית'!$N$36=""),"",'📥 הזנה חודשית'!$N$36)</f>
        <v/>
      </c>
      <c r="O74" s="62">
        <f>IF(B74="","",'📥 הזנה חודשית'!$O$36)</f>
        <v/>
      </c>
      <c r="P74" s="1" t="n"/>
    </row>
    <row r="75" ht="20" customHeight="1">
      <c r="A75" s="1" t="n"/>
      <c r="B75" s="101">
        <f>IF('📥 הזנה חודשית'!$A$37="","",'📥 הזנה חודשית'!$A$37)</f>
        <v/>
      </c>
      <c r="C75" s="98">
        <f>IF(OR('📥 הזנה חודשית'!$A$37="",'📥 הזנה חודשית'!$C$37=""),"",'📥 הזנה חודשית'!$C$37)</f>
        <v/>
      </c>
      <c r="D75" s="98">
        <f>IF(OR('📥 הזנה חודשית'!$A$37="",'📥 הזנה חודשית'!$D$37=""),"",'📥 הזנה חודשית'!$D$37)</f>
        <v/>
      </c>
      <c r="E75" s="98">
        <f>IF(OR('📥 הזנה חודשית'!$A$37="",'📥 הזנה חודשית'!$E$37=""),"",'📥 הזנה חודשית'!$E$37)</f>
        <v/>
      </c>
      <c r="F75" s="98">
        <f>IF(OR('📥 הזנה חודשית'!$A$37="",'📥 הזנה חודשית'!$F$37=""),"",'📥 הזנה חודשית'!$F$37)</f>
        <v/>
      </c>
      <c r="G75" s="98">
        <f>IF(OR('📥 הזנה חודשית'!$A$37="",'📥 הזנה חודשית'!$G$37=""),"",'📥 הזנה חודשית'!$G$37)</f>
        <v/>
      </c>
      <c r="H75" s="98">
        <f>IF(OR('📥 הזנה חודשית'!$A$37="",'📥 הזנה חודשית'!$H$37=""),"",'📥 הזנה חודשית'!$H$37)</f>
        <v/>
      </c>
      <c r="I75" s="98">
        <f>IF(OR('📥 הזנה חודשית'!$A$37="",'📥 הזנה חודשית'!$I$37=""),"",'📥 הזנה חודשית'!$I$37)</f>
        <v/>
      </c>
      <c r="J75" s="98">
        <f>IF(OR('📥 הזנה חודשית'!$A$37="",'📥 הזנה חודשית'!$J$37=""),"",'📥 הזנה חודשית'!$J$37)</f>
        <v/>
      </c>
      <c r="K75" s="98">
        <f>IF(OR('📥 הזנה חודשית'!$A$37="",'📥 הזנה חודשית'!$K$37=""),"",'📥 הזנה חודשית'!$K$37)</f>
        <v/>
      </c>
      <c r="L75" s="98">
        <f>IF(OR('📥 הזנה חודשית'!$A$37="",'📥 הזנה חודשית'!$L$37=""),"",'📥 הזנה חודשית'!$L$37)</f>
        <v/>
      </c>
      <c r="M75" s="98">
        <f>IF(OR('📥 הזנה חודשית'!$A$37="",'📥 הזנה חודשית'!$M$37=""),"",'📥 הזנה חודשית'!$M$37)</f>
        <v/>
      </c>
      <c r="N75" s="98">
        <f>IF(OR('📥 הזנה חודשית'!$A$37="",'📥 הזנה חודשית'!$N$37=""),"",'📥 הזנה חודשית'!$N$37)</f>
        <v/>
      </c>
      <c r="O75" s="62">
        <f>IF(B75="","",'📥 הזנה חודשית'!$O$37)</f>
        <v/>
      </c>
      <c r="P75" s="1" t="n"/>
    </row>
    <row r="76" ht="20" customHeight="1">
      <c r="A76" s="1" t="n"/>
      <c r="B76" s="101">
        <f>IF('📥 הזנה חודשית'!$A$38="","",'📥 הזנה חודשית'!$A$38)</f>
        <v/>
      </c>
      <c r="C76" s="98">
        <f>IF(OR('📥 הזנה חודשית'!$A$38="",'📥 הזנה חודשית'!$C$38=""),"",'📥 הזנה חודשית'!$C$38)</f>
        <v/>
      </c>
      <c r="D76" s="98">
        <f>IF(OR('📥 הזנה חודשית'!$A$38="",'📥 הזנה חודשית'!$D$38=""),"",'📥 הזנה חודשית'!$D$38)</f>
        <v/>
      </c>
      <c r="E76" s="98">
        <f>IF(OR('📥 הזנה חודשית'!$A$38="",'📥 הזנה חודשית'!$E$38=""),"",'📥 הזנה חודשית'!$E$38)</f>
        <v/>
      </c>
      <c r="F76" s="98">
        <f>IF(OR('📥 הזנה חודשית'!$A$38="",'📥 הזנה חודשית'!$F$38=""),"",'📥 הזנה חודשית'!$F$38)</f>
        <v/>
      </c>
      <c r="G76" s="98">
        <f>IF(OR('📥 הזנה חודשית'!$A$38="",'📥 הזנה חודשית'!$G$38=""),"",'📥 הזנה חודשית'!$G$38)</f>
        <v/>
      </c>
      <c r="H76" s="98">
        <f>IF(OR('📥 הזנה חודשית'!$A$38="",'📥 הזנה חודשית'!$H$38=""),"",'📥 הזנה חודשית'!$H$38)</f>
        <v/>
      </c>
      <c r="I76" s="98">
        <f>IF(OR('📥 הזנה חודשית'!$A$38="",'📥 הזנה חודשית'!$I$38=""),"",'📥 הזנה חודשית'!$I$38)</f>
        <v/>
      </c>
      <c r="J76" s="98">
        <f>IF(OR('📥 הזנה חודשית'!$A$38="",'📥 הזנה חודשית'!$J$38=""),"",'📥 הזנה חודשית'!$J$38)</f>
        <v/>
      </c>
      <c r="K76" s="98">
        <f>IF(OR('📥 הזנה חודשית'!$A$38="",'📥 הזנה חודשית'!$K$38=""),"",'📥 הזנה חודשית'!$K$38)</f>
        <v/>
      </c>
      <c r="L76" s="98">
        <f>IF(OR('📥 הזנה חודשית'!$A$38="",'📥 הזנה חודשית'!$L$38=""),"",'📥 הזנה חודשית'!$L$38)</f>
        <v/>
      </c>
      <c r="M76" s="98">
        <f>IF(OR('📥 הזנה חודשית'!$A$38="",'📥 הזנה חודשית'!$M$38=""),"",'📥 הזנה חודשית'!$M$38)</f>
        <v/>
      </c>
      <c r="N76" s="98">
        <f>IF(OR('📥 הזנה חודשית'!$A$38="",'📥 הזנה חודשית'!$N$38=""),"",'📥 הזנה חודשית'!$N$38)</f>
        <v/>
      </c>
      <c r="O76" s="62">
        <f>IF(B76="","",'📥 הזנה חודשית'!$O$38)</f>
        <v/>
      </c>
      <c r="P76" s="1" t="n"/>
    </row>
    <row r="77" ht="20" customHeight="1">
      <c r="A77" s="1" t="n"/>
      <c r="B77" s="101">
        <f>IF('📥 הזנה חודשית'!$A$39="","",'📥 הזנה חודשית'!$A$39)</f>
        <v/>
      </c>
      <c r="C77" s="98">
        <f>IF(OR('📥 הזנה חודשית'!$A$39="",'📥 הזנה חודשית'!$C$39=""),"",'📥 הזנה חודשית'!$C$39)</f>
        <v/>
      </c>
      <c r="D77" s="98">
        <f>IF(OR('📥 הזנה חודשית'!$A$39="",'📥 הזנה חודשית'!$D$39=""),"",'📥 הזנה חודשית'!$D$39)</f>
        <v/>
      </c>
      <c r="E77" s="98">
        <f>IF(OR('📥 הזנה חודשית'!$A$39="",'📥 הזנה חודשית'!$E$39=""),"",'📥 הזנה חודשית'!$E$39)</f>
        <v/>
      </c>
      <c r="F77" s="98">
        <f>IF(OR('📥 הזנה חודשית'!$A$39="",'📥 הזנה חודשית'!$F$39=""),"",'📥 הזנה חודשית'!$F$39)</f>
        <v/>
      </c>
      <c r="G77" s="98">
        <f>IF(OR('📥 הזנה חודשית'!$A$39="",'📥 הזנה חודשית'!$G$39=""),"",'📥 הזנה חודשית'!$G$39)</f>
        <v/>
      </c>
      <c r="H77" s="98">
        <f>IF(OR('📥 הזנה חודשית'!$A$39="",'📥 הזנה חודשית'!$H$39=""),"",'📥 הזנה חודשית'!$H$39)</f>
        <v/>
      </c>
      <c r="I77" s="98">
        <f>IF(OR('📥 הזנה חודשית'!$A$39="",'📥 הזנה חודשית'!$I$39=""),"",'📥 הזנה חודשית'!$I$39)</f>
        <v/>
      </c>
      <c r="J77" s="98">
        <f>IF(OR('📥 הזנה חודשית'!$A$39="",'📥 הזנה חודשית'!$J$39=""),"",'📥 הזנה חודשית'!$J$39)</f>
        <v/>
      </c>
      <c r="K77" s="98">
        <f>IF(OR('📥 הזנה חודשית'!$A$39="",'📥 הזנה חודשית'!$K$39=""),"",'📥 הזנה חודשית'!$K$39)</f>
        <v/>
      </c>
      <c r="L77" s="98">
        <f>IF(OR('📥 הזנה חודשית'!$A$39="",'📥 הזנה חודשית'!$L$39=""),"",'📥 הזנה חודשית'!$L$39)</f>
        <v/>
      </c>
      <c r="M77" s="98">
        <f>IF(OR('📥 הזנה חודשית'!$A$39="",'📥 הזנה חודשית'!$M$39=""),"",'📥 הזנה חודשית'!$M$39)</f>
        <v/>
      </c>
      <c r="N77" s="98">
        <f>IF(OR('📥 הזנה חודשית'!$A$39="",'📥 הזנה חודשית'!$N$39=""),"",'📥 הזנה חודשית'!$N$39)</f>
        <v/>
      </c>
      <c r="O77" s="62">
        <f>IF(B77="","",'📥 הזנה חודשית'!$O$39)</f>
        <v/>
      </c>
      <c r="P77" s="1" t="n"/>
    </row>
    <row r="78" ht="20" customHeight="1">
      <c r="A78" s="1" t="n"/>
      <c r="B78" s="101">
        <f>IF('📥 הזנה חודשית'!$A$40="","",'📥 הזנה חודשית'!$A$40)</f>
        <v/>
      </c>
      <c r="C78" s="98">
        <f>IF(OR('📥 הזנה חודשית'!$A$40="",'📥 הזנה חודשית'!$C$40=""),"",'📥 הזנה חודשית'!$C$40)</f>
        <v/>
      </c>
      <c r="D78" s="98">
        <f>IF(OR('📥 הזנה חודשית'!$A$40="",'📥 הזנה חודשית'!$D$40=""),"",'📥 הזנה חודשית'!$D$40)</f>
        <v/>
      </c>
      <c r="E78" s="98">
        <f>IF(OR('📥 הזנה חודשית'!$A$40="",'📥 הזנה חודשית'!$E$40=""),"",'📥 הזנה חודשית'!$E$40)</f>
        <v/>
      </c>
      <c r="F78" s="98">
        <f>IF(OR('📥 הזנה חודשית'!$A$40="",'📥 הזנה חודשית'!$F$40=""),"",'📥 הזנה חודשית'!$F$40)</f>
        <v/>
      </c>
      <c r="G78" s="98">
        <f>IF(OR('📥 הזנה חודשית'!$A$40="",'📥 הזנה חודשית'!$G$40=""),"",'📥 הזנה חודשית'!$G$40)</f>
        <v/>
      </c>
      <c r="H78" s="98">
        <f>IF(OR('📥 הזנה חודשית'!$A$40="",'📥 הזנה חודשית'!$H$40=""),"",'📥 הזנה חודשית'!$H$40)</f>
        <v/>
      </c>
      <c r="I78" s="98">
        <f>IF(OR('📥 הזנה חודשית'!$A$40="",'📥 הזנה חודשית'!$I$40=""),"",'📥 הזנה חודשית'!$I$40)</f>
        <v/>
      </c>
      <c r="J78" s="98">
        <f>IF(OR('📥 הזנה חודשית'!$A$40="",'📥 הזנה חודשית'!$J$40=""),"",'📥 הזנה חודשית'!$J$40)</f>
        <v/>
      </c>
      <c r="K78" s="98">
        <f>IF(OR('📥 הזנה חודשית'!$A$40="",'📥 הזנה חודשית'!$K$40=""),"",'📥 הזנה חודשית'!$K$40)</f>
        <v/>
      </c>
      <c r="L78" s="98">
        <f>IF(OR('📥 הזנה חודשית'!$A$40="",'📥 הזנה חודשית'!$L$40=""),"",'📥 הזנה חודשית'!$L$40)</f>
        <v/>
      </c>
      <c r="M78" s="98">
        <f>IF(OR('📥 הזנה חודשית'!$A$40="",'📥 הזנה חודשית'!$M$40=""),"",'📥 הזנה חודשית'!$M$40)</f>
        <v/>
      </c>
      <c r="N78" s="98">
        <f>IF(OR('📥 הזנה חודשית'!$A$40="",'📥 הזנה חודשית'!$N$40=""),"",'📥 הזנה חודשית'!$N$40)</f>
        <v/>
      </c>
      <c r="O78" s="62">
        <f>IF(B78="","",'📥 הזנה חודשית'!$O$40)</f>
        <v/>
      </c>
      <c r="P78" s="1" t="n"/>
    </row>
    <row r="79" ht="20" customHeight="1">
      <c r="A79" s="1" t="n"/>
      <c r="B79" s="101">
        <f>IF('📥 הזנה חודשית'!$A$41="","",'📥 הזנה חודשית'!$A$41)</f>
        <v/>
      </c>
      <c r="C79" s="98">
        <f>IF(OR('📥 הזנה חודשית'!$A$41="",'📥 הזנה חודשית'!$C$41=""),"",'📥 הזנה חודשית'!$C$41)</f>
        <v/>
      </c>
      <c r="D79" s="98">
        <f>IF(OR('📥 הזנה חודשית'!$A$41="",'📥 הזנה חודשית'!$D$41=""),"",'📥 הזנה חודשית'!$D$41)</f>
        <v/>
      </c>
      <c r="E79" s="98">
        <f>IF(OR('📥 הזנה חודשית'!$A$41="",'📥 הזנה חודשית'!$E$41=""),"",'📥 הזנה חודשית'!$E$41)</f>
        <v/>
      </c>
      <c r="F79" s="98">
        <f>IF(OR('📥 הזנה חודשית'!$A$41="",'📥 הזנה חודשית'!$F$41=""),"",'📥 הזנה חודשית'!$F$41)</f>
        <v/>
      </c>
      <c r="G79" s="98">
        <f>IF(OR('📥 הזנה חודשית'!$A$41="",'📥 הזנה חודשית'!$G$41=""),"",'📥 הזנה חודשית'!$G$41)</f>
        <v/>
      </c>
      <c r="H79" s="98">
        <f>IF(OR('📥 הזנה חודשית'!$A$41="",'📥 הזנה חודשית'!$H$41=""),"",'📥 הזנה חודשית'!$H$41)</f>
        <v/>
      </c>
      <c r="I79" s="98">
        <f>IF(OR('📥 הזנה חודשית'!$A$41="",'📥 הזנה חודשית'!$I$41=""),"",'📥 הזנה חודשית'!$I$41)</f>
        <v/>
      </c>
      <c r="J79" s="98">
        <f>IF(OR('📥 הזנה חודשית'!$A$41="",'📥 הזנה חודשית'!$J$41=""),"",'📥 הזנה חודשית'!$J$41)</f>
        <v/>
      </c>
      <c r="K79" s="98">
        <f>IF(OR('📥 הזנה חודשית'!$A$41="",'📥 הזנה חודשית'!$K$41=""),"",'📥 הזנה חודשית'!$K$41)</f>
        <v/>
      </c>
      <c r="L79" s="98">
        <f>IF(OR('📥 הזנה חודשית'!$A$41="",'📥 הזנה חודשית'!$L$41=""),"",'📥 הזנה חודשית'!$L$41)</f>
        <v/>
      </c>
      <c r="M79" s="98">
        <f>IF(OR('📥 הזנה חודשית'!$A$41="",'📥 הזנה חודשית'!$M$41=""),"",'📥 הזנה חודשית'!$M$41)</f>
        <v/>
      </c>
      <c r="N79" s="98">
        <f>IF(OR('📥 הזנה חודשית'!$A$41="",'📥 הזנה חודשית'!$N$41=""),"",'📥 הזנה חודשית'!$N$41)</f>
        <v/>
      </c>
      <c r="O79" s="62">
        <f>IF(B79="","",'📥 הזנה חודשית'!$O$41)</f>
        <v/>
      </c>
      <c r="P79" s="1" t="n"/>
    </row>
    <row r="80" ht="20" customHeight="1">
      <c r="A80" s="1" t="n"/>
      <c r="B80" s="101">
        <f>IF('📥 הזנה חודשית'!$A$42="","",'📥 הזנה חודשית'!$A$42)</f>
        <v/>
      </c>
      <c r="C80" s="98">
        <f>IF(OR('📥 הזנה חודשית'!$A$42="",'📥 הזנה חודשית'!$C$42=""),"",'📥 הזנה חודשית'!$C$42)</f>
        <v/>
      </c>
      <c r="D80" s="98">
        <f>IF(OR('📥 הזנה חודשית'!$A$42="",'📥 הזנה חודשית'!$D$42=""),"",'📥 הזנה חודשית'!$D$42)</f>
        <v/>
      </c>
      <c r="E80" s="98">
        <f>IF(OR('📥 הזנה חודשית'!$A$42="",'📥 הזנה חודשית'!$E$42=""),"",'📥 הזנה חודשית'!$E$42)</f>
        <v/>
      </c>
      <c r="F80" s="98">
        <f>IF(OR('📥 הזנה חודשית'!$A$42="",'📥 הזנה חודשית'!$F$42=""),"",'📥 הזנה חודשית'!$F$42)</f>
        <v/>
      </c>
      <c r="G80" s="98">
        <f>IF(OR('📥 הזנה חודשית'!$A$42="",'📥 הזנה חודשית'!$G$42=""),"",'📥 הזנה חודשית'!$G$42)</f>
        <v/>
      </c>
      <c r="H80" s="98">
        <f>IF(OR('📥 הזנה חודשית'!$A$42="",'📥 הזנה חודשית'!$H$42=""),"",'📥 הזנה חודשית'!$H$42)</f>
        <v/>
      </c>
      <c r="I80" s="98">
        <f>IF(OR('📥 הזנה חודשית'!$A$42="",'📥 הזנה חודשית'!$I$42=""),"",'📥 הזנה חודשית'!$I$42)</f>
        <v/>
      </c>
      <c r="J80" s="98">
        <f>IF(OR('📥 הזנה חודשית'!$A$42="",'📥 הזנה חודשית'!$J$42=""),"",'📥 הזנה חודשית'!$J$42)</f>
        <v/>
      </c>
      <c r="K80" s="98">
        <f>IF(OR('📥 הזנה חודשית'!$A$42="",'📥 הזנה חודשית'!$K$42=""),"",'📥 הזנה חודשית'!$K$42)</f>
        <v/>
      </c>
      <c r="L80" s="98">
        <f>IF(OR('📥 הזנה חודשית'!$A$42="",'📥 הזנה חודשית'!$L$42=""),"",'📥 הזנה חודשית'!$L$42)</f>
        <v/>
      </c>
      <c r="M80" s="98">
        <f>IF(OR('📥 הזנה חודשית'!$A$42="",'📥 הזנה חודשית'!$M$42=""),"",'📥 הזנה חודשית'!$M$42)</f>
        <v/>
      </c>
      <c r="N80" s="98">
        <f>IF(OR('📥 הזנה חודשית'!$A$42="",'📥 הזנה חודשית'!$N$42=""),"",'📥 הזנה חודשית'!$N$42)</f>
        <v/>
      </c>
      <c r="O80" s="62">
        <f>IF(B80="","",'📥 הזנה חודשית'!$O$42)</f>
        <v/>
      </c>
      <c r="P80" s="1" t="n"/>
    </row>
    <row r="81" ht="20" customHeight="1">
      <c r="A81" s="1" t="n"/>
      <c r="B81" s="101">
        <f>IF('📥 הזנה חודשית'!$A$43="","",'📥 הזנה חודשית'!$A$43)</f>
        <v/>
      </c>
      <c r="C81" s="98">
        <f>IF(OR('📥 הזנה חודשית'!$A$43="",'📥 הזנה חודשית'!$C$43=""),"",'📥 הזנה חודשית'!$C$43)</f>
        <v/>
      </c>
      <c r="D81" s="98">
        <f>IF(OR('📥 הזנה חודשית'!$A$43="",'📥 הזנה חודשית'!$D$43=""),"",'📥 הזנה חודשית'!$D$43)</f>
        <v/>
      </c>
      <c r="E81" s="98">
        <f>IF(OR('📥 הזנה חודשית'!$A$43="",'📥 הזנה חודשית'!$E$43=""),"",'📥 הזנה חודשית'!$E$43)</f>
        <v/>
      </c>
      <c r="F81" s="98">
        <f>IF(OR('📥 הזנה חודשית'!$A$43="",'📥 הזנה חודשית'!$F$43=""),"",'📥 הזנה חודשית'!$F$43)</f>
        <v/>
      </c>
      <c r="G81" s="98">
        <f>IF(OR('📥 הזנה חודשית'!$A$43="",'📥 הזנה חודשית'!$G$43=""),"",'📥 הזנה חודשית'!$G$43)</f>
        <v/>
      </c>
      <c r="H81" s="98">
        <f>IF(OR('📥 הזנה חודשית'!$A$43="",'📥 הזנה חודשית'!$H$43=""),"",'📥 הזנה חודשית'!$H$43)</f>
        <v/>
      </c>
      <c r="I81" s="98">
        <f>IF(OR('📥 הזנה חודשית'!$A$43="",'📥 הזנה חודשית'!$I$43=""),"",'📥 הזנה חודשית'!$I$43)</f>
        <v/>
      </c>
      <c r="J81" s="98">
        <f>IF(OR('📥 הזנה חודשית'!$A$43="",'📥 הזנה חודשית'!$J$43=""),"",'📥 הזנה חודשית'!$J$43)</f>
        <v/>
      </c>
      <c r="K81" s="98">
        <f>IF(OR('📥 הזנה חודשית'!$A$43="",'📥 הזנה חודשית'!$K$43=""),"",'📥 הזנה חודשית'!$K$43)</f>
        <v/>
      </c>
      <c r="L81" s="98">
        <f>IF(OR('📥 הזנה חודשית'!$A$43="",'📥 הזנה חודשית'!$L$43=""),"",'📥 הזנה חודשית'!$L$43)</f>
        <v/>
      </c>
      <c r="M81" s="98">
        <f>IF(OR('📥 הזנה חודשית'!$A$43="",'📥 הזנה חודשית'!$M$43=""),"",'📥 הזנה חודשית'!$M$43)</f>
        <v/>
      </c>
      <c r="N81" s="98">
        <f>IF(OR('📥 הזנה חודשית'!$A$43="",'📥 הזנה חודשית'!$N$43=""),"",'📥 הזנה חודשית'!$N$43)</f>
        <v/>
      </c>
      <c r="O81" s="62">
        <f>IF(B81="","",'📥 הזנה חודשית'!$O$43)</f>
        <v/>
      </c>
      <c r="P81" s="1" t="n"/>
    </row>
    <row r="82" ht="20" customHeight="1">
      <c r="A82" s="1" t="n"/>
      <c r="B82" s="101">
        <f>IF('📥 הזנה חודשית'!$A$44="","",'📥 הזנה חודשית'!$A$44)</f>
        <v/>
      </c>
      <c r="C82" s="98">
        <f>IF(OR('📥 הזנה חודשית'!$A$44="",'📥 הזנה חודשית'!$C$44=""),"",'📥 הזנה חודשית'!$C$44)</f>
        <v/>
      </c>
      <c r="D82" s="98">
        <f>IF(OR('📥 הזנה חודשית'!$A$44="",'📥 הזנה חודשית'!$D$44=""),"",'📥 הזנה חודשית'!$D$44)</f>
        <v/>
      </c>
      <c r="E82" s="98">
        <f>IF(OR('📥 הזנה חודשית'!$A$44="",'📥 הזנה חודשית'!$E$44=""),"",'📥 הזנה חודשית'!$E$44)</f>
        <v/>
      </c>
      <c r="F82" s="98">
        <f>IF(OR('📥 הזנה חודשית'!$A$44="",'📥 הזנה חודשית'!$F$44=""),"",'📥 הזנה חודשית'!$F$44)</f>
        <v/>
      </c>
      <c r="G82" s="98">
        <f>IF(OR('📥 הזנה חודשית'!$A$44="",'📥 הזנה חודשית'!$G$44=""),"",'📥 הזנה חודשית'!$G$44)</f>
        <v/>
      </c>
      <c r="H82" s="98">
        <f>IF(OR('📥 הזנה חודשית'!$A$44="",'📥 הזנה חודשית'!$H$44=""),"",'📥 הזנה חודשית'!$H$44)</f>
        <v/>
      </c>
      <c r="I82" s="98">
        <f>IF(OR('📥 הזנה חודשית'!$A$44="",'📥 הזנה חודשית'!$I$44=""),"",'📥 הזנה חודשית'!$I$44)</f>
        <v/>
      </c>
      <c r="J82" s="98">
        <f>IF(OR('📥 הזנה חודשית'!$A$44="",'📥 הזנה חודשית'!$J$44=""),"",'📥 הזנה חודשית'!$J$44)</f>
        <v/>
      </c>
      <c r="K82" s="98">
        <f>IF(OR('📥 הזנה חודשית'!$A$44="",'📥 הזנה חודשית'!$K$44=""),"",'📥 הזנה חודשית'!$K$44)</f>
        <v/>
      </c>
      <c r="L82" s="98">
        <f>IF(OR('📥 הזנה חודשית'!$A$44="",'📥 הזנה חודשית'!$L$44=""),"",'📥 הזנה חודשית'!$L$44)</f>
        <v/>
      </c>
      <c r="M82" s="98">
        <f>IF(OR('📥 הזנה חודשית'!$A$44="",'📥 הזנה חודשית'!$M$44=""),"",'📥 הזנה חודשית'!$M$44)</f>
        <v/>
      </c>
      <c r="N82" s="98">
        <f>IF(OR('📥 הזנה חודשית'!$A$44="",'📥 הזנה חודשית'!$N$44=""),"",'📥 הזנה חודשית'!$N$44)</f>
        <v/>
      </c>
      <c r="O82" s="62">
        <f>IF(B82="","",'📥 הזנה חודשית'!$O$44)</f>
        <v/>
      </c>
      <c r="P82" s="1" t="n"/>
    </row>
    <row r="83">
      <c r="A83" s="1" t="n"/>
      <c r="B83" s="102" t="inlineStr">
        <is>
          <t>💳 חובות</t>
        </is>
      </c>
      <c r="C83" s="103" t="n"/>
      <c r="D83" s="103" t="n"/>
      <c r="E83" s="103" t="n"/>
      <c r="F83" s="103" t="n"/>
      <c r="G83" s="103" t="n"/>
      <c r="H83" s="103" t="n"/>
      <c r="I83" s="103" t="n"/>
      <c r="J83" s="103" t="n"/>
      <c r="K83" s="103" t="n"/>
      <c r="L83" s="103" t="n"/>
      <c r="M83" s="103" t="n"/>
      <c r="N83" s="103" t="n"/>
      <c r="O83" s="103" t="n"/>
      <c r="P83" s="1" t="n"/>
    </row>
    <row r="84" ht="20" customHeight="1">
      <c r="A84" s="1" t="n"/>
      <c r="B84" s="104">
        <f>IF('📥 הזנה חודשית'!$A$47="","",'📥 הזנה חודשית'!$A$47)</f>
        <v/>
      </c>
      <c r="C84" s="98">
        <f>IF(OR('📥 הזנה חודשית'!$A$47="",'📥 הזנה חודשית'!$C$47=""),"",'📥 הזנה חודשית'!$C$47)</f>
        <v/>
      </c>
      <c r="D84" s="98">
        <f>IF(OR('📥 הזנה חודשית'!$A$47="",'📥 הזנה חודשית'!$D$47=""),"",'📥 הזנה חודשית'!$D$47)</f>
        <v/>
      </c>
      <c r="E84" s="98">
        <f>IF(OR('📥 הזנה חודשית'!$A$47="",'📥 הזנה חודשית'!$E$47=""),"",'📥 הזנה חודשית'!$E$47)</f>
        <v/>
      </c>
      <c r="F84" s="98">
        <f>IF(OR('📥 הזנה חודשית'!$A$47="",'📥 הזנה חודשית'!$F$47=""),"",'📥 הזנה חודשית'!$F$47)</f>
        <v/>
      </c>
      <c r="G84" s="98">
        <f>IF(OR('📥 הזנה חודשית'!$A$47="",'📥 הזנה חודשית'!$G$47=""),"",'📥 הזנה חודשית'!$G$47)</f>
        <v/>
      </c>
      <c r="H84" s="98">
        <f>IF(OR('📥 הזנה חודשית'!$A$47="",'📥 הזנה חודשית'!$H$47=""),"",'📥 הזנה חודשית'!$H$47)</f>
        <v/>
      </c>
      <c r="I84" s="98">
        <f>IF(OR('📥 הזנה חודשית'!$A$47="",'📥 הזנה חודשית'!$I$47=""),"",'📥 הזנה חודשית'!$I$47)</f>
        <v/>
      </c>
      <c r="J84" s="98">
        <f>IF(OR('📥 הזנה חודשית'!$A$47="",'📥 הזנה חודשית'!$J$47=""),"",'📥 הזנה חודשית'!$J$47)</f>
        <v/>
      </c>
      <c r="K84" s="98">
        <f>IF(OR('📥 הזנה חודשית'!$A$47="",'📥 הזנה חודשית'!$K$47=""),"",'📥 הזנה חודשית'!$K$47)</f>
        <v/>
      </c>
      <c r="L84" s="98">
        <f>IF(OR('📥 הזנה חודשית'!$A$47="",'📥 הזנה חודשית'!$L$47=""),"",'📥 הזנה חודשית'!$L$47)</f>
        <v/>
      </c>
      <c r="M84" s="98">
        <f>IF(OR('📥 הזנה חודשית'!$A$47="",'📥 הזנה חודשית'!$M$47=""),"",'📥 הזנה חודשית'!$M$47)</f>
        <v/>
      </c>
      <c r="N84" s="98">
        <f>IF(OR('📥 הזנה חודשית'!$A$47="",'📥 הזנה חודשית'!$N$47=""),"",'📥 הזנה חודשית'!$N$47)</f>
        <v/>
      </c>
      <c r="O84" s="62">
        <f>IF(B84="","",'📥 הזנה חודשית'!$O$47)</f>
        <v/>
      </c>
      <c r="P84" s="1" t="n"/>
    </row>
    <row r="85" ht="20" customHeight="1">
      <c r="A85" s="1" t="n"/>
      <c r="B85" s="104">
        <f>IF('📥 הזנה חודשית'!$A$48="","",'📥 הזנה חודשית'!$A$48)</f>
        <v/>
      </c>
      <c r="C85" s="98">
        <f>IF(OR('📥 הזנה חודשית'!$A$48="",'📥 הזנה חודשית'!$C$48=""),"",'📥 הזנה חודשית'!$C$48)</f>
        <v/>
      </c>
      <c r="D85" s="98">
        <f>IF(OR('📥 הזנה חודשית'!$A$48="",'📥 הזנה חודשית'!$D$48=""),"",'📥 הזנה חודשית'!$D$48)</f>
        <v/>
      </c>
      <c r="E85" s="98">
        <f>IF(OR('📥 הזנה חודשית'!$A$48="",'📥 הזנה חודשית'!$E$48=""),"",'📥 הזנה חודשית'!$E$48)</f>
        <v/>
      </c>
      <c r="F85" s="98">
        <f>IF(OR('📥 הזנה חודשית'!$A$48="",'📥 הזנה חודשית'!$F$48=""),"",'📥 הזנה חודשית'!$F$48)</f>
        <v/>
      </c>
      <c r="G85" s="98">
        <f>IF(OR('📥 הזנה חודשית'!$A$48="",'📥 הזנה חודשית'!$G$48=""),"",'📥 הזנה חודשית'!$G$48)</f>
        <v/>
      </c>
      <c r="H85" s="98">
        <f>IF(OR('📥 הזנה חודשית'!$A$48="",'📥 הזנה חודשית'!$H$48=""),"",'📥 הזנה חודשית'!$H$48)</f>
        <v/>
      </c>
      <c r="I85" s="98">
        <f>IF(OR('📥 הזנה חודשית'!$A$48="",'📥 הזנה חודשית'!$I$48=""),"",'📥 הזנה חודשית'!$I$48)</f>
        <v/>
      </c>
      <c r="J85" s="98">
        <f>IF(OR('📥 הזנה חודשית'!$A$48="",'📥 הזנה חודשית'!$J$48=""),"",'📥 הזנה חודשית'!$J$48)</f>
        <v/>
      </c>
      <c r="K85" s="98">
        <f>IF(OR('📥 הזנה חודשית'!$A$48="",'📥 הזנה חודשית'!$K$48=""),"",'📥 הזנה חודשית'!$K$48)</f>
        <v/>
      </c>
      <c r="L85" s="98">
        <f>IF(OR('📥 הזנה חודשית'!$A$48="",'📥 הזנה חודשית'!$L$48=""),"",'📥 הזנה חודשית'!$L$48)</f>
        <v/>
      </c>
      <c r="M85" s="98">
        <f>IF(OR('📥 הזנה חודשית'!$A$48="",'📥 הזנה חודשית'!$M$48=""),"",'📥 הזנה חודשית'!$M$48)</f>
        <v/>
      </c>
      <c r="N85" s="98">
        <f>IF(OR('📥 הזנה חודשית'!$A$48="",'📥 הזנה חודשית'!$N$48=""),"",'📥 הזנה חודשית'!$N$48)</f>
        <v/>
      </c>
      <c r="O85" s="62">
        <f>IF(B85="","",'📥 הזנה חודשית'!$O$48)</f>
        <v/>
      </c>
      <c r="P85" s="1" t="n"/>
    </row>
    <row r="86" ht="20" customHeight="1">
      <c r="A86" s="1" t="n"/>
      <c r="B86" s="104">
        <f>IF('📥 הזנה חודשית'!$A$49="","",'📥 הזנה חודשית'!$A$49)</f>
        <v/>
      </c>
      <c r="C86" s="98">
        <f>IF(OR('📥 הזנה חודשית'!$A$49="",'📥 הזנה חודשית'!$C$49=""),"",'📥 הזנה חודשית'!$C$49)</f>
        <v/>
      </c>
      <c r="D86" s="98">
        <f>IF(OR('📥 הזנה חודשית'!$A$49="",'📥 הזנה חודשית'!$D$49=""),"",'📥 הזנה חודשית'!$D$49)</f>
        <v/>
      </c>
      <c r="E86" s="98">
        <f>IF(OR('📥 הזנה חודשית'!$A$49="",'📥 הזנה חודשית'!$E$49=""),"",'📥 הזנה חודשית'!$E$49)</f>
        <v/>
      </c>
      <c r="F86" s="98">
        <f>IF(OR('📥 הזנה חודשית'!$A$49="",'📥 הזנה חודשית'!$F$49=""),"",'📥 הזנה חודשית'!$F$49)</f>
        <v/>
      </c>
      <c r="G86" s="98">
        <f>IF(OR('📥 הזנה חודשית'!$A$49="",'📥 הזנה חודשית'!$G$49=""),"",'📥 הזנה חודשית'!$G$49)</f>
        <v/>
      </c>
      <c r="H86" s="98">
        <f>IF(OR('📥 הזנה חודשית'!$A$49="",'📥 הזנה חודשית'!$H$49=""),"",'📥 הזנה חודשית'!$H$49)</f>
        <v/>
      </c>
      <c r="I86" s="98">
        <f>IF(OR('📥 הזנה חודשית'!$A$49="",'📥 הזנה חודשית'!$I$49=""),"",'📥 הזנה חודשית'!$I$49)</f>
        <v/>
      </c>
      <c r="J86" s="98">
        <f>IF(OR('📥 הזנה חודשית'!$A$49="",'📥 הזנה חודשית'!$J$49=""),"",'📥 הזנה חודשית'!$J$49)</f>
        <v/>
      </c>
      <c r="K86" s="98">
        <f>IF(OR('📥 הזנה חודשית'!$A$49="",'📥 הזנה חודשית'!$K$49=""),"",'📥 הזנה חודשית'!$K$49)</f>
        <v/>
      </c>
      <c r="L86" s="98">
        <f>IF(OR('📥 הזנה חודשית'!$A$49="",'📥 הזנה חודשית'!$L$49=""),"",'📥 הזנה חודשית'!$L$49)</f>
        <v/>
      </c>
      <c r="M86" s="98">
        <f>IF(OR('📥 הזנה חודשית'!$A$49="",'📥 הזנה חודשית'!$M$49=""),"",'📥 הזנה חודשית'!$M$49)</f>
        <v/>
      </c>
      <c r="N86" s="98">
        <f>IF(OR('📥 הזנה חודשית'!$A$49="",'📥 הזנה חודשית'!$N$49=""),"",'📥 הזנה חודשית'!$N$49)</f>
        <v/>
      </c>
      <c r="O86" s="62">
        <f>IF(B86="","",'📥 הזנה חודשית'!$O$49)</f>
        <v/>
      </c>
      <c r="P86" s="1" t="n"/>
    </row>
    <row r="87" ht="20" customHeight="1">
      <c r="A87" s="1" t="n"/>
      <c r="B87" s="104">
        <f>IF('📥 הזנה חודשית'!$A$50="","",'📥 הזנה חודשית'!$A$50)</f>
        <v/>
      </c>
      <c r="C87" s="98">
        <f>IF(OR('📥 הזנה חודשית'!$A$50="",'📥 הזנה חודשית'!$C$50=""),"",'📥 הזנה חודשית'!$C$50)</f>
        <v/>
      </c>
      <c r="D87" s="98">
        <f>IF(OR('📥 הזנה חודשית'!$A$50="",'📥 הזנה חודשית'!$D$50=""),"",'📥 הזנה חודשית'!$D$50)</f>
        <v/>
      </c>
      <c r="E87" s="98">
        <f>IF(OR('📥 הזנה חודשית'!$A$50="",'📥 הזנה חודשית'!$E$50=""),"",'📥 הזנה חודשית'!$E$50)</f>
        <v/>
      </c>
      <c r="F87" s="98">
        <f>IF(OR('📥 הזנה חודשית'!$A$50="",'📥 הזנה חודשית'!$F$50=""),"",'📥 הזנה חודשית'!$F$50)</f>
        <v/>
      </c>
      <c r="G87" s="98">
        <f>IF(OR('📥 הזנה חודשית'!$A$50="",'📥 הזנה חודשית'!$G$50=""),"",'📥 הזנה חודשית'!$G$50)</f>
        <v/>
      </c>
      <c r="H87" s="98">
        <f>IF(OR('📥 הזנה חודשית'!$A$50="",'📥 הזנה חודשית'!$H$50=""),"",'📥 הזנה חודשית'!$H$50)</f>
        <v/>
      </c>
      <c r="I87" s="98">
        <f>IF(OR('📥 הזנה חודשית'!$A$50="",'📥 הזנה חודשית'!$I$50=""),"",'📥 הזנה חודשית'!$I$50)</f>
        <v/>
      </c>
      <c r="J87" s="98">
        <f>IF(OR('📥 הזנה חודשית'!$A$50="",'📥 הזנה חודשית'!$J$50=""),"",'📥 הזנה חודשית'!$J$50)</f>
        <v/>
      </c>
      <c r="K87" s="98">
        <f>IF(OR('📥 הזנה חודשית'!$A$50="",'📥 הזנה חודשית'!$K$50=""),"",'📥 הזנה חודשית'!$K$50)</f>
        <v/>
      </c>
      <c r="L87" s="98">
        <f>IF(OR('📥 הזנה חודשית'!$A$50="",'📥 הזנה חודשית'!$L$50=""),"",'📥 הזנה חודשית'!$L$50)</f>
        <v/>
      </c>
      <c r="M87" s="98">
        <f>IF(OR('📥 הזנה חודשית'!$A$50="",'📥 הזנה חודשית'!$M$50=""),"",'📥 הזנה חודשית'!$M$50)</f>
        <v/>
      </c>
      <c r="N87" s="98">
        <f>IF(OR('📥 הזנה חודשית'!$A$50="",'📥 הזנה חודשית'!$N$50=""),"",'📥 הזנה חודשית'!$N$50)</f>
        <v/>
      </c>
      <c r="O87" s="62">
        <f>IF(B87="","",'📥 הזנה חודשית'!$O$50)</f>
        <v/>
      </c>
      <c r="P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</row>
  </sheetData>
  <mergeCells count="2">
    <mergeCell ref="B3:O3"/>
    <mergeCell ref="B2:O2"/>
  </mergeCells>
  <conditionalFormatting sqref="C61:N70">
    <cfRule type="colorScale" priority="1">
      <colorScale>
        <cfvo type="min"/>
        <cfvo type="max"/>
        <color rgb="00FFFFFF"/>
        <color rgb="007C3AED"/>
      </colorScale>
    </cfRule>
  </conditionalFormatting>
  <conditionalFormatting sqref="C72:N82">
    <cfRule type="colorScale" priority="2">
      <colorScale>
        <cfvo type="min"/>
        <cfvo type="max"/>
        <color rgb="00FFFFFF"/>
        <color rgb="00EA580C"/>
      </colorScale>
    </cfRule>
  </conditionalFormatting>
  <conditionalFormatting sqref="C84:N87">
    <cfRule type="colorScale" priority="3">
      <colorScale>
        <cfvo type="min"/>
        <cfvo type="max"/>
        <color rgb="00FFFFFF"/>
        <color rgb="00DC2626"/>
      </colorScale>
    </cfRule>
  </conditionalFormatting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 fitToPage="1"/>
  </sheetPr>
  <dimension ref="A1:L60"/>
  <sheetViews>
    <sheetView showGridLines="0" rightToLeft="1" zoomScale="10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" customWidth="1" min="12" max="12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44" customHeight="1">
      <c r="A2" s="1" t="n"/>
      <c r="B2" s="2" t="inlineStr">
        <is>
          <t>🎯 יעדי חיסכון וסילוק חובות</t>
        </is>
      </c>
      <c r="L2" s="1" t="n"/>
    </row>
    <row r="3" ht="22" customHeight="1">
      <c r="A3" s="1" t="n"/>
      <c r="B3" s="3" t="inlineStr">
        <is>
          <t>ממלאים פעם אחת את התאים בצבע שמנת – ההתקדמות מחושבת לבד מתוך ההזנה החודשית</t>
        </is>
      </c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26" customHeight="1">
      <c r="A5" s="1" t="n"/>
      <c r="B5" s="105" t="inlineStr">
        <is>
          <t>🐷 תוכניות חיסכון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30" customHeight="1">
      <c r="A6" s="1" t="n"/>
      <c r="B6" s="106" t="inlineStr">
        <is>
          <t>תוכנית</t>
        </is>
      </c>
      <c r="C6" s="106" t="inlineStr">
        <is>
          <t>יעד</t>
        </is>
      </c>
      <c r="D6" s="106" t="inlineStr">
        <is>
          <t>היה בצד בתחילת השנה</t>
        </is>
      </c>
      <c r="E6" s="106" t="inlineStr">
        <is>
          <t>תאריך יעד</t>
        </is>
      </c>
      <c r="F6" s="106" t="inlineStr">
        <is>
          <t>הופקד השנה</t>
        </is>
      </c>
      <c r="G6" s="106" t="inlineStr">
        <is>
          <t>סה"כ נחסך</t>
        </is>
      </c>
      <c r="H6" s="106" t="inlineStr">
        <is>
          <t>נותר</t>
        </is>
      </c>
      <c r="I6" s="106" t="inlineStr">
        <is>
          <t>התקדמות</t>
        </is>
      </c>
      <c r="J6" s="107" t="n"/>
      <c r="K6" s="106" t="inlineStr">
        <is>
          <t>כמה להפקיד בחודש</t>
        </is>
      </c>
      <c r="L6" s="1" t="n"/>
    </row>
    <row r="7" ht="24" customHeight="1">
      <c r="A7" s="1" t="n"/>
      <c r="B7" s="108">
        <f>IF('📥 הזנה חודשית'!$A$15="","",'📥 הזנה חודשית'!$A$15)</f>
        <v/>
      </c>
      <c r="C7" s="109" t="n">
        <v>30000</v>
      </c>
      <c r="D7" s="109" t="n">
        <v>18000</v>
      </c>
      <c r="E7" s="110">
        <f>DATE(2027,6,30)</f>
        <v/>
      </c>
      <c r="F7" s="32">
        <f>'📥 הזנה חודשית'!$O$15</f>
        <v/>
      </c>
      <c r="G7" s="33">
        <f>N(D7)+F7</f>
        <v/>
      </c>
      <c r="H7" s="32">
        <f>MAX(0,N(C7)-G7)</f>
        <v/>
      </c>
      <c r="I7" s="111">
        <f>IF(N(C7)=0,"",MIN(1,G7/C7))</f>
        <v/>
      </c>
      <c r="J7" s="40">
        <f>IF(I7="","",REPT("█",ROUND(MAX(0,MIN(1,I7))*10,0))&amp;REPT("░",10-ROUND(MAX(0,MIN(1,I7))*10,0)))</f>
        <v/>
      </c>
      <c r="K7" s="33">
        <f>IF(OR(N(C7)=0,E7=""),"",IF(H7=0,"✅ הושג",H7/MAX(1,(YEAR(E7)-YEAR(TODAY()))*12+MONTH(E7)-MONTH(TODAY()))))</f>
        <v/>
      </c>
      <c r="L7" s="1" t="n"/>
    </row>
    <row r="8" ht="24" customHeight="1">
      <c r="A8" s="1" t="n"/>
      <c r="B8" s="108">
        <f>IF('📥 הזנה חודשית'!$A$16="","",'📥 הזנה חודשית'!$A$16)</f>
        <v/>
      </c>
      <c r="C8" s="109" t="n">
        <v>12000</v>
      </c>
      <c r="D8" s="109" t="n">
        <v>2500</v>
      </c>
      <c r="E8" s="110">
        <f>DATE(2027,7,31)</f>
        <v/>
      </c>
      <c r="F8" s="32">
        <f>'📥 הזנה חודשית'!$O$16</f>
        <v/>
      </c>
      <c r="G8" s="33">
        <f>N(D8)+F8</f>
        <v/>
      </c>
      <c r="H8" s="32">
        <f>MAX(0,N(C8)-G8)</f>
        <v/>
      </c>
      <c r="I8" s="111">
        <f>IF(N(C8)=0,"",MIN(1,G8/C8))</f>
        <v/>
      </c>
      <c r="J8" s="40">
        <f>IF(I8="","",REPT("█",ROUND(MAX(0,MIN(1,I8))*10,0))&amp;REPT("░",10-ROUND(MAX(0,MIN(1,I8))*10,0)))</f>
        <v/>
      </c>
      <c r="K8" s="33">
        <f>IF(OR(N(C8)=0,E8=""),"",IF(H8=0,"✅ הושג",H8/MAX(1,(YEAR(E8)-YEAR(TODAY()))*12+MONTH(E8)-MONTH(TODAY()))))</f>
        <v/>
      </c>
      <c r="L8" s="1" t="n"/>
    </row>
    <row r="9" ht="24" customHeight="1">
      <c r="A9" s="1" t="n"/>
      <c r="B9" s="108">
        <f>IF('📥 הזנה חודשית'!$A$17="","",'📥 הזנה חודשית'!$A$17)</f>
        <v/>
      </c>
      <c r="C9" s="109" t="n">
        <v>40000</v>
      </c>
      <c r="D9" s="109" t="n">
        <v>15000</v>
      </c>
      <c r="E9" s="110">
        <f>DATE(2028,12,31)</f>
        <v/>
      </c>
      <c r="F9" s="32">
        <f>'📥 הזנה חודשית'!$O$17</f>
        <v/>
      </c>
      <c r="G9" s="33">
        <f>N(D9)+F9</f>
        <v/>
      </c>
      <c r="H9" s="32">
        <f>MAX(0,N(C9)-G9)</f>
        <v/>
      </c>
      <c r="I9" s="111">
        <f>IF(N(C9)=0,"",MIN(1,G9/C9))</f>
        <v/>
      </c>
      <c r="J9" s="40">
        <f>IF(I9="","",REPT("█",ROUND(MAX(0,MIN(1,I9))*10,0))&amp;REPT("░",10-ROUND(MAX(0,MIN(1,I9))*10,0)))</f>
        <v/>
      </c>
      <c r="K9" s="33">
        <f>IF(OR(N(C9)=0,E9=""),"",IF(H9=0,"✅ הושג",H9/MAX(1,(YEAR(E9)-YEAR(TODAY()))*12+MONTH(E9)-MONTH(TODAY()))))</f>
        <v/>
      </c>
      <c r="L9" s="1" t="n"/>
    </row>
    <row r="10" ht="24" customHeight="1">
      <c r="A10" s="1" t="n"/>
      <c r="B10" s="108">
        <f>IF('📥 הזנה חודשית'!$A$18="","",'📥 הזנה חודשית'!$A$18)</f>
        <v/>
      </c>
      <c r="C10" s="109" t="n">
        <v>150000</v>
      </c>
      <c r="D10" s="109" t="n">
        <v>62000</v>
      </c>
      <c r="E10" s="110">
        <f>DATE(2030,12,31)</f>
        <v/>
      </c>
      <c r="F10" s="32">
        <f>'📥 הזנה חודשית'!$O$18</f>
        <v/>
      </c>
      <c r="G10" s="33">
        <f>N(D10)+F10</f>
        <v/>
      </c>
      <c r="H10" s="32">
        <f>MAX(0,N(C10)-G10)</f>
        <v/>
      </c>
      <c r="I10" s="111">
        <f>IF(N(C10)=0,"",MIN(1,G10/C10))</f>
        <v/>
      </c>
      <c r="J10" s="40">
        <f>IF(I10="","",REPT("█",ROUND(MAX(0,MIN(1,I10))*10,0))&amp;REPT("░",10-ROUND(MAX(0,MIN(1,I10))*10,0)))</f>
        <v/>
      </c>
      <c r="K10" s="33">
        <f>IF(OR(N(C10)=0,E10=""),"",IF(H10=0,"✅ הושג",H10/MAX(1,(YEAR(E10)-YEAR(TODAY()))*12+MONTH(E10)-MONTH(TODAY()))))</f>
        <v/>
      </c>
      <c r="L10" s="1" t="n"/>
    </row>
    <row r="11" ht="24" customHeight="1">
      <c r="A11" s="1" t="n"/>
      <c r="B11" s="108">
        <f>IF('📥 הזנה חודשית'!$A$19="","",'📥 הזנה חודשית'!$A$19)</f>
        <v/>
      </c>
      <c r="C11" s="109" t="n">
        <v>50000</v>
      </c>
      <c r="D11" s="109" t="n">
        <v>21000</v>
      </c>
      <c r="E11" s="110">
        <f>DATE(2028,12,31)</f>
        <v/>
      </c>
      <c r="F11" s="32">
        <f>'📥 הזנה חודשית'!$O$19</f>
        <v/>
      </c>
      <c r="G11" s="33">
        <f>N(D11)+F11</f>
        <v/>
      </c>
      <c r="H11" s="32">
        <f>MAX(0,N(C11)-G11)</f>
        <v/>
      </c>
      <c r="I11" s="111">
        <f>IF(N(C11)=0,"",MIN(1,G11/C11))</f>
        <v/>
      </c>
      <c r="J11" s="40">
        <f>IF(I11="","",REPT("█",ROUND(MAX(0,MIN(1,I11))*10,0))&amp;REPT("░",10-ROUND(MAX(0,MIN(1,I11))*10,0)))</f>
        <v/>
      </c>
      <c r="K11" s="33">
        <f>IF(OR(N(C11)=0,E11=""),"",IF(H11=0,"✅ הושג",H11/MAX(1,(YEAR(E11)-YEAR(TODAY()))*12+MONTH(E11)-MONTH(TODAY()))))</f>
        <v/>
      </c>
      <c r="L11" s="1" t="n"/>
    </row>
    <row r="12" ht="26" customHeight="1">
      <c r="A12" s="1" t="n"/>
      <c r="B12" s="29" t="inlineStr">
        <is>
          <t>סה"כ</t>
        </is>
      </c>
      <c r="C12" s="48">
        <f>SUM(C7:C11)</f>
        <v/>
      </c>
      <c r="D12" s="48">
        <f>SUM(D7:D11)</f>
        <v/>
      </c>
      <c r="E12" s="30" t="n"/>
      <c r="F12" s="48">
        <f>SUM(F7:F11)</f>
        <v/>
      </c>
      <c r="G12" s="48">
        <f>SUM(G7:G11)</f>
        <v/>
      </c>
      <c r="H12" s="48">
        <f>SUM(H7:H11)</f>
        <v/>
      </c>
      <c r="I12" s="112">
        <f>IF(C12=0,"",MIN(1,G12/C12))</f>
        <v/>
      </c>
      <c r="J12" s="113">
        <f>IF(I12="","",REPT("█",ROUND(MAX(0,MIN(1,I12))*10,0))&amp;REPT("░",10-ROUND(MAX(0,MIN(1,I12))*10,0)))</f>
        <v/>
      </c>
      <c r="K12" s="48">
        <f>SUM(K7:K11)</f>
        <v/>
      </c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 ht="26" customHeight="1">
      <c r="A15" s="1" t="n"/>
      <c r="B15" s="114" t="inlineStr">
        <is>
          <t>💳 סילוק חובות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30" customHeight="1">
      <c r="A16" s="1" t="n"/>
      <c r="B16" s="115" t="inlineStr">
        <is>
          <t>חוב</t>
        </is>
      </c>
      <c r="C16" s="115" t="inlineStr">
        <is>
          <t>יתרה בתחילת השנה</t>
        </is>
      </c>
      <c r="D16" s="115" t="inlineStr">
        <is>
          <t>ריבית שנתית</t>
        </is>
      </c>
      <c r="E16" s="115" t="inlineStr">
        <is>
          <t>שולם השנה</t>
        </is>
      </c>
      <c r="F16" s="115" t="inlineStr">
        <is>
          <t>יתרה משוערת</t>
        </is>
      </c>
      <c r="G16" s="115" t="inlineStr">
        <is>
          <t>נפרע</t>
        </is>
      </c>
      <c r="H16" s="116" t="n"/>
      <c r="I16" s="115" t="inlineStr">
        <is>
          <t>החזר חודשי ממוצע</t>
        </is>
      </c>
      <c r="J16" s="115" t="inlineStr">
        <is>
          <t>חודשים לסיום</t>
        </is>
      </c>
      <c r="K16" s="115" t="inlineStr">
        <is>
          <t>סיום משוער</t>
        </is>
      </c>
      <c r="L16" s="1" t="n"/>
    </row>
    <row r="17" ht="24" customHeight="1">
      <c r="A17" s="1" t="n"/>
      <c r="B17" s="117">
        <f>IF('📥 הזנה חודשית'!$A$47="","",'📥 הזנה חודשית'!$A$47)</f>
        <v/>
      </c>
      <c r="C17" s="109" t="n">
        <v>38000</v>
      </c>
      <c r="D17" s="118" t="n">
        <v>0.055</v>
      </c>
      <c r="E17" s="32">
        <f>'📥 הזנה חודשית'!$O$47</f>
        <v/>
      </c>
      <c r="F17" s="33">
        <f>MAX(0,N(C17)-E17)</f>
        <v/>
      </c>
      <c r="G17" s="119">
        <f>IF(N(C17)=0,"",MIN(1,E17/C17))</f>
        <v/>
      </c>
      <c r="H17" s="46">
        <f>IF(G17="","",REPT("█",ROUND(MAX(0,MIN(1,G17))*10,0))&amp;REPT("░",10-ROUND(MAX(0,MIN(1,G17))*10,0)))</f>
        <v/>
      </c>
      <c r="I17" s="32">
        <f>'📥 הזנה חודשית'!$P$47</f>
        <v/>
      </c>
      <c r="J17" s="120">
        <f>IF(OR(N(C17)=0,N(I17)=0),"",IF(F17=0,0,IFERROR(ROUNDUP(NPER(N(D17)/12,-I17,F17),0),"ההחזר נמוך מהריבית")))</f>
        <v/>
      </c>
      <c r="K17" s="121">
        <f>IF(ISNUMBER(J17),IF(J17=0,"🎉 נסגר",EDATE(TODAY(),J17)),"")</f>
        <v/>
      </c>
      <c r="L17" s="1" t="n"/>
    </row>
    <row r="18" ht="24" customHeight="1">
      <c r="A18" s="1" t="n"/>
      <c r="B18" s="117">
        <f>IF('📥 הזנה חודשית'!$A$48="","",'📥 הזנה חודשית'!$A$48)</f>
        <v/>
      </c>
      <c r="C18" s="109" t="n">
        <v>22000</v>
      </c>
      <c r="D18" s="118" t="n">
        <v>0.07000000000000001</v>
      </c>
      <c r="E18" s="32">
        <f>'📥 הזנה חודשית'!$O$48</f>
        <v/>
      </c>
      <c r="F18" s="33">
        <f>MAX(0,N(C18)-E18)</f>
        <v/>
      </c>
      <c r="G18" s="119">
        <f>IF(N(C18)=0,"",MIN(1,E18/C18))</f>
        <v/>
      </c>
      <c r="H18" s="46">
        <f>IF(G18="","",REPT("█",ROUND(MAX(0,MIN(1,G18))*10,0))&amp;REPT("░",10-ROUND(MAX(0,MIN(1,G18))*10,0)))</f>
        <v/>
      </c>
      <c r="I18" s="32">
        <f>'📥 הזנה חודשית'!$P$48</f>
        <v/>
      </c>
      <c r="J18" s="120">
        <f>IF(OR(N(C18)=0,N(I18)=0),"",IF(F18=0,0,IFERROR(ROUNDUP(NPER(N(D18)/12,-I18,F18),0),"ההחזר נמוך מהריבית")))</f>
        <v/>
      </c>
      <c r="K18" s="121">
        <f>IF(ISNUMBER(J18),IF(J18=0,"🎉 נסגר",EDATE(TODAY(),J18)),"")</f>
        <v/>
      </c>
      <c r="L18" s="1" t="n"/>
    </row>
    <row r="19" ht="24" customHeight="1">
      <c r="A19" s="1" t="n"/>
      <c r="B19" s="117">
        <f>IF('📥 הזנה חודשית'!$A$49="","",'📥 הזנה חודשית'!$A$49)</f>
        <v/>
      </c>
      <c r="C19" s="109" t="n">
        <v>4800</v>
      </c>
      <c r="D19" s="118" t="n">
        <v>0.12</v>
      </c>
      <c r="E19" s="32">
        <f>'📥 הזנה חודשית'!$O$49</f>
        <v/>
      </c>
      <c r="F19" s="33">
        <f>MAX(0,N(C19)-E19)</f>
        <v/>
      </c>
      <c r="G19" s="119">
        <f>IF(N(C19)=0,"",MIN(1,E19/C19))</f>
        <v/>
      </c>
      <c r="H19" s="46">
        <f>IF(G19="","",REPT("█",ROUND(MAX(0,MIN(1,G19))*10,0))&amp;REPT("░",10-ROUND(MAX(0,MIN(1,G19))*10,0)))</f>
        <v/>
      </c>
      <c r="I19" s="32">
        <f>'📥 הזנה חודשית'!$P$49</f>
        <v/>
      </c>
      <c r="J19" s="120">
        <f>IF(OR(N(C19)=0,N(I19)=0),"",IF(F19=0,0,IFERROR(ROUNDUP(NPER(N(D19)/12,-I19,F19),0),"ההחזר נמוך מהריבית")))</f>
        <v/>
      </c>
      <c r="K19" s="121">
        <f>IF(ISNUMBER(J19),IF(J19=0,"🎉 נסגר",EDATE(TODAY(),J19)),"")</f>
        <v/>
      </c>
      <c r="L19" s="1" t="n"/>
    </row>
    <row r="20" ht="24" customHeight="1">
      <c r="A20" s="1" t="n"/>
      <c r="B20" s="117">
        <f>IF('📥 הזנה חודשית'!$A$50="","",'📥 הזנה חודשית'!$A$50)</f>
        <v/>
      </c>
      <c r="C20" s="109" t="n"/>
      <c r="D20" s="118" t="n"/>
      <c r="E20" s="32">
        <f>'📥 הזנה חודשית'!$O$50</f>
        <v/>
      </c>
      <c r="F20" s="33">
        <f>MAX(0,N(C20)-E20)</f>
        <v/>
      </c>
      <c r="G20" s="119">
        <f>IF(N(C20)=0,"",MIN(1,E20/C20))</f>
        <v/>
      </c>
      <c r="H20" s="46">
        <f>IF(G20="","",REPT("█",ROUND(MAX(0,MIN(1,G20))*10,0))&amp;REPT("░",10-ROUND(MAX(0,MIN(1,G20))*10,0)))</f>
        <v/>
      </c>
      <c r="I20" s="32">
        <f>'📥 הזנה חודשית'!$P$50</f>
        <v/>
      </c>
      <c r="J20" s="120">
        <f>IF(OR(N(C20)=0,N(I20)=0),"",IF(F20=0,0,IFERROR(ROUNDUP(NPER(N(D20)/12,-I20,F20),0),"ההחזר נמוך מהריבית")))</f>
        <v/>
      </c>
      <c r="K20" s="121">
        <f>IF(ISNUMBER(J20),IF(J20=0,"🎉 נסגר",EDATE(TODAY(),J20)),"")</f>
        <v/>
      </c>
      <c r="L20" s="1" t="n"/>
    </row>
    <row r="21" ht="26" customHeight="1">
      <c r="A21" s="1" t="n"/>
      <c r="B21" s="29" t="inlineStr">
        <is>
          <t>סה"כ</t>
        </is>
      </c>
      <c r="C21" s="48">
        <f>SUM(C17:C20)</f>
        <v/>
      </c>
      <c r="D21" s="30" t="n"/>
      <c r="E21" s="48">
        <f>SUM(E17:E20)</f>
        <v/>
      </c>
      <c r="F21" s="48">
        <f>SUM(F17:F20)</f>
        <v/>
      </c>
      <c r="G21" s="112">
        <f>IF(C21=0,"",MIN(1,E21/C21))</f>
        <v/>
      </c>
      <c r="H21" s="122">
        <f>IF(G21="","",REPT("█",ROUND(MAX(0,MIN(1,G21))*10,0))&amp;REPT("░",10-ROUND(MAX(0,MIN(1,G21))*10,0)))</f>
        <v/>
      </c>
      <c r="I21" s="48">
        <f>SUM(I17:I20)</f>
        <v/>
      </c>
      <c r="J21" s="123">
        <f>IF(COUNT(J17:J20)=0,"",MAX(J17:J20))</f>
        <v/>
      </c>
      <c r="K21" s="124">
        <f>IF(ISNUMBER(J21),IF(J21=0,"🎉",EDATE(TODAY(),J21)),"")</f>
        <v/>
      </c>
      <c r="L21" s="1" t="n"/>
    </row>
    <row r="22" ht="30" customHeight="1">
      <c r="A22" s="1" t="n"/>
      <c r="B22" s="125" t="inlineStr">
        <is>
          <t>💡 'יתרה משוערת' = יתרת תחילת השנה פחות ההחזרים (בלי ריבית). 'חודשים לסיום' כן מחשב ריבית לפי ההחזר החודשי הממוצע.</t>
        </is>
      </c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</sheetData>
  <mergeCells count="5">
    <mergeCell ref="B22:K22"/>
    <mergeCell ref="I6:J6"/>
    <mergeCell ref="G16:H16"/>
    <mergeCell ref="B2:K2"/>
    <mergeCell ref="B3:K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D40"/>
  <sheetViews>
    <sheetView showGridLines="0" rightToLeft="1" zoomScale="10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90" customWidth="1" min="3" max="3"/>
    <col width="2" customWidth="1" min="4" max="4"/>
  </cols>
  <sheetData>
    <row r="1" ht="10" customHeight="1">
      <c r="A1" s="1" t="n"/>
      <c r="B1" s="1" t="n"/>
      <c r="C1" s="1" t="n"/>
      <c r="D1" s="1" t="n"/>
    </row>
    <row r="2" ht="44" customHeight="1">
      <c r="A2" s="1" t="n"/>
      <c r="B2" s="2" t="inlineStr">
        <is>
          <t>📖 איך משתמשים – 3 צעדים</t>
        </is>
      </c>
      <c r="D2" s="1" t="n"/>
    </row>
    <row r="3" ht="22" customHeight="1">
      <c r="A3" s="1" t="n"/>
      <c r="B3" s="3" t="inlineStr">
        <is>
          <t>פעם אחת מגדירים, פעם בחודש ממלאים, וכל השאר קורה לבד</t>
        </is>
      </c>
      <c r="D3" s="1" t="n"/>
    </row>
    <row r="4">
      <c r="A4" s="1" t="n"/>
      <c r="B4" s="1" t="n"/>
      <c r="C4" s="1" t="n"/>
      <c r="D4" s="1" t="n"/>
    </row>
    <row r="5" ht="28" customHeight="1">
      <c r="A5" s="1" t="n"/>
      <c r="B5" s="126" t="inlineStr">
        <is>
          <t>1</t>
        </is>
      </c>
      <c r="C5" s="127" t="inlineStr">
        <is>
          <t>הגדרה חד-פעמית (10 דקות)</t>
        </is>
      </c>
      <c r="D5" s="1" t="n"/>
    </row>
    <row r="6" ht="48" customHeight="1">
      <c r="A6" s="1" t="n"/>
      <c r="B6" s="128" t="n"/>
      <c r="C6" s="129" t="inlineStr">
        <is>
          <t>בלשונית '📥 הזנה חודשית': עדכנו את שמות הקטגוריות ואת התקציב החודשי לכל אחת (עמודה B). בלשונית '🎯 יעדים': רשמו יעד לכל תוכנית חיסכון ואת יתרת החובות בתחילת השנה.</t>
        </is>
      </c>
      <c r="D6" s="1" t="n"/>
    </row>
    <row r="7" ht="28" customHeight="1">
      <c r="A7" s="1" t="n"/>
      <c r="B7" s="126" t="inlineStr">
        <is>
          <t>2</t>
        </is>
      </c>
      <c r="C7" s="127" t="inlineStr">
        <is>
          <t>פעם בחודש (5 דקות)</t>
        </is>
      </c>
      <c r="D7" s="1" t="n"/>
    </row>
    <row r="8" ht="48" customHeight="1">
      <c r="A8" s="1" t="n"/>
      <c r="B8" s="128" t="n"/>
      <c r="C8" s="129" t="inlineStr">
        <is>
          <t>פותחים את דף הבנק ואת פירוט כרטיס האשראי, ובלשונית '📥 הזנה חודשית' ממלאים את העמודה של החודש: כמה נכנס, כמה הופקד לחיסכון, כמה יצא על כל קטגוריה. מספרים בלבד, בלי ₪.</t>
        </is>
      </c>
      <c r="D8" s="1" t="n"/>
    </row>
    <row r="9" ht="28" customHeight="1">
      <c r="A9" s="1" t="n"/>
      <c r="B9" s="126" t="inlineStr">
        <is>
          <t>3</t>
        </is>
      </c>
      <c r="C9" s="127" t="inlineStr">
        <is>
          <t>מסתכלים על התמונה</t>
        </is>
      </c>
      <c r="D9" s="1" t="n"/>
    </row>
    <row r="10" ht="48" customHeight="1">
      <c r="A10" s="1" t="n"/>
      <c r="B10" s="128" t="n"/>
      <c r="C10" s="129" t="inlineStr">
        <is>
          <t>'📊 תמונת מצב' מציג אוטומטית את החודש האחרון שמילאתם: כרטיסי סיכום, תקציב מול בפועל, 5 ההוצאות הגדולות ותובנות. אפשר לבחור כל חודש אחר מהרשימה. ב-'📈 מגמות' רואים את כל השנה, וב-'🎯 יעדים' את ההתקדמות ליעדים.</t>
        </is>
      </c>
      <c r="D10" s="1" t="n"/>
    </row>
    <row r="11">
      <c r="A11" s="1" t="n"/>
      <c r="B11" s="1" t="n"/>
      <c r="C11" s="1" t="n"/>
      <c r="D11" s="1" t="n"/>
    </row>
    <row r="12">
      <c r="A12" s="1" t="n"/>
      <c r="B12" s="1" t="n"/>
      <c r="C12" s="130" t="inlineStr">
        <is>
          <t>🎨 מקרא</t>
        </is>
      </c>
      <c r="D12" s="1" t="n"/>
    </row>
    <row r="13" ht="22" customHeight="1">
      <c r="A13" s="1" t="n"/>
      <c r="B13" s="131" t="n"/>
      <c r="C13" s="132" t="inlineStr">
        <is>
          <t>תא להזנה – רק כאן מקלידים. כל השאר מחושב אוטומטית.</t>
        </is>
      </c>
      <c r="D13" s="1" t="n"/>
    </row>
    <row r="14" ht="22" customHeight="1">
      <c r="A14" s="1" t="n"/>
      <c r="B14" s="133" t="n"/>
      <c r="C14" s="132" t="inlineStr">
        <is>
          <t>💰 הכנסות</t>
        </is>
      </c>
      <c r="D14" s="1" t="n"/>
    </row>
    <row r="15" ht="22" customHeight="1">
      <c r="A15" s="1" t="n"/>
      <c r="B15" s="134" t="n"/>
      <c r="C15" s="132" t="inlineStr">
        <is>
          <t>🐷 חיסכון</t>
        </is>
      </c>
      <c r="D15" s="1" t="n"/>
    </row>
    <row r="16" ht="22" customHeight="1">
      <c r="A16" s="1" t="n"/>
      <c r="B16" s="135" t="n"/>
      <c r="C16" s="132" t="inlineStr">
        <is>
          <t>🧾 חשבונות ומנויים</t>
        </is>
      </c>
      <c r="D16" s="1" t="n"/>
    </row>
    <row r="17" ht="22" customHeight="1">
      <c r="A17" s="1" t="n"/>
      <c r="B17" s="136" t="n"/>
      <c r="C17" s="132" t="inlineStr">
        <is>
          <t>🛒 הוצאות משתנות</t>
        </is>
      </c>
      <c r="D17" s="1" t="n"/>
    </row>
    <row r="18" ht="22" customHeight="1">
      <c r="A18" s="1" t="n"/>
      <c r="B18" s="137" t="n"/>
      <c r="C18" s="132" t="inlineStr">
        <is>
          <t>💳 חובות</t>
        </is>
      </c>
      <c r="D18" s="1" t="n"/>
    </row>
    <row r="19" ht="22" customHeight="1">
      <c r="A19" s="1" t="n"/>
      <c r="B19" s="138" t="n"/>
      <c r="C19" s="132" t="inlineStr">
        <is>
          <t>רקע אדום בלשונית ההזנה = חריגה מהתקציב של הקטגוריה</t>
        </is>
      </c>
      <c r="D19" s="1" t="n"/>
    </row>
    <row r="20">
      <c r="A20" s="1" t="n"/>
      <c r="B20" s="1" t="n"/>
      <c r="C20" s="1" t="n"/>
      <c r="D20" s="1" t="n"/>
    </row>
    <row r="21" ht="22" customHeight="1">
      <c r="A21" s="1" t="n"/>
      <c r="B21" s="1" t="n"/>
      <c r="C21" s="139" t="inlineStr">
        <is>
          <t>💡 אין צורך למלא את כל הקטגוריות – קטגוריה ריקה פשוט לא נספרת.</t>
        </is>
      </c>
      <c r="D21" s="1" t="n"/>
    </row>
    <row r="22" ht="22" customHeight="1">
      <c r="A22" s="1" t="n"/>
      <c r="B22" s="1" t="n"/>
      <c r="C22" s="139" t="inlineStr">
        <is>
          <t>💡 רוצים קטגוריה חדשה? רשמו שם בשורה ריקה בסעיף המתאים – היא תופיע בכל הלשוניות.</t>
        </is>
      </c>
      <c r="D22" s="1" t="n"/>
    </row>
    <row r="23" ht="22" customHeight="1">
      <c r="A23" s="1" t="n"/>
      <c r="B23" s="1" t="n"/>
      <c r="C23" s="139" t="inlineStr">
        <is>
          <t>💡 לשנה חדשה: שכפלו את הקובץ, שנו את השנה בתא B3 בלשונית ההזנה ומחקו את המספרים של החודשים.</t>
        </is>
      </c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</sheetData>
  <mergeCells count="5">
    <mergeCell ref="B9:B10"/>
    <mergeCell ref="B2:C2"/>
    <mergeCell ref="B3:C3"/>
    <mergeCell ref="B7:B8"/>
    <mergeCell ref="B5:B6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2026-10-05T19:26:51Z</dcterms:created>
  <dcterms:modified xsi:type="dcterms:W3CDTF">2026-10-05T19:26:51Z</dcterms:modified>
</cp:coreProperties>
</file>